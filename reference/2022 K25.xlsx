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 祥鼎\1祥鼎\7 手柄成本計算\1 正確\C 祥鼎手柄\"/>
    </mc:Choice>
  </mc:AlternateContent>
  <xr:revisionPtr revIDLastSave="0" documentId="13_ncr:1_{D7653C87-6C73-4037-AF13-2AF6CF9985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散裝" sheetId="6" r:id="rId1"/>
    <sheet name="吊牌" sheetId="1" r:id="rId2"/>
  </sheets>
  <calcPr calcId="181029"/>
</workbook>
</file>

<file path=xl/calcChain.xml><?xml version="1.0" encoding="utf-8"?>
<calcChain xmlns="http://schemas.openxmlformats.org/spreadsheetml/2006/main">
  <c r="V98" i="1" l="1"/>
  <c r="Y98" i="1" s="1"/>
  <c r="V97" i="1"/>
  <c r="Y97" i="1" s="1"/>
  <c r="V95" i="1"/>
  <c r="Y95" i="1" s="1"/>
  <c r="T98" i="1"/>
  <c r="T97" i="1"/>
  <c r="T95" i="1"/>
  <c r="Y94" i="1"/>
  <c r="W94" i="1"/>
  <c r="V94" i="1"/>
  <c r="T94" i="1"/>
  <c r="P98" i="1"/>
  <c r="R98" i="1" s="1"/>
  <c r="P97" i="1"/>
  <c r="R97" i="1" s="1"/>
  <c r="P95" i="1"/>
  <c r="R95" i="1" s="1"/>
  <c r="R94" i="1"/>
  <c r="P94" i="1"/>
  <c r="J98" i="1"/>
  <c r="J97" i="1"/>
  <c r="J95" i="1"/>
  <c r="J94" i="1"/>
  <c r="L98" i="1"/>
  <c r="L97" i="1"/>
  <c r="L95" i="1"/>
  <c r="L94" i="1"/>
  <c r="K98" i="1"/>
  <c r="K97" i="1"/>
  <c r="K95" i="1"/>
  <c r="K94" i="1"/>
  <c r="H143" i="6"/>
  <c r="H142" i="6"/>
  <c r="H140" i="6"/>
  <c r="H139" i="6"/>
  <c r="H98" i="1"/>
  <c r="H97" i="1"/>
  <c r="H95" i="1"/>
  <c r="H94" i="1"/>
  <c r="M112" i="1"/>
  <c r="M111" i="1"/>
  <c r="M110" i="1"/>
  <c r="M109" i="1"/>
  <c r="M108" i="1"/>
  <c r="M107" i="1"/>
  <c r="M106" i="1"/>
  <c r="M105" i="1"/>
  <c r="M104" i="1"/>
  <c r="M103" i="1"/>
  <c r="K112" i="1"/>
  <c r="K111" i="1"/>
  <c r="K110" i="1"/>
  <c r="K109" i="1"/>
  <c r="K108" i="1"/>
  <c r="K107" i="1"/>
  <c r="K106" i="1"/>
  <c r="K105" i="1"/>
  <c r="K104" i="1"/>
  <c r="K103" i="1"/>
  <c r="I112" i="1"/>
  <c r="I111" i="1"/>
  <c r="I110" i="1"/>
  <c r="I109" i="1"/>
  <c r="I108" i="1"/>
  <c r="I107" i="1"/>
  <c r="I106" i="1"/>
  <c r="I105" i="1"/>
  <c r="I104" i="1"/>
  <c r="I103" i="1"/>
  <c r="H112" i="1"/>
  <c r="H111" i="1"/>
  <c r="H110" i="1"/>
  <c r="H109" i="1"/>
  <c r="H108" i="1"/>
  <c r="H107" i="1"/>
  <c r="H106" i="1"/>
  <c r="H105" i="1"/>
  <c r="H104" i="1"/>
  <c r="H103" i="1"/>
  <c r="K118" i="6"/>
  <c r="K117" i="6"/>
  <c r="K116" i="6"/>
  <c r="K115" i="6"/>
  <c r="K114" i="6"/>
  <c r="K113" i="6"/>
  <c r="K112" i="6"/>
  <c r="K111" i="6"/>
  <c r="K110" i="6"/>
  <c r="K109" i="6"/>
  <c r="I118" i="6"/>
  <c r="I117" i="6"/>
  <c r="I116" i="6"/>
  <c r="I115" i="6"/>
  <c r="J115" i="6" s="1"/>
  <c r="I114" i="6"/>
  <c r="J114" i="6" s="1"/>
  <c r="I113" i="6"/>
  <c r="J113" i="6" s="1"/>
  <c r="I112" i="6"/>
  <c r="J112" i="6" s="1"/>
  <c r="I111" i="6"/>
  <c r="J111" i="6" s="1"/>
  <c r="I110" i="6"/>
  <c r="J110" i="6" s="1"/>
  <c r="I109" i="6"/>
  <c r="J109" i="6" s="1"/>
  <c r="H118" i="6"/>
  <c r="H117" i="6"/>
  <c r="H116" i="6"/>
  <c r="H115" i="6"/>
  <c r="H114" i="6"/>
  <c r="H113" i="6"/>
  <c r="H112" i="6"/>
  <c r="H111" i="6"/>
  <c r="H110" i="6"/>
  <c r="H109" i="6"/>
  <c r="L89" i="6"/>
  <c r="I89" i="6"/>
  <c r="H89" i="6"/>
  <c r="W98" i="1" l="1"/>
  <c r="W97" i="1"/>
  <c r="W95" i="1"/>
  <c r="J103" i="1"/>
  <c r="J116" i="6"/>
  <c r="J117" i="6"/>
  <c r="J118" i="6"/>
  <c r="J105" i="1"/>
  <c r="J109" i="1"/>
  <c r="J106" i="1"/>
  <c r="J110" i="1"/>
  <c r="J107" i="1"/>
  <c r="J111" i="1"/>
  <c r="J104" i="1"/>
  <c r="J108" i="1"/>
  <c r="J112" i="1"/>
  <c r="J89" i="6"/>
  <c r="H231" i="6"/>
  <c r="J143" i="6"/>
  <c r="J142" i="6"/>
  <c r="J140" i="6"/>
  <c r="J139" i="6"/>
  <c r="K173" i="6" l="1"/>
  <c r="K172" i="6"/>
  <c r="K171" i="6"/>
  <c r="K170" i="6"/>
  <c r="K169" i="6"/>
  <c r="K168" i="6"/>
  <c r="K166" i="6"/>
  <c r="I173" i="6"/>
  <c r="I172" i="6"/>
  <c r="I171" i="6"/>
  <c r="I170" i="6"/>
  <c r="I169" i="6"/>
  <c r="I168" i="6"/>
  <c r="H173" i="6"/>
  <c r="H172" i="6"/>
  <c r="H171" i="6"/>
  <c r="H170" i="6"/>
  <c r="H169" i="6"/>
  <c r="H168" i="6"/>
  <c r="K12" i="1"/>
  <c r="K13" i="1"/>
  <c r="H82" i="1"/>
  <c r="H83" i="1"/>
  <c r="H89" i="1"/>
  <c r="H84" i="1"/>
  <c r="H90" i="1"/>
  <c r="H103" i="6"/>
  <c r="H98" i="6"/>
  <c r="H104" i="6"/>
  <c r="K49" i="6"/>
  <c r="I49" i="6"/>
  <c r="H49" i="6"/>
  <c r="K41" i="6"/>
  <c r="K40" i="6"/>
  <c r="I41" i="6"/>
  <c r="I40" i="6"/>
  <c r="H41" i="6"/>
  <c r="H40" i="6"/>
  <c r="K18" i="6"/>
  <c r="I18" i="6"/>
  <c r="H18" i="6"/>
  <c r="K14" i="6"/>
  <c r="K13" i="6"/>
  <c r="K12" i="6"/>
  <c r="I14" i="6"/>
  <c r="I13" i="6"/>
  <c r="I12" i="6"/>
  <c r="H14" i="6"/>
  <c r="H13" i="6"/>
  <c r="H12" i="6"/>
  <c r="H11" i="6"/>
  <c r="H76" i="6"/>
  <c r="H75" i="6"/>
  <c r="H74" i="6"/>
  <c r="H73" i="6"/>
  <c r="H72" i="6"/>
  <c r="H71" i="6"/>
  <c r="H64" i="6"/>
  <c r="H63" i="6"/>
  <c r="H62" i="6"/>
  <c r="H61" i="6"/>
  <c r="H60" i="6"/>
  <c r="H59" i="6"/>
  <c r="H44" i="6"/>
  <c r="H43" i="6"/>
  <c r="H42" i="6"/>
  <c r="H39" i="6"/>
  <c r="H38" i="6"/>
  <c r="H37" i="6"/>
  <c r="H155" i="1"/>
  <c r="H154" i="1"/>
  <c r="H153" i="1"/>
  <c r="H152" i="1"/>
  <c r="H9" i="1"/>
  <c r="I9" i="1"/>
  <c r="K9" i="1"/>
  <c r="M9" i="1"/>
  <c r="AF9" i="1"/>
  <c r="AH9" i="1" s="1"/>
  <c r="J172" i="6" l="1"/>
  <c r="J169" i="6"/>
  <c r="J168" i="6"/>
  <c r="J170" i="6"/>
  <c r="J171" i="6"/>
  <c r="J173" i="6"/>
  <c r="J49" i="6"/>
  <c r="J18" i="6"/>
  <c r="J40" i="6"/>
  <c r="J41" i="6"/>
  <c r="J13" i="6"/>
  <c r="J12" i="6"/>
  <c r="J14" i="6"/>
  <c r="J9" i="1"/>
  <c r="H18" i="1"/>
  <c r="H65" i="1" l="1"/>
  <c r="H64" i="1"/>
  <c r="H63" i="1"/>
  <c r="H62" i="1"/>
  <c r="H61" i="1"/>
  <c r="H60" i="1"/>
  <c r="H53" i="1"/>
  <c r="H52" i="1"/>
  <c r="H51" i="1"/>
  <c r="H50" i="1"/>
  <c r="H49" i="1"/>
  <c r="H48" i="1"/>
  <c r="H34" i="1"/>
  <c r="H33" i="1"/>
  <c r="H32" i="1"/>
  <c r="H31" i="1"/>
  <c r="H30" i="1"/>
  <c r="H29" i="1"/>
  <c r="H7" i="1"/>
  <c r="H26" i="6"/>
  <c r="K207" i="6" l="1"/>
  <c r="K206" i="6"/>
  <c r="K205" i="6"/>
  <c r="K204" i="6"/>
  <c r="K203" i="6"/>
  <c r="K202" i="6"/>
  <c r="K201" i="6"/>
  <c r="K200" i="6"/>
  <c r="K199" i="6"/>
  <c r="K195" i="6"/>
  <c r="K191" i="6"/>
  <c r="K187" i="6"/>
  <c r="K186" i="6"/>
  <c r="K182" i="6"/>
  <c r="K181" i="6"/>
  <c r="K180" i="6"/>
  <c r="K179" i="6"/>
  <c r="K178" i="6"/>
  <c r="K177" i="6"/>
  <c r="K165" i="6"/>
  <c r="K164" i="6"/>
  <c r="K163" i="6"/>
  <c r="K162" i="6"/>
  <c r="K161" i="6"/>
  <c r="K160" i="6"/>
  <c r="K159" i="6"/>
  <c r="K158" i="6"/>
  <c r="K154" i="6"/>
  <c r="K153" i="6"/>
  <c r="K152" i="6"/>
  <c r="K151" i="6"/>
  <c r="K150" i="6"/>
  <c r="K149" i="6"/>
  <c r="K148" i="6"/>
  <c r="K135" i="6"/>
  <c r="K134" i="6"/>
  <c r="K133" i="6"/>
  <c r="K129" i="6"/>
  <c r="K128" i="6"/>
  <c r="K127" i="6"/>
  <c r="K126" i="6"/>
  <c r="K125" i="6"/>
  <c r="K124" i="6"/>
  <c r="K123" i="6"/>
  <c r="K104" i="6"/>
  <c r="K103" i="6"/>
  <c r="K102" i="6"/>
  <c r="K101" i="6"/>
  <c r="K100" i="6"/>
  <c r="K99" i="6"/>
  <c r="K98" i="6"/>
  <c r="K97" i="6"/>
  <c r="K96" i="6"/>
  <c r="K95" i="6"/>
  <c r="K88" i="6"/>
  <c r="K87" i="6"/>
  <c r="K86" i="6"/>
  <c r="K85" i="6"/>
  <c r="K84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4" i="6"/>
  <c r="K56" i="6"/>
  <c r="K55" i="6"/>
  <c r="K53" i="6"/>
  <c r="K52" i="6"/>
  <c r="K51" i="6"/>
  <c r="K50" i="6"/>
  <c r="K48" i="6"/>
  <c r="K47" i="6"/>
  <c r="K46" i="6"/>
  <c r="K45" i="6"/>
  <c r="K44" i="6"/>
  <c r="K43" i="6"/>
  <c r="K42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7" i="6"/>
  <c r="K16" i="6"/>
  <c r="K15" i="6"/>
  <c r="K11" i="6"/>
  <c r="K9" i="6"/>
  <c r="K8" i="6"/>
  <c r="K7" i="6"/>
  <c r="I207" i="6"/>
  <c r="I206" i="6"/>
  <c r="I205" i="6"/>
  <c r="I204" i="6"/>
  <c r="I203" i="6"/>
  <c r="I202" i="6"/>
  <c r="I201" i="6"/>
  <c r="I200" i="6"/>
  <c r="I199" i="6"/>
  <c r="I195" i="6"/>
  <c r="I191" i="6"/>
  <c r="I187" i="6"/>
  <c r="I186" i="6"/>
  <c r="I182" i="6"/>
  <c r="I181" i="6"/>
  <c r="I180" i="6"/>
  <c r="I179" i="6"/>
  <c r="I178" i="6"/>
  <c r="I177" i="6"/>
  <c r="I166" i="6"/>
  <c r="I165" i="6"/>
  <c r="I164" i="6"/>
  <c r="I163" i="6"/>
  <c r="I162" i="6"/>
  <c r="I161" i="6"/>
  <c r="I160" i="6"/>
  <c r="I159" i="6"/>
  <c r="I158" i="6"/>
  <c r="I154" i="6"/>
  <c r="I153" i="6"/>
  <c r="I152" i="6"/>
  <c r="I151" i="6"/>
  <c r="I150" i="6"/>
  <c r="I149" i="6"/>
  <c r="I148" i="6"/>
  <c r="I135" i="6"/>
  <c r="I134" i="6"/>
  <c r="I133" i="6"/>
  <c r="I129" i="6"/>
  <c r="I128" i="6"/>
  <c r="I127" i="6"/>
  <c r="I126" i="6"/>
  <c r="I125" i="6"/>
  <c r="I124" i="6"/>
  <c r="I123" i="6"/>
  <c r="I104" i="6"/>
  <c r="I103" i="6"/>
  <c r="I102" i="6"/>
  <c r="I101" i="6"/>
  <c r="I100" i="6"/>
  <c r="I99" i="6"/>
  <c r="I98" i="6"/>
  <c r="I97" i="6"/>
  <c r="I96" i="6"/>
  <c r="I95" i="6"/>
  <c r="I88" i="6"/>
  <c r="I87" i="6"/>
  <c r="I86" i="6"/>
  <c r="I85" i="6"/>
  <c r="I84" i="6"/>
  <c r="I82" i="6"/>
  <c r="I81" i="6"/>
  <c r="I80" i="6"/>
  <c r="I79" i="6"/>
  <c r="I78" i="6"/>
  <c r="I77" i="6"/>
  <c r="I76" i="6"/>
  <c r="J76" i="6" s="1"/>
  <c r="I75" i="6"/>
  <c r="J75" i="6" s="1"/>
  <c r="I74" i="6"/>
  <c r="J74" i="6" s="1"/>
  <c r="I73" i="6"/>
  <c r="J73" i="6" s="1"/>
  <c r="I72" i="6"/>
  <c r="J72" i="6" s="1"/>
  <c r="I71" i="6"/>
  <c r="J71" i="6" s="1"/>
  <c r="I70" i="6"/>
  <c r="I69" i="6"/>
  <c r="I68" i="6"/>
  <c r="I67" i="6"/>
  <c r="I66" i="6"/>
  <c r="I65" i="6"/>
  <c r="I64" i="6"/>
  <c r="J64" i="6" s="1"/>
  <c r="I63" i="6"/>
  <c r="J63" i="6" s="1"/>
  <c r="I62" i="6"/>
  <c r="J62" i="6" s="1"/>
  <c r="I61" i="6"/>
  <c r="J61" i="6" s="1"/>
  <c r="I60" i="6"/>
  <c r="J60" i="6" s="1"/>
  <c r="I59" i="6"/>
  <c r="J59" i="6" s="1"/>
  <c r="I58" i="6"/>
  <c r="I57" i="6"/>
  <c r="I56" i="6"/>
  <c r="I55" i="6"/>
  <c r="I54" i="6"/>
  <c r="I53" i="6"/>
  <c r="I52" i="6"/>
  <c r="I51" i="6"/>
  <c r="I50" i="6"/>
  <c r="I48" i="6"/>
  <c r="I47" i="6"/>
  <c r="I46" i="6"/>
  <c r="I45" i="6"/>
  <c r="I44" i="6"/>
  <c r="J44" i="6" s="1"/>
  <c r="I43" i="6"/>
  <c r="J43" i="6" s="1"/>
  <c r="H238" i="6" s="1"/>
  <c r="I42" i="6"/>
  <c r="J42" i="6" s="1"/>
  <c r="H219" i="6" s="1"/>
  <c r="I39" i="6"/>
  <c r="J39" i="6" s="1"/>
  <c r="H237" i="6" s="1"/>
  <c r="I38" i="6"/>
  <c r="J38" i="6" s="1"/>
  <c r="I37" i="6"/>
  <c r="J37" i="6" s="1"/>
  <c r="H218" i="6" s="1"/>
  <c r="I36" i="6"/>
  <c r="I35" i="6"/>
  <c r="I34" i="6"/>
  <c r="I33" i="6"/>
  <c r="I32" i="6"/>
  <c r="I31" i="6"/>
  <c r="I30" i="6"/>
  <c r="I29" i="6"/>
  <c r="I28" i="6"/>
  <c r="I27" i="6"/>
  <c r="I26" i="6"/>
  <c r="J26" i="6" s="1"/>
  <c r="I25" i="6"/>
  <c r="I24" i="6"/>
  <c r="I23" i="6"/>
  <c r="I22" i="6"/>
  <c r="I21" i="6"/>
  <c r="I20" i="6"/>
  <c r="I19" i="6"/>
  <c r="I17" i="6"/>
  <c r="I16" i="6"/>
  <c r="I15" i="6"/>
  <c r="I11" i="6"/>
  <c r="I9" i="6"/>
  <c r="I8" i="6"/>
  <c r="I7" i="6"/>
  <c r="I194" i="1"/>
  <c r="I193" i="1"/>
  <c r="I192" i="1"/>
  <c r="I191" i="1"/>
  <c r="I190" i="1"/>
  <c r="I189" i="1"/>
  <c r="I188" i="1"/>
  <c r="I187" i="1"/>
  <c r="I186" i="1"/>
  <c r="I182" i="1"/>
  <c r="I179" i="1"/>
  <c r="I178" i="1"/>
  <c r="I174" i="1"/>
  <c r="I173" i="1"/>
  <c r="I169" i="1"/>
  <c r="I168" i="1"/>
  <c r="I167" i="1"/>
  <c r="I166" i="1"/>
  <c r="I165" i="1"/>
  <c r="I164" i="1"/>
  <c r="I160" i="1"/>
  <c r="I159" i="1"/>
  <c r="I158" i="1"/>
  <c r="I157" i="1"/>
  <c r="I156" i="1"/>
  <c r="I155" i="1"/>
  <c r="I154" i="1"/>
  <c r="I153" i="1"/>
  <c r="I152" i="1"/>
  <c r="I148" i="1"/>
  <c r="I147" i="1"/>
  <c r="I146" i="1"/>
  <c r="I145" i="1"/>
  <c r="I144" i="1"/>
  <c r="I143" i="1"/>
  <c r="I142" i="1"/>
  <c r="I129" i="1"/>
  <c r="I128" i="1"/>
  <c r="I127" i="1"/>
  <c r="I123" i="1"/>
  <c r="I122" i="1"/>
  <c r="I121" i="1"/>
  <c r="I120" i="1"/>
  <c r="I119" i="1"/>
  <c r="I118" i="1"/>
  <c r="I117" i="1"/>
  <c r="I90" i="1"/>
  <c r="I89" i="1"/>
  <c r="I88" i="1"/>
  <c r="I87" i="1"/>
  <c r="I86" i="1"/>
  <c r="I85" i="1"/>
  <c r="I84" i="1"/>
  <c r="I83" i="1"/>
  <c r="I82" i="1"/>
  <c r="I81" i="1"/>
  <c r="I77" i="1"/>
  <c r="I76" i="1"/>
  <c r="I75" i="1"/>
  <c r="I74" i="1"/>
  <c r="I73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8" i="1"/>
  <c r="I7" i="1"/>
  <c r="K194" i="1"/>
  <c r="K193" i="1"/>
  <c r="K192" i="1"/>
  <c r="K191" i="1"/>
  <c r="K190" i="1"/>
  <c r="K189" i="1"/>
  <c r="K188" i="1"/>
  <c r="K187" i="1"/>
  <c r="K186" i="1"/>
  <c r="K182" i="1"/>
  <c r="K178" i="1"/>
  <c r="K174" i="1"/>
  <c r="K173" i="1"/>
  <c r="K169" i="1"/>
  <c r="K168" i="1"/>
  <c r="K167" i="1"/>
  <c r="K166" i="1"/>
  <c r="K165" i="1"/>
  <c r="K164" i="1"/>
  <c r="K160" i="1"/>
  <c r="K159" i="1"/>
  <c r="K158" i="1"/>
  <c r="K157" i="1"/>
  <c r="K156" i="1"/>
  <c r="K155" i="1"/>
  <c r="K154" i="1"/>
  <c r="K153" i="1"/>
  <c r="K152" i="1"/>
  <c r="K148" i="1"/>
  <c r="K147" i="1"/>
  <c r="K146" i="1"/>
  <c r="K145" i="1"/>
  <c r="K144" i="1"/>
  <c r="K143" i="1"/>
  <c r="K142" i="1"/>
  <c r="K129" i="1"/>
  <c r="K128" i="1"/>
  <c r="K127" i="1"/>
  <c r="K123" i="1"/>
  <c r="K122" i="1"/>
  <c r="K121" i="1"/>
  <c r="K120" i="1"/>
  <c r="K119" i="1"/>
  <c r="K118" i="1"/>
  <c r="K117" i="1"/>
  <c r="K90" i="1"/>
  <c r="K89" i="1"/>
  <c r="K88" i="1"/>
  <c r="K87" i="1"/>
  <c r="K86" i="1"/>
  <c r="K85" i="1"/>
  <c r="K84" i="1"/>
  <c r="K83" i="1"/>
  <c r="K82" i="1"/>
  <c r="K81" i="1"/>
  <c r="K77" i="1"/>
  <c r="K76" i="1"/>
  <c r="K75" i="1"/>
  <c r="K74" i="1"/>
  <c r="K73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1" i="1"/>
  <c r="K10" i="1"/>
  <c r="K8" i="1"/>
  <c r="K7" i="1"/>
  <c r="M194" i="1"/>
  <c r="M193" i="1"/>
  <c r="M192" i="1"/>
  <c r="M191" i="1"/>
  <c r="M190" i="1"/>
  <c r="M189" i="1"/>
  <c r="M188" i="1"/>
  <c r="M187" i="1"/>
  <c r="M186" i="1"/>
  <c r="M182" i="1"/>
  <c r="M178" i="1"/>
  <c r="M174" i="1"/>
  <c r="M173" i="1"/>
  <c r="M169" i="1"/>
  <c r="M168" i="1"/>
  <c r="M167" i="1"/>
  <c r="M166" i="1"/>
  <c r="M165" i="1"/>
  <c r="M164" i="1"/>
  <c r="M160" i="1"/>
  <c r="M159" i="1"/>
  <c r="M158" i="1"/>
  <c r="M157" i="1"/>
  <c r="M156" i="1"/>
  <c r="M155" i="1"/>
  <c r="M154" i="1"/>
  <c r="M153" i="1"/>
  <c r="M152" i="1"/>
  <c r="M148" i="1"/>
  <c r="M147" i="1"/>
  <c r="M146" i="1"/>
  <c r="M145" i="1"/>
  <c r="M144" i="1"/>
  <c r="M143" i="1"/>
  <c r="M142" i="1"/>
  <c r="M129" i="1"/>
  <c r="M128" i="1"/>
  <c r="M127" i="1"/>
  <c r="M123" i="1"/>
  <c r="M122" i="1"/>
  <c r="M121" i="1"/>
  <c r="M120" i="1"/>
  <c r="M119" i="1"/>
  <c r="M118" i="1"/>
  <c r="M117" i="1"/>
  <c r="M90" i="1"/>
  <c r="M89" i="1"/>
  <c r="M88" i="1"/>
  <c r="M87" i="1"/>
  <c r="M86" i="1"/>
  <c r="M85" i="1"/>
  <c r="M84" i="1"/>
  <c r="M83" i="1"/>
  <c r="M82" i="1"/>
  <c r="M81" i="1"/>
  <c r="M77" i="1"/>
  <c r="M76" i="1"/>
  <c r="M75" i="1"/>
  <c r="M74" i="1"/>
  <c r="M73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8" i="1"/>
  <c r="M7" i="1"/>
  <c r="AF10" i="1"/>
  <c r="AH10" i="1" s="1"/>
  <c r="AF8" i="1"/>
  <c r="AH8" i="1" s="1"/>
  <c r="AF7" i="1"/>
  <c r="AH7" i="1" s="1"/>
  <c r="L112" i="1" l="1"/>
  <c r="L111" i="1"/>
  <c r="L110" i="1"/>
  <c r="L109" i="1"/>
  <c r="L107" i="1"/>
  <c r="L103" i="1"/>
  <c r="L108" i="1"/>
  <c r="L106" i="1"/>
  <c r="L105" i="1"/>
  <c r="L104" i="1"/>
  <c r="L9" i="1"/>
  <c r="L12" i="1"/>
  <c r="L13" i="1"/>
  <c r="L77" i="1"/>
  <c r="L76" i="1"/>
  <c r="L75" i="1"/>
  <c r="L74" i="1"/>
  <c r="L73" i="1"/>
  <c r="H77" i="1"/>
  <c r="J77" i="1" s="1"/>
  <c r="H76" i="1"/>
  <c r="J76" i="1" s="1"/>
  <c r="H75" i="1"/>
  <c r="J75" i="1" s="1"/>
  <c r="H74" i="1"/>
  <c r="J74" i="1" s="1"/>
  <c r="H73" i="1"/>
  <c r="J73" i="1" s="1"/>
  <c r="L194" i="1"/>
  <c r="L193" i="1"/>
  <c r="L192" i="1"/>
  <c r="L191" i="1"/>
  <c r="L190" i="1"/>
  <c r="L189" i="1"/>
  <c r="L188" i="1"/>
  <c r="L187" i="1"/>
  <c r="L186" i="1"/>
  <c r="L182" i="1"/>
  <c r="L178" i="1"/>
  <c r="L174" i="1"/>
  <c r="L173" i="1"/>
  <c r="L169" i="1"/>
  <c r="L168" i="1"/>
  <c r="L167" i="1"/>
  <c r="L166" i="1"/>
  <c r="L165" i="1"/>
  <c r="L164" i="1"/>
  <c r="L160" i="1"/>
  <c r="L159" i="1"/>
  <c r="L158" i="1"/>
  <c r="L157" i="1"/>
  <c r="L156" i="1"/>
  <c r="L155" i="1"/>
  <c r="L154" i="1"/>
  <c r="L153" i="1"/>
  <c r="L152" i="1"/>
  <c r="L148" i="1"/>
  <c r="L147" i="1"/>
  <c r="L146" i="1"/>
  <c r="L145" i="1"/>
  <c r="L144" i="1"/>
  <c r="L143" i="1"/>
  <c r="L142" i="1"/>
  <c r="L129" i="1"/>
  <c r="L128" i="1"/>
  <c r="L127" i="1"/>
  <c r="L123" i="1"/>
  <c r="L122" i="1"/>
  <c r="L121" i="1"/>
  <c r="L120" i="1"/>
  <c r="L119" i="1"/>
  <c r="L118" i="1"/>
  <c r="L117" i="1"/>
  <c r="L90" i="1"/>
  <c r="L89" i="1"/>
  <c r="L88" i="1"/>
  <c r="L87" i="1"/>
  <c r="L86" i="1"/>
  <c r="L85" i="1"/>
  <c r="L84" i="1"/>
  <c r="L83" i="1"/>
  <c r="L82" i="1"/>
  <c r="L81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1" i="1"/>
  <c r="L10" i="1"/>
  <c r="L8" i="1"/>
  <c r="L7" i="1"/>
  <c r="H174" i="1"/>
  <c r="J174" i="1" s="1"/>
  <c r="J194" i="1"/>
  <c r="J193" i="1"/>
  <c r="J192" i="1"/>
  <c r="J191" i="1"/>
  <c r="J190" i="1"/>
  <c r="J189" i="1"/>
  <c r="J188" i="1"/>
  <c r="J187" i="1"/>
  <c r="J186" i="1"/>
  <c r="AD10" i="6"/>
  <c r="AD9" i="6"/>
  <c r="AD8" i="6"/>
  <c r="AD7" i="6"/>
  <c r="H123" i="1"/>
  <c r="J123" i="1" s="1"/>
  <c r="H122" i="1"/>
  <c r="J122" i="1" s="1"/>
  <c r="H121" i="1"/>
  <c r="J121" i="1" s="1"/>
  <c r="H88" i="6"/>
  <c r="J88" i="6" s="1"/>
  <c r="H87" i="6"/>
  <c r="J87" i="6" s="1"/>
  <c r="H34" i="6" l="1"/>
  <c r="J34" i="6" s="1"/>
  <c r="J104" i="6" l="1"/>
  <c r="J103" i="6"/>
  <c r="H230" i="6" s="1"/>
  <c r="H102" i="6"/>
  <c r="J102" i="6" s="1"/>
  <c r="H229" i="6" s="1"/>
  <c r="H101" i="6"/>
  <c r="J101" i="6" s="1"/>
  <c r="H228" i="6" s="1"/>
  <c r="H100" i="6"/>
  <c r="J100" i="6" s="1"/>
  <c r="H99" i="6"/>
  <c r="J99" i="6" s="1"/>
  <c r="J98" i="6"/>
  <c r="H97" i="6"/>
  <c r="H96" i="6"/>
  <c r="H95" i="6"/>
  <c r="J95" i="6" s="1"/>
  <c r="H225" i="6" s="1"/>
  <c r="J96" i="6" l="1"/>
  <c r="H226" i="6" s="1"/>
  <c r="J97" i="6"/>
  <c r="H227" i="6" s="1"/>
  <c r="AN22" i="1"/>
  <c r="AM22" i="1"/>
  <c r="AL22" i="1"/>
  <c r="AK22" i="1"/>
  <c r="AJ22" i="1"/>
  <c r="AI22" i="1"/>
  <c r="H182" i="1"/>
  <c r="J182" i="1" s="1"/>
  <c r="H178" i="1"/>
  <c r="J178" i="1" s="1"/>
  <c r="H173" i="1"/>
  <c r="H168" i="1"/>
  <c r="H167" i="1"/>
  <c r="H166" i="1"/>
  <c r="H165" i="1"/>
  <c r="H164" i="1"/>
  <c r="H160" i="1"/>
  <c r="H159" i="1"/>
  <c r="H158" i="1"/>
  <c r="H157" i="1"/>
  <c r="H156" i="1"/>
  <c r="H148" i="1"/>
  <c r="H147" i="1"/>
  <c r="H146" i="1"/>
  <c r="H145" i="1"/>
  <c r="H144" i="1"/>
  <c r="H143" i="1"/>
  <c r="H142" i="1"/>
  <c r="H129" i="1"/>
  <c r="H128" i="1"/>
  <c r="H127" i="1"/>
  <c r="H120" i="1"/>
  <c r="H119" i="1"/>
  <c r="H118" i="1"/>
  <c r="H117" i="1"/>
  <c r="H88" i="1"/>
  <c r="H87" i="1"/>
  <c r="H86" i="1"/>
  <c r="H85" i="1"/>
  <c r="H81" i="1"/>
  <c r="H67" i="1"/>
  <c r="H66" i="1"/>
  <c r="H59" i="1"/>
  <c r="H58" i="1"/>
  <c r="H57" i="1"/>
  <c r="H56" i="1"/>
  <c r="H55" i="1"/>
  <c r="H54" i="1"/>
  <c r="H38" i="1"/>
  <c r="H37" i="1"/>
  <c r="H36" i="1"/>
  <c r="H21" i="1"/>
  <c r="H20" i="1"/>
  <c r="H19" i="1"/>
  <c r="H10" i="1"/>
  <c r="L187" i="6"/>
  <c r="L186" i="6"/>
  <c r="P225" i="6" l="1"/>
  <c r="R225" i="6" s="1"/>
  <c r="T225" i="6" s="1"/>
  <c r="U225" i="6" s="1"/>
  <c r="H187" i="6"/>
  <c r="J187" i="6" s="1"/>
  <c r="H186" i="6"/>
  <c r="H86" i="6"/>
  <c r="H85" i="6"/>
  <c r="H84" i="6"/>
  <c r="H82" i="6"/>
  <c r="J82" i="6" s="1"/>
  <c r="H81" i="6"/>
  <c r="J81" i="6" s="1"/>
  <c r="H80" i="6"/>
  <c r="J80" i="6" s="1"/>
  <c r="H79" i="6"/>
  <c r="J79" i="6" s="1"/>
  <c r="H78" i="6"/>
  <c r="J78" i="6" s="1"/>
  <c r="H77" i="6"/>
  <c r="J77" i="6" s="1"/>
  <c r="H70" i="6"/>
  <c r="J70" i="6" s="1"/>
  <c r="H69" i="6"/>
  <c r="J69" i="6" s="1"/>
  <c r="H68" i="6"/>
  <c r="J68" i="6" s="1"/>
  <c r="H67" i="6"/>
  <c r="J67" i="6" s="1"/>
  <c r="H66" i="6"/>
  <c r="J66" i="6" s="1"/>
  <c r="H65" i="6"/>
  <c r="J65" i="6" s="1"/>
  <c r="J11" i="6"/>
  <c r="H215" i="6" s="1"/>
  <c r="W225" i="6" l="1"/>
  <c r="H11" i="1"/>
  <c r="AN25" i="1"/>
  <c r="AM25" i="1"/>
  <c r="AL25" i="1"/>
  <c r="AK25" i="1"/>
  <c r="AJ25" i="1"/>
  <c r="N119" i="1" s="1"/>
  <c r="AI25" i="1"/>
  <c r="AH25" i="1"/>
  <c r="AG25" i="1"/>
  <c r="AF25" i="1"/>
  <c r="AN24" i="1"/>
  <c r="AM24" i="1"/>
  <c r="AL24" i="1"/>
  <c r="AK24" i="1"/>
  <c r="AJ24" i="1"/>
  <c r="AI24" i="1"/>
  <c r="AH24" i="1"/>
  <c r="AG24" i="1"/>
  <c r="AF24" i="1"/>
  <c r="AN23" i="1"/>
  <c r="AM23" i="1"/>
  <c r="AL23" i="1"/>
  <c r="AK23" i="1"/>
  <c r="AJ23" i="1"/>
  <c r="AI23" i="1"/>
  <c r="AH23" i="1"/>
  <c r="AG23" i="1"/>
  <c r="AF23" i="1"/>
  <c r="AE23" i="1"/>
  <c r="N9" i="1" s="1"/>
  <c r="AD23" i="1"/>
  <c r="N81" i="1" s="1"/>
  <c r="AH22" i="1"/>
  <c r="AG22" i="1"/>
  <c r="AF22" i="1"/>
  <c r="N169" i="1" s="1"/>
  <c r="AE22" i="1"/>
  <c r="AD22" i="1"/>
  <c r="AC21" i="1"/>
  <c r="N173" i="1" s="1"/>
  <c r="AL23" i="6"/>
  <c r="AK23" i="6"/>
  <c r="AJ23" i="6"/>
  <c r="AI23" i="6"/>
  <c r="AH23" i="6"/>
  <c r="AK25" i="6"/>
  <c r="AL25" i="6"/>
  <c r="AJ25" i="6"/>
  <c r="AI25" i="6"/>
  <c r="AL24" i="6"/>
  <c r="L204" i="6" s="1"/>
  <c r="AK24" i="6"/>
  <c r="AJ24" i="6"/>
  <c r="L128" i="6" s="1"/>
  <c r="AI24" i="6"/>
  <c r="AH25" i="6"/>
  <c r="AH24" i="6"/>
  <c r="AG25" i="6"/>
  <c r="AG24" i="6"/>
  <c r="AG23" i="6"/>
  <c r="AF25" i="6"/>
  <c r="L104" i="6" s="1"/>
  <c r="AF24" i="6"/>
  <c r="AF23" i="6"/>
  <c r="L41" i="6" s="1"/>
  <c r="AF22" i="6"/>
  <c r="AE25" i="6"/>
  <c r="AE24" i="6"/>
  <c r="AE23" i="6"/>
  <c r="AE22" i="6"/>
  <c r="AD25" i="6"/>
  <c r="AD24" i="6"/>
  <c r="AD23" i="6"/>
  <c r="AD22" i="6"/>
  <c r="AC23" i="6"/>
  <c r="L12" i="6" s="1"/>
  <c r="AC22" i="6"/>
  <c r="AB23" i="6"/>
  <c r="AB22" i="6"/>
  <c r="AA21" i="6"/>
  <c r="N106" i="1" l="1"/>
  <c r="N105" i="1"/>
  <c r="N104" i="1"/>
  <c r="N103" i="1"/>
  <c r="N108" i="1"/>
  <c r="N107" i="1"/>
  <c r="N112" i="1"/>
  <c r="N111" i="1"/>
  <c r="N110" i="1"/>
  <c r="N109" i="1"/>
  <c r="L98" i="6"/>
  <c r="L118" i="6"/>
  <c r="L117" i="6"/>
  <c r="L116" i="6"/>
  <c r="L115" i="6"/>
  <c r="L113" i="6"/>
  <c r="L114" i="6"/>
  <c r="L109" i="6"/>
  <c r="L112" i="6"/>
  <c r="L110" i="6"/>
  <c r="L111" i="6"/>
  <c r="L19" i="6"/>
  <c r="M89" i="6"/>
  <c r="L140" i="6"/>
  <c r="L139" i="6"/>
  <c r="L143" i="6"/>
  <c r="L142" i="6"/>
  <c r="L179" i="6"/>
  <c r="L173" i="6"/>
  <c r="L168" i="6"/>
  <c r="L171" i="6"/>
  <c r="L169" i="6"/>
  <c r="L170" i="6"/>
  <c r="L125" i="6"/>
  <c r="L172" i="6"/>
  <c r="L18" i="6"/>
  <c r="L49" i="6"/>
  <c r="L14" i="6"/>
  <c r="L40" i="6"/>
  <c r="L95" i="6"/>
  <c r="L11" i="6"/>
  <c r="L101" i="6"/>
  <c r="L13" i="6"/>
  <c r="L165" i="6"/>
  <c r="L97" i="6"/>
  <c r="L84" i="6"/>
  <c r="L103" i="6"/>
  <c r="L102" i="6"/>
  <c r="L86" i="6"/>
  <c r="N74" i="1"/>
  <c r="N87" i="1"/>
  <c r="N73" i="1"/>
  <c r="N193" i="1"/>
  <c r="P193" i="1" s="1"/>
  <c r="N189" i="1"/>
  <c r="N192" i="1"/>
  <c r="N188" i="1"/>
  <c r="N187" i="1"/>
  <c r="N194" i="1"/>
  <c r="P194" i="1" s="1"/>
  <c r="N190" i="1"/>
  <c r="N186" i="1"/>
  <c r="N191" i="1"/>
  <c r="N148" i="1"/>
  <c r="N118" i="1"/>
  <c r="N90" i="1"/>
  <c r="N120" i="1"/>
  <c r="N122" i="1"/>
  <c r="L158" i="6"/>
  <c r="L99" i="6"/>
  <c r="L100" i="6"/>
  <c r="L96" i="6"/>
  <c r="L151" i="6"/>
  <c r="L129" i="6"/>
  <c r="N174" i="1"/>
  <c r="N159" i="1"/>
  <c r="N157" i="1"/>
  <c r="N158" i="1"/>
  <c r="N83" i="1"/>
  <c r="N160" i="1"/>
  <c r="N156" i="1"/>
  <c r="N182" i="1"/>
  <c r="N88" i="1"/>
  <c r="N144" i="1"/>
  <c r="N117" i="1"/>
  <c r="N143" i="1"/>
  <c r="N146" i="1"/>
  <c r="N147" i="1"/>
  <c r="N123" i="1"/>
  <c r="N145" i="1"/>
  <c r="N155" i="1"/>
  <c r="N154" i="1"/>
  <c r="N153" i="1"/>
  <c r="N152" i="1"/>
  <c r="N85" i="1"/>
  <c r="N86" i="1"/>
  <c r="N82" i="1"/>
  <c r="N167" i="1"/>
  <c r="N165" i="1"/>
  <c r="N166" i="1"/>
  <c r="N168" i="1"/>
  <c r="N164" i="1"/>
  <c r="N121" i="1"/>
  <c r="N142" i="1"/>
  <c r="N128" i="1"/>
  <c r="N84" i="1"/>
  <c r="N178" i="1"/>
  <c r="N127" i="1"/>
  <c r="N77" i="1"/>
  <c r="N129" i="1"/>
  <c r="N89" i="1"/>
  <c r="N75" i="1"/>
  <c r="N76" i="1"/>
  <c r="L150" i="6"/>
  <c r="L88" i="6"/>
  <c r="L87" i="6"/>
  <c r="L71" i="6"/>
  <c r="L37" i="6"/>
  <c r="L134" i="6"/>
  <c r="L34" i="6"/>
  <c r="N60" i="1"/>
  <c r="N48" i="1"/>
  <c r="N63" i="1"/>
  <c r="N51" i="1"/>
  <c r="N61" i="1"/>
  <c r="N49" i="1"/>
  <c r="N50" i="1"/>
  <c r="N7" i="1"/>
  <c r="N18" i="1"/>
  <c r="N29" i="1"/>
  <c r="N62" i="1"/>
  <c r="N39" i="1"/>
  <c r="N19" i="1"/>
  <c r="N11" i="1"/>
  <c r="N22" i="1"/>
  <c r="N8" i="1"/>
  <c r="N35" i="1"/>
  <c r="N34" i="1"/>
  <c r="N67" i="1"/>
  <c r="N55" i="1"/>
  <c r="N66" i="1"/>
  <c r="N36" i="1"/>
  <c r="N10" i="1"/>
  <c r="N54" i="1"/>
  <c r="N21" i="1"/>
  <c r="N71" i="1"/>
  <c r="N59" i="1"/>
  <c r="N46" i="1"/>
  <c r="N44" i="1"/>
  <c r="N17" i="1"/>
  <c r="N28" i="1"/>
  <c r="N47" i="1"/>
  <c r="N45" i="1"/>
  <c r="N68" i="1"/>
  <c r="N56" i="1"/>
  <c r="N12" i="1"/>
  <c r="N23" i="1"/>
  <c r="N40" i="1"/>
  <c r="N64" i="1"/>
  <c r="N52" i="1"/>
  <c r="N65" i="1"/>
  <c r="N53" i="1"/>
  <c r="N32" i="1"/>
  <c r="N30" i="1"/>
  <c r="N25" i="1"/>
  <c r="N42" i="1"/>
  <c r="N41" i="1"/>
  <c r="N14" i="1"/>
  <c r="N13" i="1"/>
  <c r="N24" i="1"/>
  <c r="N37" i="1"/>
  <c r="N38" i="1"/>
  <c r="N31" i="1"/>
  <c r="N33" i="1"/>
  <c r="N20" i="1"/>
  <c r="N69" i="1"/>
  <c r="N57" i="1"/>
  <c r="N16" i="1"/>
  <c r="N27" i="1"/>
  <c r="N15" i="1"/>
  <c r="N26" i="1"/>
  <c r="N43" i="1"/>
  <c r="N58" i="1"/>
  <c r="N70" i="1"/>
  <c r="L8" i="6"/>
  <c r="L31" i="6"/>
  <c r="L50" i="6"/>
  <c r="L68" i="6"/>
  <c r="L85" i="6"/>
  <c r="L148" i="6"/>
  <c r="L9" i="6"/>
  <c r="L20" i="6"/>
  <c r="L53" i="6"/>
  <c r="L78" i="6"/>
  <c r="L154" i="6"/>
  <c r="L21" i="6"/>
  <c r="L23" i="6"/>
  <c r="L63" i="6"/>
  <c r="L79" i="6"/>
  <c r="L30" i="6"/>
  <c r="L67" i="6"/>
  <c r="L124" i="6"/>
  <c r="L22" i="6"/>
  <c r="L32" i="6"/>
  <c r="L39" i="6"/>
  <c r="L15" i="6"/>
  <c r="L27" i="6"/>
  <c r="L33" i="6"/>
  <c r="L45" i="6"/>
  <c r="L52" i="6"/>
  <c r="L61" i="6"/>
  <c r="L66" i="6"/>
  <c r="L72" i="6"/>
  <c r="L77" i="6"/>
  <c r="L81" i="6"/>
  <c r="L123" i="6"/>
  <c r="L135" i="6"/>
  <c r="L152" i="6"/>
  <c r="L162" i="6"/>
  <c r="L166" i="6"/>
  <c r="L180" i="6"/>
  <c r="L191" i="6"/>
  <c r="L201" i="6"/>
  <c r="L205" i="6"/>
  <c r="L26" i="6"/>
  <c r="L29" i="6"/>
  <c r="L46" i="6"/>
  <c r="L62" i="6"/>
  <c r="L73" i="6"/>
  <c r="L153" i="6"/>
  <c r="L163" i="6"/>
  <c r="L177" i="6"/>
  <c r="L181" i="6"/>
  <c r="L195" i="6"/>
  <c r="L202" i="6"/>
  <c r="L206" i="6"/>
  <c r="L59" i="6"/>
  <c r="L126" i="6"/>
  <c r="L149" i="6"/>
  <c r="L164" i="6"/>
  <c r="L178" i="6"/>
  <c r="L182" i="6"/>
  <c r="L199" i="6"/>
  <c r="L203" i="6"/>
  <c r="L207" i="6"/>
  <c r="L48" i="6"/>
  <c r="L74" i="6"/>
  <c r="L51" i="6"/>
  <c r="L60" i="6"/>
  <c r="L65" i="6"/>
  <c r="L75" i="6"/>
  <c r="L80" i="6"/>
  <c r="L161" i="6"/>
  <c r="L200" i="6"/>
  <c r="L70" i="6"/>
  <c r="L36" i="6"/>
  <c r="L55" i="6"/>
  <c r="L57" i="6"/>
  <c r="L25" i="6"/>
  <c r="L56" i="6"/>
  <c r="L58" i="6"/>
  <c r="L82" i="6"/>
  <c r="L24" i="6"/>
  <c r="L69" i="6"/>
  <c r="L133" i="6"/>
  <c r="L35" i="6"/>
  <c r="L54" i="6"/>
  <c r="L127" i="6"/>
  <c r="L47" i="6"/>
  <c r="L44" i="6"/>
  <c r="L17" i="6"/>
  <c r="L43" i="6"/>
  <c r="L42" i="6"/>
  <c r="L159" i="6"/>
  <c r="L7" i="6"/>
  <c r="L16" i="6"/>
  <c r="L28" i="6"/>
  <c r="L38" i="6"/>
  <c r="L160" i="6"/>
  <c r="L64" i="6"/>
  <c r="L76" i="6"/>
  <c r="AF29" i="6" l="1"/>
  <c r="H129" i="6" l="1"/>
  <c r="J129" i="6" s="1"/>
  <c r="H128" i="6"/>
  <c r="J128" i="6" s="1"/>
  <c r="H127" i="6"/>
  <c r="J127" i="6" s="1"/>
  <c r="H207" i="6" l="1"/>
  <c r="H206" i="6"/>
  <c r="H205" i="6"/>
  <c r="H204" i="6"/>
  <c r="H203" i="6"/>
  <c r="H202" i="6"/>
  <c r="H201" i="6"/>
  <c r="H200" i="6"/>
  <c r="H199" i="6"/>
  <c r="H195" i="6"/>
  <c r="H191" i="6"/>
  <c r="H182" i="6"/>
  <c r="H181" i="6"/>
  <c r="H180" i="6"/>
  <c r="H179" i="6"/>
  <c r="H178" i="6"/>
  <c r="H177" i="6"/>
  <c r="H166" i="6"/>
  <c r="H165" i="6"/>
  <c r="H164" i="6"/>
  <c r="H163" i="6"/>
  <c r="H162" i="6"/>
  <c r="H161" i="6"/>
  <c r="H160" i="6"/>
  <c r="H159" i="6"/>
  <c r="H158" i="6"/>
  <c r="H154" i="6"/>
  <c r="H153" i="6"/>
  <c r="H152" i="6"/>
  <c r="H151" i="6"/>
  <c r="H150" i="6"/>
  <c r="H149" i="6"/>
  <c r="H148" i="6"/>
  <c r="H135" i="6"/>
  <c r="H134" i="6"/>
  <c r="H133" i="6"/>
  <c r="H126" i="6"/>
  <c r="H125" i="6"/>
  <c r="H124" i="6"/>
  <c r="H123" i="6"/>
  <c r="J87" i="1" l="1"/>
  <c r="J90" i="1"/>
  <c r="J89" i="1"/>
  <c r="J88" i="1"/>
  <c r="J86" i="1"/>
  <c r="J85" i="1"/>
  <c r="J84" i="1"/>
  <c r="J83" i="1"/>
  <c r="J82" i="1"/>
  <c r="J81" i="1"/>
  <c r="J9" i="6" l="1"/>
  <c r="J8" i="6"/>
  <c r="J7" i="6"/>
  <c r="E9" i="6"/>
  <c r="E8" i="6"/>
  <c r="E7" i="6"/>
  <c r="J86" i="6" l="1"/>
  <c r="J85" i="6"/>
  <c r="J84" i="6" l="1"/>
  <c r="R194" i="1" l="1"/>
  <c r="R193" i="1"/>
  <c r="J173" i="1"/>
  <c r="J169" i="1"/>
  <c r="J168" i="1"/>
  <c r="J167" i="1"/>
  <c r="J166" i="1"/>
  <c r="J165" i="1"/>
  <c r="J164" i="1"/>
  <c r="J160" i="1"/>
  <c r="J159" i="1"/>
  <c r="J158" i="1"/>
  <c r="J157" i="1"/>
  <c r="J156" i="1"/>
  <c r="J155" i="1"/>
  <c r="J154" i="1"/>
  <c r="J153" i="1"/>
  <c r="J152" i="1"/>
  <c r="J148" i="1"/>
  <c r="J147" i="1"/>
  <c r="J146" i="1"/>
  <c r="J145" i="1"/>
  <c r="J144" i="1"/>
  <c r="J143" i="1"/>
  <c r="J142" i="1"/>
  <c r="J129" i="1"/>
  <c r="J128" i="1"/>
  <c r="J127" i="1"/>
  <c r="J120" i="1"/>
  <c r="J119" i="1"/>
  <c r="J118" i="1"/>
  <c r="J117" i="1"/>
  <c r="T194" i="1" l="1"/>
  <c r="V194" i="1" s="1"/>
  <c r="Y194" i="1" s="1"/>
  <c r="T193" i="1"/>
  <c r="V193" i="1" s="1"/>
  <c r="J182" i="6"/>
  <c r="W194" i="1" l="1"/>
  <c r="Y193" i="1"/>
  <c r="W193" i="1"/>
  <c r="J207" i="6" l="1"/>
  <c r="J206" i="6"/>
  <c r="J205" i="6"/>
  <c r="J204" i="6"/>
  <c r="J203" i="6"/>
  <c r="J202" i="6"/>
  <c r="J201" i="6"/>
  <c r="J200" i="6"/>
  <c r="J199" i="6"/>
  <c r="J195" i="6"/>
  <c r="J191" i="6"/>
  <c r="J186" i="6"/>
  <c r="J181" i="6"/>
  <c r="J180" i="6"/>
  <c r="J179" i="6"/>
  <c r="J178" i="6"/>
  <c r="J177" i="6"/>
  <c r="J166" i="6"/>
  <c r="J165" i="6"/>
  <c r="J164" i="6"/>
  <c r="J163" i="6"/>
  <c r="J162" i="6"/>
  <c r="J161" i="6"/>
  <c r="J160" i="6"/>
  <c r="J159" i="6"/>
  <c r="J158" i="6"/>
  <c r="J154" i="6"/>
  <c r="J153" i="6"/>
  <c r="J152" i="6"/>
  <c r="J151" i="6"/>
  <c r="J150" i="6"/>
  <c r="J149" i="6"/>
  <c r="J148" i="6"/>
  <c r="J135" i="6"/>
  <c r="J134" i="6"/>
  <c r="J133" i="6"/>
  <c r="J126" i="6"/>
  <c r="J125" i="6"/>
  <c r="J124" i="6"/>
  <c r="J123" i="6"/>
  <c r="H58" i="6" l="1"/>
  <c r="J58" i="6" s="1"/>
  <c r="H57" i="6"/>
  <c r="J57" i="6" s="1"/>
  <c r="H56" i="6"/>
  <c r="J56" i="6" s="1"/>
  <c r="H55" i="6"/>
  <c r="J55" i="6" s="1"/>
  <c r="H54" i="6"/>
  <c r="J54" i="6" s="1"/>
  <c r="H53" i="6"/>
  <c r="J53" i="6" s="1"/>
  <c r="H52" i="6"/>
  <c r="J52" i="6" s="1"/>
  <c r="H51" i="6"/>
  <c r="J51" i="6" s="1"/>
  <c r="H50" i="6"/>
  <c r="J50" i="6" s="1"/>
  <c r="H48" i="6"/>
  <c r="J48" i="6" s="1"/>
  <c r="H47" i="6"/>
  <c r="J47" i="6" s="1"/>
  <c r="H46" i="6"/>
  <c r="J46" i="6" s="1"/>
  <c r="H45" i="6"/>
  <c r="J45" i="6" s="1"/>
  <c r="H36" i="6"/>
  <c r="J36" i="6" s="1"/>
  <c r="H35" i="6"/>
  <c r="J35" i="6" s="1"/>
  <c r="H33" i="6"/>
  <c r="J33" i="6" s="1"/>
  <c r="H32" i="6"/>
  <c r="J32" i="6" s="1"/>
  <c r="H31" i="6"/>
  <c r="J31" i="6" s="1"/>
  <c r="H30" i="6"/>
  <c r="J30" i="6" s="1"/>
  <c r="H29" i="6"/>
  <c r="J29" i="6" s="1"/>
  <c r="H28" i="6"/>
  <c r="J28" i="6" s="1"/>
  <c r="H27" i="6"/>
  <c r="J27" i="6" s="1"/>
  <c r="H25" i="6"/>
  <c r="J25" i="6" s="1"/>
  <c r="H24" i="6"/>
  <c r="J24" i="6" s="1"/>
  <c r="H23" i="6"/>
  <c r="J23" i="6" s="1"/>
  <c r="H22" i="6"/>
  <c r="J22" i="6" s="1"/>
  <c r="H21" i="6"/>
  <c r="J21" i="6" s="1"/>
  <c r="AI33" i="6"/>
  <c r="AH33" i="6"/>
  <c r="M172" i="6" s="1"/>
  <c r="N172" i="6" s="1"/>
  <c r="P172" i="6" s="1"/>
  <c r="R172" i="6" s="1"/>
  <c r="T172" i="6" s="1"/>
  <c r="AG33" i="6"/>
  <c r="H20" i="6"/>
  <c r="J20" i="6" s="1"/>
  <c r="AI32" i="6"/>
  <c r="AH32" i="6"/>
  <c r="AG32" i="6"/>
  <c r="H19" i="6"/>
  <c r="J19" i="6" s="1"/>
  <c r="AI31" i="6"/>
  <c r="AH31" i="6"/>
  <c r="M49" i="6" s="1"/>
  <c r="N49" i="6" s="1"/>
  <c r="P49" i="6" s="1"/>
  <c r="R49" i="6" s="1"/>
  <c r="T49" i="6" s="1"/>
  <c r="AG31" i="6"/>
  <c r="M40" i="6" s="1"/>
  <c r="N40" i="6" s="1"/>
  <c r="P40" i="6" s="1"/>
  <c r="R40" i="6" s="1"/>
  <c r="T40" i="6" s="1"/>
  <c r="AF31" i="6"/>
  <c r="M12" i="6" s="1"/>
  <c r="N12" i="6" s="1"/>
  <c r="P12" i="6" s="1"/>
  <c r="R12" i="6" s="1"/>
  <c r="T12" i="6" s="1"/>
  <c r="AI30" i="6"/>
  <c r="AH30" i="6"/>
  <c r="AG30" i="6"/>
  <c r="AF30" i="6"/>
  <c r="H17" i="6"/>
  <c r="J17" i="6" s="1"/>
  <c r="H16" i="6"/>
  <c r="J16" i="6" s="1"/>
  <c r="H15" i="6"/>
  <c r="J15" i="6" s="1"/>
  <c r="AF10" i="6"/>
  <c r="AF9" i="6"/>
  <c r="AF8" i="6"/>
  <c r="AF7" i="6"/>
  <c r="K89" i="6" s="1"/>
  <c r="N89" i="6" s="1"/>
  <c r="P89" i="6" s="1"/>
  <c r="R89" i="6" s="1"/>
  <c r="T89" i="6" s="1"/>
  <c r="M112" i="6" l="1"/>
  <c r="N112" i="6" s="1"/>
  <c r="P112" i="6" s="1"/>
  <c r="R112" i="6" s="1"/>
  <c r="T112" i="6" s="1"/>
  <c r="M111" i="6"/>
  <c r="N111" i="6" s="1"/>
  <c r="P111" i="6" s="1"/>
  <c r="R111" i="6" s="1"/>
  <c r="T111" i="6" s="1"/>
  <c r="M110" i="6"/>
  <c r="N110" i="6" s="1"/>
  <c r="P110" i="6" s="1"/>
  <c r="R110" i="6" s="1"/>
  <c r="T110" i="6" s="1"/>
  <c r="M109" i="6"/>
  <c r="N109" i="6" s="1"/>
  <c r="P109" i="6" s="1"/>
  <c r="R109" i="6" s="1"/>
  <c r="T109" i="6" s="1"/>
  <c r="M118" i="6"/>
  <c r="N118" i="6" s="1"/>
  <c r="P118" i="6" s="1"/>
  <c r="R118" i="6" s="1"/>
  <c r="T118" i="6" s="1"/>
  <c r="M117" i="6"/>
  <c r="N117" i="6" s="1"/>
  <c r="P117" i="6" s="1"/>
  <c r="R117" i="6" s="1"/>
  <c r="T117" i="6" s="1"/>
  <c r="M113" i="6"/>
  <c r="N113" i="6" s="1"/>
  <c r="P113" i="6" s="1"/>
  <c r="R113" i="6" s="1"/>
  <c r="T113" i="6" s="1"/>
  <c r="M115" i="6"/>
  <c r="N115" i="6" s="1"/>
  <c r="P115" i="6" s="1"/>
  <c r="R115" i="6" s="1"/>
  <c r="T115" i="6" s="1"/>
  <c r="M116" i="6"/>
  <c r="N116" i="6" s="1"/>
  <c r="P116" i="6" s="1"/>
  <c r="R116" i="6" s="1"/>
  <c r="T116" i="6" s="1"/>
  <c r="M114" i="6"/>
  <c r="N114" i="6" s="1"/>
  <c r="P114" i="6" s="1"/>
  <c r="R114" i="6" s="1"/>
  <c r="T114" i="6" s="1"/>
  <c r="W89" i="6"/>
  <c r="U89" i="6"/>
  <c r="H240" i="6"/>
  <c r="H221" i="6"/>
  <c r="H236" i="6"/>
  <c r="H217" i="6"/>
  <c r="H239" i="6"/>
  <c r="H220" i="6"/>
  <c r="H235" i="6"/>
  <c r="H216" i="6"/>
  <c r="M140" i="6"/>
  <c r="N140" i="6" s="1"/>
  <c r="P140" i="6" s="1"/>
  <c r="R140" i="6" s="1"/>
  <c r="T140" i="6" s="1"/>
  <c r="M139" i="6"/>
  <c r="N139" i="6" s="1"/>
  <c r="P139" i="6" s="1"/>
  <c r="R139" i="6" s="1"/>
  <c r="T139" i="6" s="1"/>
  <c r="M127" i="6"/>
  <c r="M142" i="6"/>
  <c r="N142" i="6" s="1"/>
  <c r="P142" i="6" s="1"/>
  <c r="R142" i="6" s="1"/>
  <c r="T142" i="6" s="1"/>
  <c r="M143" i="6"/>
  <c r="N143" i="6" s="1"/>
  <c r="P143" i="6" s="1"/>
  <c r="R143" i="6" s="1"/>
  <c r="T143" i="6" s="1"/>
  <c r="M170" i="6"/>
  <c r="N170" i="6" s="1"/>
  <c r="P170" i="6" s="1"/>
  <c r="R170" i="6" s="1"/>
  <c r="T170" i="6" s="1"/>
  <c r="M173" i="6"/>
  <c r="N173" i="6" s="1"/>
  <c r="P173" i="6" s="1"/>
  <c r="R173" i="6" s="1"/>
  <c r="T173" i="6" s="1"/>
  <c r="M171" i="6"/>
  <c r="N171" i="6" s="1"/>
  <c r="P171" i="6" s="1"/>
  <c r="R171" i="6" s="1"/>
  <c r="T171" i="6" s="1"/>
  <c r="M168" i="6"/>
  <c r="N168" i="6" s="1"/>
  <c r="P168" i="6" s="1"/>
  <c r="R168" i="6" s="1"/>
  <c r="T168" i="6" s="1"/>
  <c r="M169" i="6"/>
  <c r="N169" i="6" s="1"/>
  <c r="P169" i="6" s="1"/>
  <c r="R169" i="6" s="1"/>
  <c r="T169" i="6" s="1"/>
  <c r="U172" i="6"/>
  <c r="W172" i="6"/>
  <c r="W49" i="6"/>
  <c r="U49" i="6"/>
  <c r="EY169" i="6"/>
  <c r="N18" i="6" s="1"/>
  <c r="P18" i="6" s="1"/>
  <c r="R18" i="6" s="1"/>
  <c r="T18" i="6" s="1"/>
  <c r="W18" i="6" s="1"/>
  <c r="M41" i="6"/>
  <c r="N41" i="6" s="1"/>
  <c r="P41" i="6" s="1"/>
  <c r="R41" i="6" s="1"/>
  <c r="T41" i="6" s="1"/>
  <c r="U40" i="6"/>
  <c r="W40" i="6"/>
  <c r="W12" i="6"/>
  <c r="U12" i="6"/>
  <c r="M13" i="6"/>
  <c r="N13" i="6" s="1"/>
  <c r="P13" i="6" s="1"/>
  <c r="R13" i="6" s="1"/>
  <c r="T13" i="6" s="1"/>
  <c r="M14" i="6"/>
  <c r="N14" i="6" s="1"/>
  <c r="P14" i="6" s="1"/>
  <c r="R14" i="6" s="1"/>
  <c r="T14" i="6" s="1"/>
  <c r="N182" i="6"/>
  <c r="P182" i="6" s="1"/>
  <c r="R182" i="6" s="1"/>
  <c r="T182" i="6" s="1"/>
  <c r="N127" i="6"/>
  <c r="P127" i="6" s="1"/>
  <c r="R127" i="6" s="1"/>
  <c r="T127" i="6" s="1"/>
  <c r="M37" i="6"/>
  <c r="N37" i="6" s="1"/>
  <c r="P37" i="6" s="1"/>
  <c r="R37" i="6" s="1"/>
  <c r="T37" i="6" s="1"/>
  <c r="M101" i="6"/>
  <c r="M103" i="6"/>
  <c r="N103" i="6" s="1"/>
  <c r="P103" i="6" s="1"/>
  <c r="R103" i="6" s="1"/>
  <c r="T103" i="6" s="1"/>
  <c r="M102" i="6"/>
  <c r="M97" i="6"/>
  <c r="M9" i="6"/>
  <c r="M104" i="6"/>
  <c r="M98" i="6"/>
  <c r="M7" i="6"/>
  <c r="M100" i="6"/>
  <c r="M96" i="6"/>
  <c r="M99" i="6"/>
  <c r="M95" i="6"/>
  <c r="M88" i="6"/>
  <c r="M87" i="6"/>
  <c r="M135" i="6"/>
  <c r="M34" i="6"/>
  <c r="M8" i="6"/>
  <c r="M86" i="6"/>
  <c r="M187" i="6"/>
  <c r="M85" i="6"/>
  <c r="M84" i="6"/>
  <c r="M123" i="6"/>
  <c r="M128" i="6"/>
  <c r="M129" i="6"/>
  <c r="M27" i="6"/>
  <c r="M186" i="6"/>
  <c r="M161" i="6"/>
  <c r="M160" i="6"/>
  <c r="M159" i="6"/>
  <c r="M158" i="6"/>
  <c r="M20" i="6"/>
  <c r="M165" i="6"/>
  <c r="M164" i="6"/>
  <c r="M166" i="6"/>
  <c r="M163" i="6"/>
  <c r="M162" i="6"/>
  <c r="M150" i="6"/>
  <c r="M149" i="6"/>
  <c r="M124" i="6"/>
  <c r="M154" i="6"/>
  <c r="M180" i="6"/>
  <c r="M181" i="6"/>
  <c r="M153" i="6"/>
  <c r="M179" i="6"/>
  <c r="M134" i="6"/>
  <c r="M148" i="6"/>
  <c r="M191" i="6"/>
  <c r="M133" i="6"/>
  <c r="M152" i="6"/>
  <c r="M178" i="6"/>
  <c r="M177" i="6"/>
  <c r="M207" i="6"/>
  <c r="M203" i="6"/>
  <c r="M199" i="6"/>
  <c r="M126" i="6"/>
  <c r="M206" i="6"/>
  <c r="M202" i="6"/>
  <c r="M201" i="6"/>
  <c r="M195" i="6"/>
  <c r="M200" i="6"/>
  <c r="M125" i="6"/>
  <c r="M205" i="6"/>
  <c r="M151" i="6"/>
  <c r="M204" i="6"/>
  <c r="M24" i="6"/>
  <c r="M25" i="6"/>
  <c r="M32" i="6"/>
  <c r="M31" i="6"/>
  <c r="M75" i="6"/>
  <c r="M71" i="6"/>
  <c r="M63" i="6"/>
  <c r="M59" i="6"/>
  <c r="M62" i="6"/>
  <c r="M61" i="6"/>
  <c r="M60" i="6"/>
  <c r="M76" i="6"/>
  <c r="M74" i="6"/>
  <c r="M73" i="6"/>
  <c r="M72" i="6"/>
  <c r="M64" i="6"/>
  <c r="M44" i="6"/>
  <c r="M39" i="6"/>
  <c r="M29" i="6"/>
  <c r="M43" i="6"/>
  <c r="M42" i="6"/>
  <c r="M47" i="6"/>
  <c r="M46" i="6"/>
  <c r="M17" i="6"/>
  <c r="M16" i="6"/>
  <c r="M11" i="6"/>
  <c r="M38" i="6"/>
  <c r="M82" i="6"/>
  <c r="M81" i="6"/>
  <c r="M80" i="6"/>
  <c r="M70" i="6"/>
  <c r="M69" i="6"/>
  <c r="M68" i="6"/>
  <c r="M58" i="6"/>
  <c r="M55" i="6"/>
  <c r="M54" i="6"/>
  <c r="M57" i="6"/>
  <c r="M56" i="6"/>
  <c r="M23" i="6"/>
  <c r="M35" i="6"/>
  <c r="M48" i="6"/>
  <c r="M33" i="6"/>
  <c r="M53" i="6"/>
  <c r="M52" i="6"/>
  <c r="M22" i="6"/>
  <c r="M21" i="6"/>
  <c r="M26" i="6"/>
  <c r="M45" i="6"/>
  <c r="M50" i="6"/>
  <c r="M15" i="6"/>
  <c r="M19" i="6"/>
  <c r="M30" i="6"/>
  <c r="M28" i="6"/>
  <c r="M36" i="6"/>
  <c r="M78" i="6"/>
  <c r="M79" i="6"/>
  <c r="M67" i="6"/>
  <c r="M77" i="6"/>
  <c r="M66" i="6"/>
  <c r="M65" i="6"/>
  <c r="M51" i="6"/>
  <c r="AK34" i="1"/>
  <c r="AJ34" i="1"/>
  <c r="O127" i="1" s="1"/>
  <c r="P127" i="1" s="1"/>
  <c r="AI34" i="1"/>
  <c r="AK33" i="1"/>
  <c r="AJ33" i="1"/>
  <c r="AI33" i="1"/>
  <c r="AK32" i="1"/>
  <c r="AJ32" i="1"/>
  <c r="AI32" i="1"/>
  <c r="O87" i="1" s="1"/>
  <c r="P87" i="1" s="1"/>
  <c r="AH32" i="1"/>
  <c r="O9" i="1" s="1"/>
  <c r="P9" i="1" s="1"/>
  <c r="R9" i="1" s="1"/>
  <c r="T9" i="1" s="1"/>
  <c r="V9" i="1" s="1"/>
  <c r="AK31" i="1"/>
  <c r="AJ31" i="1"/>
  <c r="AI31" i="1"/>
  <c r="AH31" i="1"/>
  <c r="AH30" i="1"/>
  <c r="O173" i="1" s="1"/>
  <c r="P173" i="1" s="1"/>
  <c r="H8" i="1"/>
  <c r="H12" i="1"/>
  <c r="H13" i="1"/>
  <c r="H14" i="1"/>
  <c r="H15" i="1"/>
  <c r="H16" i="1"/>
  <c r="H17" i="1"/>
  <c r="H22" i="1"/>
  <c r="H23" i="1"/>
  <c r="H24" i="1"/>
  <c r="H25" i="1"/>
  <c r="H26" i="1"/>
  <c r="H27" i="1"/>
  <c r="H28" i="1"/>
  <c r="H35" i="1"/>
  <c r="H39" i="1"/>
  <c r="H40" i="1"/>
  <c r="H41" i="1"/>
  <c r="H42" i="1"/>
  <c r="H43" i="1"/>
  <c r="H44" i="1"/>
  <c r="H45" i="1"/>
  <c r="H46" i="1"/>
  <c r="H47" i="1"/>
  <c r="O112" i="1" l="1"/>
  <c r="P112" i="1" s="1"/>
  <c r="R112" i="1" s="1"/>
  <c r="T112" i="1" s="1"/>
  <c r="V112" i="1" s="1"/>
  <c r="O111" i="1"/>
  <c r="P111" i="1" s="1"/>
  <c r="R111" i="1" s="1"/>
  <c r="T111" i="1" s="1"/>
  <c r="V111" i="1" s="1"/>
  <c r="O110" i="1"/>
  <c r="P110" i="1" s="1"/>
  <c r="R110" i="1" s="1"/>
  <c r="T110" i="1" s="1"/>
  <c r="V110" i="1" s="1"/>
  <c r="O109" i="1"/>
  <c r="P109" i="1" s="1"/>
  <c r="R109" i="1" s="1"/>
  <c r="T109" i="1" s="1"/>
  <c r="V109" i="1" s="1"/>
  <c r="O108" i="1"/>
  <c r="P108" i="1" s="1"/>
  <c r="R108" i="1" s="1"/>
  <c r="T108" i="1" s="1"/>
  <c r="V108" i="1" s="1"/>
  <c r="O107" i="1"/>
  <c r="P107" i="1" s="1"/>
  <c r="R107" i="1" s="1"/>
  <c r="T107" i="1" s="1"/>
  <c r="V107" i="1" s="1"/>
  <c r="O105" i="1"/>
  <c r="P105" i="1" s="1"/>
  <c r="R105" i="1" s="1"/>
  <c r="T105" i="1" s="1"/>
  <c r="V105" i="1" s="1"/>
  <c r="O104" i="1"/>
  <c r="P104" i="1" s="1"/>
  <c r="R104" i="1" s="1"/>
  <c r="T104" i="1" s="1"/>
  <c r="V104" i="1" s="1"/>
  <c r="O106" i="1"/>
  <c r="P106" i="1" s="1"/>
  <c r="R106" i="1" s="1"/>
  <c r="T106" i="1" s="1"/>
  <c r="V106" i="1" s="1"/>
  <c r="O103" i="1"/>
  <c r="P103" i="1" s="1"/>
  <c r="R103" i="1" s="1"/>
  <c r="T103" i="1" s="1"/>
  <c r="V103" i="1" s="1"/>
  <c r="W113" i="6"/>
  <c r="U113" i="6"/>
  <c r="W117" i="6"/>
  <c r="U117" i="6"/>
  <c r="W118" i="6"/>
  <c r="U118" i="6"/>
  <c r="U109" i="6"/>
  <c r="W109" i="6"/>
  <c r="W116" i="6"/>
  <c r="U116" i="6"/>
  <c r="W110" i="6"/>
  <c r="U110" i="6"/>
  <c r="U115" i="6"/>
  <c r="W115" i="6"/>
  <c r="U111" i="6"/>
  <c r="W111" i="6"/>
  <c r="U114" i="6"/>
  <c r="W114" i="6"/>
  <c r="W112" i="6"/>
  <c r="U112" i="6"/>
  <c r="P215" i="6"/>
  <c r="R215" i="6" s="1"/>
  <c r="T215" i="6" s="1"/>
  <c r="U18" i="6"/>
  <c r="P235" i="6"/>
  <c r="R235" i="6" s="1"/>
  <c r="T235" i="6" s="1"/>
  <c r="U235" i="6" s="1"/>
  <c r="W235" i="6"/>
  <c r="W215" i="6"/>
  <c r="U215" i="6"/>
  <c r="U143" i="6"/>
  <c r="W143" i="6"/>
  <c r="W142" i="6"/>
  <c r="U142" i="6"/>
  <c r="U139" i="6"/>
  <c r="W139" i="6"/>
  <c r="W140" i="6"/>
  <c r="U140" i="6"/>
  <c r="W168" i="6"/>
  <c r="U168" i="6"/>
  <c r="W169" i="6"/>
  <c r="U169" i="6"/>
  <c r="U171" i="6"/>
  <c r="W171" i="6"/>
  <c r="W173" i="6"/>
  <c r="U173" i="6"/>
  <c r="W170" i="6"/>
  <c r="U170" i="6"/>
  <c r="W41" i="6"/>
  <c r="U41" i="6"/>
  <c r="U14" i="6"/>
  <c r="W14" i="6"/>
  <c r="W13" i="6"/>
  <c r="U13" i="6"/>
  <c r="W9" i="1"/>
  <c r="Y9" i="1"/>
  <c r="N129" i="6"/>
  <c r="P129" i="6" s="1"/>
  <c r="R129" i="6" s="1"/>
  <c r="T129" i="6" s="1"/>
  <c r="W129" i="6" s="1"/>
  <c r="N95" i="6"/>
  <c r="P95" i="6" s="1"/>
  <c r="R95" i="6" s="1"/>
  <c r="T95" i="6" s="1"/>
  <c r="W95" i="6" s="1"/>
  <c r="N97" i="6"/>
  <c r="P97" i="6" s="1"/>
  <c r="R97" i="6" s="1"/>
  <c r="T97" i="6" s="1"/>
  <c r="W97" i="6" s="1"/>
  <c r="N86" i="6"/>
  <c r="P86" i="6" s="1"/>
  <c r="R86" i="6" s="1"/>
  <c r="T86" i="6" s="1"/>
  <c r="U86" i="6" s="1"/>
  <c r="N102" i="6"/>
  <c r="P102" i="6" s="1"/>
  <c r="R102" i="6" s="1"/>
  <c r="T102" i="6" s="1"/>
  <c r="W102" i="6" s="1"/>
  <c r="N100" i="6"/>
  <c r="P100" i="6" s="1"/>
  <c r="R100" i="6" s="1"/>
  <c r="T100" i="6" s="1"/>
  <c r="W100" i="6" s="1"/>
  <c r="N98" i="6"/>
  <c r="P98" i="6" s="1"/>
  <c r="R98" i="6" s="1"/>
  <c r="T98" i="6" s="1"/>
  <c r="W98" i="6" s="1"/>
  <c r="N85" i="6"/>
  <c r="P85" i="6" s="1"/>
  <c r="R85" i="6" s="1"/>
  <c r="T85" i="6" s="1"/>
  <c r="U85" i="6" s="1"/>
  <c r="N88" i="6"/>
  <c r="P88" i="6" s="1"/>
  <c r="R88" i="6" s="1"/>
  <c r="T88" i="6" s="1"/>
  <c r="W88" i="6" s="1"/>
  <c r="N96" i="6"/>
  <c r="P96" i="6" s="1"/>
  <c r="R96" i="6" s="1"/>
  <c r="T96" i="6" s="1"/>
  <c r="W96" i="6" s="1"/>
  <c r="W127" i="6"/>
  <c r="U127" i="6"/>
  <c r="N87" i="6"/>
  <c r="P87" i="6" s="1"/>
  <c r="R87" i="6" s="1"/>
  <c r="T87" i="6" s="1"/>
  <c r="W87" i="6" s="1"/>
  <c r="N9" i="6"/>
  <c r="P9" i="6" s="1"/>
  <c r="R9" i="6" s="1"/>
  <c r="T9" i="6" s="1"/>
  <c r="U9" i="6" s="1"/>
  <c r="N7" i="6"/>
  <c r="P7" i="6" s="1"/>
  <c r="R7" i="6" s="1"/>
  <c r="T7" i="6" s="1"/>
  <c r="W7" i="6" s="1"/>
  <c r="N84" i="6"/>
  <c r="P84" i="6" s="1"/>
  <c r="R84" i="6" s="1"/>
  <c r="T84" i="6" s="1"/>
  <c r="W84" i="6" s="1"/>
  <c r="N8" i="6"/>
  <c r="P8" i="6" s="1"/>
  <c r="R8" i="6" s="1"/>
  <c r="T8" i="6" s="1"/>
  <c r="U8" i="6" s="1"/>
  <c r="N104" i="6"/>
  <c r="P104" i="6" s="1"/>
  <c r="R104" i="6" s="1"/>
  <c r="T104" i="6" s="1"/>
  <c r="U104" i="6" s="1"/>
  <c r="N128" i="6"/>
  <c r="P128" i="6" s="1"/>
  <c r="R128" i="6" s="1"/>
  <c r="T128" i="6" s="1"/>
  <c r="W128" i="6" s="1"/>
  <c r="N99" i="6"/>
  <c r="P99" i="6" s="1"/>
  <c r="R99" i="6" s="1"/>
  <c r="T99" i="6" s="1"/>
  <c r="W99" i="6" s="1"/>
  <c r="W182" i="6"/>
  <c r="U182" i="6"/>
  <c r="O90" i="1"/>
  <c r="O77" i="1"/>
  <c r="O76" i="1"/>
  <c r="O84" i="1"/>
  <c r="O75" i="1"/>
  <c r="W103" i="6"/>
  <c r="U103" i="6"/>
  <c r="O154" i="1"/>
  <c r="P154" i="1" s="1"/>
  <c r="O86" i="1"/>
  <c r="O82" i="1"/>
  <c r="O153" i="1"/>
  <c r="P153" i="1" s="1"/>
  <c r="O85" i="1"/>
  <c r="O81" i="1"/>
  <c r="O152" i="1"/>
  <c r="P152" i="1" s="1"/>
  <c r="O155" i="1"/>
  <c r="P155" i="1" s="1"/>
  <c r="O158" i="1"/>
  <c r="P158" i="1" s="1"/>
  <c r="O73" i="1"/>
  <c r="O174" i="1"/>
  <c r="O156" i="1"/>
  <c r="P156" i="1" s="1"/>
  <c r="O157" i="1"/>
  <c r="P157" i="1" s="1"/>
  <c r="O89" i="1"/>
  <c r="O160" i="1"/>
  <c r="P160" i="1" s="1"/>
  <c r="O159" i="1"/>
  <c r="P159" i="1" s="1"/>
  <c r="O83" i="1"/>
  <c r="O74" i="1"/>
  <c r="O88" i="1"/>
  <c r="N101" i="6"/>
  <c r="P101" i="6" s="1"/>
  <c r="R101" i="6" s="1"/>
  <c r="T101" i="6" s="1"/>
  <c r="O117" i="1"/>
  <c r="P117" i="1" s="1"/>
  <c r="O121" i="1"/>
  <c r="O123" i="1"/>
  <c r="O122" i="1"/>
  <c r="N186" i="6"/>
  <c r="P186" i="6" s="1"/>
  <c r="R186" i="6" s="1"/>
  <c r="T186" i="6" s="1"/>
  <c r="N187" i="6"/>
  <c r="P187" i="6" s="1"/>
  <c r="R187" i="6" s="1"/>
  <c r="T187" i="6" s="1"/>
  <c r="N34" i="6"/>
  <c r="P34" i="6" s="1"/>
  <c r="R34" i="6" s="1"/>
  <c r="T34" i="6" s="1"/>
  <c r="U34" i="6" s="1"/>
  <c r="U37" i="6"/>
  <c r="W37" i="6"/>
  <c r="O166" i="1"/>
  <c r="P166" i="1" s="1"/>
  <c r="O165" i="1"/>
  <c r="P165" i="1" s="1"/>
  <c r="O168" i="1"/>
  <c r="P168" i="1" s="1"/>
  <c r="O164" i="1"/>
  <c r="P164" i="1" s="1"/>
  <c r="O167" i="1"/>
  <c r="P167" i="1" s="1"/>
  <c r="O63" i="1"/>
  <c r="O51" i="1"/>
  <c r="O30" i="1"/>
  <c r="O7" i="1"/>
  <c r="O62" i="1"/>
  <c r="O50" i="1"/>
  <c r="O32" i="1"/>
  <c r="O29" i="1"/>
  <c r="O18" i="1"/>
  <c r="O65" i="1"/>
  <c r="O61" i="1"/>
  <c r="O53" i="1"/>
  <c r="O49" i="1"/>
  <c r="O64" i="1"/>
  <c r="O60" i="1"/>
  <c r="O52" i="1"/>
  <c r="O48" i="1"/>
  <c r="O20" i="1"/>
  <c r="O24" i="1"/>
  <c r="O12" i="1"/>
  <c r="O42" i="1"/>
  <c r="O23" i="1"/>
  <c r="O41" i="1"/>
  <c r="O14" i="1"/>
  <c r="O68" i="1"/>
  <c r="O56" i="1"/>
  <c r="O40" i="1"/>
  <c r="O25" i="1"/>
  <c r="O13" i="1"/>
  <c r="O128" i="1"/>
  <c r="P128" i="1" s="1"/>
  <c r="O71" i="1"/>
  <c r="O59" i="1"/>
  <c r="O17" i="1"/>
  <c r="O28" i="1"/>
  <c r="O129" i="1"/>
  <c r="P129" i="1" s="1"/>
  <c r="O47" i="1"/>
  <c r="O45" i="1"/>
  <c r="O118" i="1"/>
  <c r="P118" i="1" s="1"/>
  <c r="O120" i="1"/>
  <c r="P120" i="1" s="1"/>
  <c r="O145" i="1"/>
  <c r="P145" i="1" s="1"/>
  <c r="O119" i="1"/>
  <c r="P119" i="1" s="1"/>
  <c r="O67" i="1"/>
  <c r="O55" i="1"/>
  <c r="O37" i="1"/>
  <c r="O169" i="1"/>
  <c r="P169" i="1" s="1"/>
  <c r="R87" i="1"/>
  <c r="T87" i="1" s="1"/>
  <c r="V87" i="1" s="1"/>
  <c r="O66" i="1"/>
  <c r="O54" i="1"/>
  <c r="O36" i="1"/>
  <c r="O38" i="1"/>
  <c r="O21" i="1"/>
  <c r="O10" i="1"/>
  <c r="O148" i="1"/>
  <c r="P148" i="1" s="1"/>
  <c r="O147" i="1"/>
  <c r="P147" i="1" s="1"/>
  <c r="O188" i="1"/>
  <c r="P188" i="1" s="1"/>
  <c r="O146" i="1"/>
  <c r="P146" i="1" s="1"/>
  <c r="O182" i="1"/>
  <c r="P182" i="1" s="1"/>
  <c r="O189" i="1"/>
  <c r="P189" i="1" s="1"/>
  <c r="O192" i="1"/>
  <c r="P192" i="1" s="1"/>
  <c r="O187" i="1"/>
  <c r="P187" i="1" s="1"/>
  <c r="O191" i="1"/>
  <c r="P191" i="1" s="1"/>
  <c r="O186" i="1"/>
  <c r="P186" i="1" s="1"/>
  <c r="O190" i="1"/>
  <c r="P190" i="1" s="1"/>
  <c r="O33" i="1"/>
  <c r="O34" i="1"/>
  <c r="O31" i="1"/>
  <c r="O39" i="1"/>
  <c r="O8" i="1"/>
  <c r="O19" i="1"/>
  <c r="O11" i="1"/>
  <c r="O22" i="1"/>
  <c r="O35" i="1"/>
  <c r="O144" i="1"/>
  <c r="P144" i="1" s="1"/>
  <c r="O46" i="1"/>
  <c r="O44" i="1"/>
  <c r="O143" i="1"/>
  <c r="P143" i="1" s="1"/>
  <c r="O70" i="1"/>
  <c r="O58" i="1"/>
  <c r="O43" i="1"/>
  <c r="O16" i="1"/>
  <c r="O142" i="1"/>
  <c r="P142" i="1" s="1"/>
  <c r="O69" i="1"/>
  <c r="O57" i="1"/>
  <c r="O27" i="1"/>
  <c r="O15" i="1"/>
  <c r="O26" i="1"/>
  <c r="O178" i="1"/>
  <c r="P178" i="1" s="1"/>
  <c r="N24" i="6"/>
  <c r="P24" i="6" s="1"/>
  <c r="R24" i="6" s="1"/>
  <c r="T24" i="6" s="1"/>
  <c r="U24" i="6" s="1"/>
  <c r="N20" i="6"/>
  <c r="P20" i="6" s="1"/>
  <c r="R20" i="6" s="1"/>
  <c r="T20" i="6" s="1"/>
  <c r="U20" i="6" s="1"/>
  <c r="N25" i="6"/>
  <c r="P25" i="6" s="1"/>
  <c r="R25" i="6" s="1"/>
  <c r="T25" i="6" s="1"/>
  <c r="W25" i="6" s="1"/>
  <c r="N204" i="6"/>
  <c r="P204" i="6" s="1"/>
  <c r="R204" i="6" s="1"/>
  <c r="T204" i="6" s="1"/>
  <c r="W204" i="6" s="1"/>
  <c r="N133" i="6"/>
  <c r="P133" i="6" s="1"/>
  <c r="R133" i="6" s="1"/>
  <c r="T133" i="6" s="1"/>
  <c r="W133" i="6" s="1"/>
  <c r="N164" i="6"/>
  <c r="P164" i="6" s="1"/>
  <c r="R164" i="6" s="1"/>
  <c r="T164" i="6" s="1"/>
  <c r="U164" i="6" s="1"/>
  <c r="N205" i="6"/>
  <c r="P205" i="6" s="1"/>
  <c r="R205" i="6" s="1"/>
  <c r="T205" i="6" s="1"/>
  <c r="U205" i="6" s="1"/>
  <c r="N148" i="6"/>
  <c r="P148" i="6" s="1"/>
  <c r="R148" i="6" s="1"/>
  <c r="T148" i="6" s="1"/>
  <c r="W148" i="6" s="1"/>
  <c r="N135" i="6"/>
  <c r="P135" i="6" s="1"/>
  <c r="R135" i="6" s="1"/>
  <c r="T135" i="6" s="1"/>
  <c r="W135" i="6" s="1"/>
  <c r="N163" i="6"/>
  <c r="P163" i="6" s="1"/>
  <c r="R163" i="6" s="1"/>
  <c r="T163" i="6" s="1"/>
  <c r="U163" i="6" s="1"/>
  <c r="N29" i="6"/>
  <c r="P29" i="6" s="1"/>
  <c r="R29" i="6" s="1"/>
  <c r="T29" i="6" s="1"/>
  <c r="U29" i="6" s="1"/>
  <c r="N125" i="6"/>
  <c r="P125" i="6" s="1"/>
  <c r="R125" i="6" s="1"/>
  <c r="T125" i="6" s="1"/>
  <c r="N202" i="6"/>
  <c r="P202" i="6" s="1"/>
  <c r="R202" i="6" s="1"/>
  <c r="T202" i="6" s="1"/>
  <c r="N203" i="6"/>
  <c r="P203" i="6" s="1"/>
  <c r="R203" i="6" s="1"/>
  <c r="T203" i="6" s="1"/>
  <c r="N152" i="6"/>
  <c r="P152" i="6" s="1"/>
  <c r="R152" i="6" s="1"/>
  <c r="T152" i="6" s="1"/>
  <c r="N134" i="6"/>
  <c r="P134" i="6" s="1"/>
  <c r="R134" i="6" s="1"/>
  <c r="T134" i="6" s="1"/>
  <c r="N181" i="6"/>
  <c r="P181" i="6" s="1"/>
  <c r="R181" i="6" s="1"/>
  <c r="T181" i="6" s="1"/>
  <c r="N124" i="6"/>
  <c r="P124" i="6" s="1"/>
  <c r="R124" i="6" s="1"/>
  <c r="T124" i="6" s="1"/>
  <c r="N166" i="6"/>
  <c r="P166" i="6" s="1"/>
  <c r="R166" i="6" s="1"/>
  <c r="T166" i="6" s="1"/>
  <c r="N158" i="6"/>
  <c r="P158" i="6" s="1"/>
  <c r="R158" i="6" s="1"/>
  <c r="T158" i="6" s="1"/>
  <c r="N200" i="6"/>
  <c r="P200" i="6" s="1"/>
  <c r="R200" i="6" s="1"/>
  <c r="T200" i="6" s="1"/>
  <c r="N206" i="6"/>
  <c r="P206" i="6" s="1"/>
  <c r="R206" i="6" s="1"/>
  <c r="T206" i="6" s="1"/>
  <c r="N207" i="6"/>
  <c r="P207" i="6" s="1"/>
  <c r="R207" i="6" s="1"/>
  <c r="T207" i="6" s="1"/>
  <c r="N179" i="6"/>
  <c r="P179" i="6" s="1"/>
  <c r="R179" i="6" s="1"/>
  <c r="T179" i="6" s="1"/>
  <c r="N180" i="6"/>
  <c r="P180" i="6" s="1"/>
  <c r="R180" i="6" s="1"/>
  <c r="T180" i="6" s="1"/>
  <c r="N149" i="6"/>
  <c r="P149" i="6" s="1"/>
  <c r="R149" i="6" s="1"/>
  <c r="T149" i="6" s="1"/>
  <c r="N159" i="6"/>
  <c r="P159" i="6" s="1"/>
  <c r="R159" i="6" s="1"/>
  <c r="T159" i="6" s="1"/>
  <c r="N151" i="6"/>
  <c r="P151" i="6" s="1"/>
  <c r="R151" i="6" s="1"/>
  <c r="T151" i="6" s="1"/>
  <c r="N195" i="6"/>
  <c r="P195" i="6" s="1"/>
  <c r="R195" i="6" s="1"/>
  <c r="T195" i="6" s="1"/>
  <c r="N126" i="6"/>
  <c r="P126" i="6" s="1"/>
  <c r="R126" i="6" s="1"/>
  <c r="T126" i="6" s="1"/>
  <c r="N177" i="6"/>
  <c r="P177" i="6" s="1"/>
  <c r="R177" i="6" s="1"/>
  <c r="T177" i="6" s="1"/>
  <c r="N191" i="6"/>
  <c r="P191" i="6" s="1"/>
  <c r="R191" i="6" s="1"/>
  <c r="T191" i="6" s="1"/>
  <c r="N153" i="6"/>
  <c r="P153" i="6" s="1"/>
  <c r="R153" i="6" s="1"/>
  <c r="T153" i="6" s="1"/>
  <c r="N154" i="6"/>
  <c r="P154" i="6" s="1"/>
  <c r="R154" i="6" s="1"/>
  <c r="T154" i="6" s="1"/>
  <c r="N150" i="6"/>
  <c r="P150" i="6" s="1"/>
  <c r="R150" i="6" s="1"/>
  <c r="T150" i="6" s="1"/>
  <c r="N162" i="6"/>
  <c r="P162" i="6" s="1"/>
  <c r="R162" i="6" s="1"/>
  <c r="T162" i="6" s="1"/>
  <c r="N165" i="6"/>
  <c r="P165" i="6" s="1"/>
  <c r="R165" i="6" s="1"/>
  <c r="T165" i="6" s="1"/>
  <c r="N160" i="6"/>
  <c r="P160" i="6" s="1"/>
  <c r="R160" i="6" s="1"/>
  <c r="T160" i="6" s="1"/>
  <c r="N201" i="6"/>
  <c r="P201" i="6" s="1"/>
  <c r="R201" i="6" s="1"/>
  <c r="T201" i="6" s="1"/>
  <c r="N199" i="6"/>
  <c r="P199" i="6" s="1"/>
  <c r="R199" i="6" s="1"/>
  <c r="T199" i="6" s="1"/>
  <c r="N178" i="6"/>
  <c r="P178" i="6" s="1"/>
  <c r="R178" i="6" s="1"/>
  <c r="T178" i="6" s="1"/>
  <c r="N123" i="6"/>
  <c r="P123" i="6" s="1"/>
  <c r="R123" i="6" s="1"/>
  <c r="T123" i="6" s="1"/>
  <c r="N161" i="6"/>
  <c r="P161" i="6" s="1"/>
  <c r="R161" i="6" s="1"/>
  <c r="T161" i="6" s="1"/>
  <c r="N26" i="6"/>
  <c r="P26" i="6" s="1"/>
  <c r="R26" i="6" s="1"/>
  <c r="T26" i="6" s="1"/>
  <c r="U26" i="6" s="1"/>
  <c r="N53" i="6"/>
  <c r="P53" i="6" s="1"/>
  <c r="R53" i="6" s="1"/>
  <c r="T53" i="6" s="1"/>
  <c r="W53" i="6" s="1"/>
  <c r="N77" i="6"/>
  <c r="P77" i="6" s="1"/>
  <c r="R77" i="6" s="1"/>
  <c r="T77" i="6" s="1"/>
  <c r="W77" i="6" s="1"/>
  <c r="N45" i="6"/>
  <c r="P45" i="6" s="1"/>
  <c r="R45" i="6" s="1"/>
  <c r="T45" i="6" s="1"/>
  <c r="U45" i="6" s="1"/>
  <c r="N32" i="6"/>
  <c r="P32" i="6" s="1"/>
  <c r="R32" i="6" s="1"/>
  <c r="T32" i="6" s="1"/>
  <c r="W32" i="6" s="1"/>
  <c r="N52" i="6"/>
  <c r="P52" i="6" s="1"/>
  <c r="R52" i="6" s="1"/>
  <c r="T52" i="6" s="1"/>
  <c r="W52" i="6" s="1"/>
  <c r="N57" i="6"/>
  <c r="P57" i="6" s="1"/>
  <c r="R57" i="6" s="1"/>
  <c r="T57" i="6" s="1"/>
  <c r="W57" i="6" s="1"/>
  <c r="N17" i="6"/>
  <c r="P17" i="6" s="1"/>
  <c r="R17" i="6" s="1"/>
  <c r="T17" i="6" s="1"/>
  <c r="U17" i="6" s="1"/>
  <c r="N42" i="6"/>
  <c r="P42" i="6" s="1"/>
  <c r="R42" i="6" s="1"/>
  <c r="T42" i="6" s="1"/>
  <c r="W42" i="6" s="1"/>
  <c r="N67" i="6"/>
  <c r="P67" i="6" s="1"/>
  <c r="R67" i="6" s="1"/>
  <c r="T67" i="6" s="1"/>
  <c r="W67" i="6" s="1"/>
  <c r="N22" i="6"/>
  <c r="P22" i="6" s="1"/>
  <c r="R22" i="6" s="1"/>
  <c r="T22" i="6" s="1"/>
  <c r="W22" i="6" s="1"/>
  <c r="N66" i="6"/>
  <c r="P66" i="6" s="1"/>
  <c r="R66" i="6" s="1"/>
  <c r="T66" i="6" s="1"/>
  <c r="U66" i="6" s="1"/>
  <c r="N16" i="6"/>
  <c r="P16" i="6" s="1"/>
  <c r="R16" i="6" s="1"/>
  <c r="T16" i="6" s="1"/>
  <c r="U16" i="6" s="1"/>
  <c r="N31" i="6"/>
  <c r="P31" i="6" s="1"/>
  <c r="R31" i="6" s="1"/>
  <c r="T31" i="6" s="1"/>
  <c r="W31" i="6" s="1"/>
  <c r="N21" i="6"/>
  <c r="P21" i="6" s="1"/>
  <c r="R21" i="6" s="1"/>
  <c r="T21" i="6" s="1"/>
  <c r="W21" i="6" s="1"/>
  <c r="N19" i="6"/>
  <c r="P19" i="6" s="1"/>
  <c r="R19" i="6" s="1"/>
  <c r="T19" i="6" s="1"/>
  <c r="W19" i="6" s="1"/>
  <c r="N56" i="6"/>
  <c r="P56" i="6" s="1"/>
  <c r="R56" i="6" s="1"/>
  <c r="T56" i="6" s="1"/>
  <c r="W56" i="6" s="1"/>
  <c r="N27" i="6"/>
  <c r="P27" i="6" s="1"/>
  <c r="R27" i="6" s="1"/>
  <c r="T27" i="6" s="1"/>
  <c r="U27" i="6" s="1"/>
  <c r="N65" i="6"/>
  <c r="P65" i="6" s="1"/>
  <c r="R65" i="6" s="1"/>
  <c r="T65" i="6" s="1"/>
  <c r="W65" i="6" s="1"/>
  <c r="N59" i="6"/>
  <c r="P59" i="6" s="1"/>
  <c r="R59" i="6" s="1"/>
  <c r="T59" i="6" s="1"/>
  <c r="U59" i="6" s="1"/>
  <c r="N54" i="6"/>
  <c r="P54" i="6" s="1"/>
  <c r="R54" i="6" s="1"/>
  <c r="T54" i="6" s="1"/>
  <c r="W54" i="6" s="1"/>
  <c r="N70" i="6"/>
  <c r="P70" i="6" s="1"/>
  <c r="R70" i="6" s="1"/>
  <c r="T70" i="6" s="1"/>
  <c r="W70" i="6" s="1"/>
  <c r="N78" i="6"/>
  <c r="P78" i="6" s="1"/>
  <c r="R78" i="6" s="1"/>
  <c r="T78" i="6" s="1"/>
  <c r="N15" i="6"/>
  <c r="P15" i="6" s="1"/>
  <c r="R15" i="6" s="1"/>
  <c r="T15" i="6" s="1"/>
  <c r="N48" i="6"/>
  <c r="P48" i="6" s="1"/>
  <c r="R48" i="6" s="1"/>
  <c r="T48" i="6" s="1"/>
  <c r="N68" i="6"/>
  <c r="P68" i="6" s="1"/>
  <c r="R68" i="6" s="1"/>
  <c r="T68" i="6" s="1"/>
  <c r="N80" i="6"/>
  <c r="P80" i="6" s="1"/>
  <c r="R80" i="6" s="1"/>
  <c r="T80" i="6" s="1"/>
  <c r="N44" i="6"/>
  <c r="P44" i="6" s="1"/>
  <c r="R44" i="6" s="1"/>
  <c r="T44" i="6" s="1"/>
  <c r="N61" i="6"/>
  <c r="P61" i="6" s="1"/>
  <c r="R61" i="6" s="1"/>
  <c r="T61" i="6" s="1"/>
  <c r="N63" i="6"/>
  <c r="P63" i="6" s="1"/>
  <c r="R63" i="6" s="1"/>
  <c r="T63" i="6" s="1"/>
  <c r="N51" i="6"/>
  <c r="P51" i="6" s="1"/>
  <c r="R51" i="6" s="1"/>
  <c r="T51" i="6" s="1"/>
  <c r="N36" i="6"/>
  <c r="P36" i="6" s="1"/>
  <c r="R36" i="6" s="1"/>
  <c r="T36" i="6" s="1"/>
  <c r="N30" i="6"/>
  <c r="P30" i="6" s="1"/>
  <c r="R30" i="6" s="1"/>
  <c r="T30" i="6" s="1"/>
  <c r="N50" i="6"/>
  <c r="P50" i="6" s="1"/>
  <c r="R50" i="6" s="1"/>
  <c r="T50" i="6" s="1"/>
  <c r="N33" i="6"/>
  <c r="P33" i="6" s="1"/>
  <c r="R33" i="6" s="1"/>
  <c r="T33" i="6" s="1"/>
  <c r="N23" i="6"/>
  <c r="P23" i="6" s="1"/>
  <c r="R23" i="6" s="1"/>
  <c r="T23" i="6" s="1"/>
  <c r="N58" i="6"/>
  <c r="P58" i="6" s="1"/>
  <c r="R58" i="6" s="1"/>
  <c r="T58" i="6" s="1"/>
  <c r="N69" i="6"/>
  <c r="P69" i="6" s="1"/>
  <c r="R69" i="6" s="1"/>
  <c r="T69" i="6" s="1"/>
  <c r="N81" i="6"/>
  <c r="P81" i="6" s="1"/>
  <c r="R81" i="6" s="1"/>
  <c r="T81" i="6" s="1"/>
  <c r="N11" i="6"/>
  <c r="N46" i="6"/>
  <c r="P46" i="6" s="1"/>
  <c r="R46" i="6" s="1"/>
  <c r="T46" i="6" s="1"/>
  <c r="N43" i="6"/>
  <c r="P43" i="6" s="1"/>
  <c r="R43" i="6" s="1"/>
  <c r="T43" i="6" s="1"/>
  <c r="N64" i="6"/>
  <c r="P64" i="6" s="1"/>
  <c r="R64" i="6" s="1"/>
  <c r="T64" i="6" s="1"/>
  <c r="N76" i="6"/>
  <c r="P76" i="6" s="1"/>
  <c r="R76" i="6" s="1"/>
  <c r="T76" i="6" s="1"/>
  <c r="N62" i="6"/>
  <c r="P62" i="6" s="1"/>
  <c r="R62" i="6" s="1"/>
  <c r="T62" i="6" s="1"/>
  <c r="N71" i="6"/>
  <c r="P71" i="6" s="1"/>
  <c r="R71" i="6" s="1"/>
  <c r="T71" i="6" s="1"/>
  <c r="N28" i="6"/>
  <c r="P28" i="6" s="1"/>
  <c r="R28" i="6" s="1"/>
  <c r="T28" i="6" s="1"/>
  <c r="N35" i="6"/>
  <c r="P35" i="6" s="1"/>
  <c r="R35" i="6" s="1"/>
  <c r="T35" i="6" s="1"/>
  <c r="N82" i="6"/>
  <c r="P82" i="6" s="1"/>
  <c r="R82" i="6" s="1"/>
  <c r="T82" i="6" s="1"/>
  <c r="N47" i="6"/>
  <c r="P47" i="6" s="1"/>
  <c r="R47" i="6" s="1"/>
  <c r="T47" i="6" s="1"/>
  <c r="N72" i="6"/>
  <c r="P72" i="6" s="1"/>
  <c r="R72" i="6" s="1"/>
  <c r="T72" i="6" s="1"/>
  <c r="N75" i="6"/>
  <c r="P75" i="6" s="1"/>
  <c r="R75" i="6" s="1"/>
  <c r="T75" i="6" s="1"/>
  <c r="N55" i="6"/>
  <c r="P55" i="6" s="1"/>
  <c r="R55" i="6" s="1"/>
  <c r="T55" i="6" s="1"/>
  <c r="N39" i="6"/>
  <c r="P39" i="6" s="1"/>
  <c r="R39" i="6" s="1"/>
  <c r="T39" i="6" s="1"/>
  <c r="N73" i="6"/>
  <c r="P73" i="6" s="1"/>
  <c r="R73" i="6" s="1"/>
  <c r="T73" i="6" s="1"/>
  <c r="N60" i="6"/>
  <c r="P60" i="6" s="1"/>
  <c r="R60" i="6" s="1"/>
  <c r="T60" i="6" s="1"/>
  <c r="N79" i="6"/>
  <c r="P79" i="6" s="1"/>
  <c r="R79" i="6" s="1"/>
  <c r="T79" i="6" s="1"/>
  <c r="N38" i="6"/>
  <c r="P38" i="6" s="1"/>
  <c r="R38" i="6" s="1"/>
  <c r="T38" i="6" s="1"/>
  <c r="N74" i="6"/>
  <c r="P74" i="6" s="1"/>
  <c r="R74" i="6" s="1"/>
  <c r="T74" i="6" s="1"/>
  <c r="H71" i="1"/>
  <c r="J71" i="1" s="1"/>
  <c r="H70" i="1"/>
  <c r="J70" i="1" s="1"/>
  <c r="H69" i="1"/>
  <c r="J69" i="1" s="1"/>
  <c r="H68" i="1"/>
  <c r="J68" i="1" s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19" i="1"/>
  <c r="J20" i="1"/>
  <c r="J18" i="1"/>
  <c r="J17" i="1"/>
  <c r="J16" i="1"/>
  <c r="J15" i="1"/>
  <c r="J14" i="1"/>
  <c r="J13" i="1"/>
  <c r="J12" i="1"/>
  <c r="J11" i="1"/>
  <c r="J10" i="1"/>
  <c r="J8" i="1"/>
  <c r="W104" i="1" l="1"/>
  <c r="Y104" i="1"/>
  <c r="Y105" i="1"/>
  <c r="W105" i="1"/>
  <c r="Y107" i="1"/>
  <c r="W107" i="1"/>
  <c r="W108" i="1"/>
  <c r="Y108" i="1"/>
  <c r="W109" i="1"/>
  <c r="Y109" i="1"/>
  <c r="W110" i="1"/>
  <c r="Y110" i="1"/>
  <c r="Y106" i="1"/>
  <c r="W106" i="1"/>
  <c r="Y111" i="1"/>
  <c r="W111" i="1"/>
  <c r="Y103" i="1"/>
  <c r="W103" i="1"/>
  <c r="W112" i="1"/>
  <c r="Y112" i="1"/>
  <c r="U102" i="6"/>
  <c r="U95" i="6"/>
  <c r="P174" i="1"/>
  <c r="R174" i="1" s="1"/>
  <c r="T174" i="1" s="1"/>
  <c r="V174" i="1" s="1"/>
  <c r="W86" i="6"/>
  <c r="P14" i="1"/>
  <c r="P18" i="1"/>
  <c r="P62" i="1"/>
  <c r="P26" i="1"/>
  <c r="P58" i="1"/>
  <c r="P46" i="1"/>
  <c r="P66" i="1"/>
  <c r="P122" i="1"/>
  <c r="R122" i="1" s="1"/>
  <c r="T122" i="1" s="1"/>
  <c r="V122" i="1" s="1"/>
  <c r="P69" i="1"/>
  <c r="P123" i="1"/>
  <c r="R123" i="1" s="1"/>
  <c r="T123" i="1" s="1"/>
  <c r="V123" i="1" s="1"/>
  <c r="P121" i="1"/>
  <c r="R121" i="1" s="1"/>
  <c r="T121" i="1" s="1"/>
  <c r="V121" i="1" s="1"/>
  <c r="P89" i="1"/>
  <c r="R89" i="1" s="1"/>
  <c r="T89" i="1" s="1"/>
  <c r="V89" i="1" s="1"/>
  <c r="P81" i="1"/>
  <c r="R81" i="1" s="1"/>
  <c r="T81" i="1" s="1"/>
  <c r="V81" i="1" s="1"/>
  <c r="W81" i="1" s="1"/>
  <c r="P86" i="1"/>
  <c r="R86" i="1" s="1"/>
  <c r="T86" i="1" s="1"/>
  <c r="V86" i="1" s="1"/>
  <c r="P90" i="1"/>
  <c r="R90" i="1" s="1"/>
  <c r="T90" i="1" s="1"/>
  <c r="V90" i="1" s="1"/>
  <c r="W90" i="1" s="1"/>
  <c r="P83" i="1"/>
  <c r="R83" i="1" s="1"/>
  <c r="T83" i="1" s="1"/>
  <c r="V83" i="1" s="1"/>
  <c r="P85" i="1"/>
  <c r="R85" i="1" s="1"/>
  <c r="T85" i="1" s="1"/>
  <c r="V85" i="1" s="1"/>
  <c r="Y85" i="1" s="1"/>
  <c r="P84" i="1"/>
  <c r="R84" i="1" s="1"/>
  <c r="T84" i="1" s="1"/>
  <c r="V84" i="1" s="1"/>
  <c r="P70" i="1"/>
  <c r="P38" i="1"/>
  <c r="P88" i="1"/>
  <c r="R88" i="1" s="1"/>
  <c r="T88" i="1" s="1"/>
  <c r="V88" i="1" s="1"/>
  <c r="P82" i="1"/>
  <c r="R82" i="1" s="1"/>
  <c r="T82" i="1" s="1"/>
  <c r="V82" i="1" s="1"/>
  <c r="P15" i="1"/>
  <c r="P74" i="1"/>
  <c r="R74" i="1" s="1"/>
  <c r="T74" i="1" s="1"/>
  <c r="V74" i="1" s="1"/>
  <c r="P73" i="1"/>
  <c r="R73" i="1" s="1"/>
  <c r="T73" i="1" s="1"/>
  <c r="V73" i="1" s="1"/>
  <c r="P75" i="1"/>
  <c r="R75" i="1" s="1"/>
  <c r="T75" i="1" s="1"/>
  <c r="V75" i="1" s="1"/>
  <c r="P11" i="1"/>
  <c r="R11" i="1" s="1"/>
  <c r="T11" i="1" s="1"/>
  <c r="V11" i="1" s="1"/>
  <c r="P21" i="1"/>
  <c r="P55" i="1"/>
  <c r="P59" i="1"/>
  <c r="P63" i="1"/>
  <c r="P76" i="1"/>
  <c r="R76" i="1" s="1"/>
  <c r="T76" i="1" s="1"/>
  <c r="V76" i="1" s="1"/>
  <c r="P31" i="1"/>
  <c r="P67" i="1"/>
  <c r="P71" i="1"/>
  <c r="P77" i="1"/>
  <c r="R77" i="1" s="1"/>
  <c r="T77" i="1" s="1"/>
  <c r="V77" i="1" s="1"/>
  <c r="P27" i="1"/>
  <c r="P16" i="1"/>
  <c r="P35" i="1"/>
  <c r="P8" i="1"/>
  <c r="P34" i="1"/>
  <c r="P36" i="1"/>
  <c r="P45" i="1"/>
  <c r="P17" i="1"/>
  <c r="P56" i="1"/>
  <c r="P23" i="1"/>
  <c r="P60" i="1"/>
  <c r="P61" i="1"/>
  <c r="P32" i="1"/>
  <c r="P30" i="1"/>
  <c r="P57" i="1"/>
  <c r="P43" i="1"/>
  <c r="P44" i="1"/>
  <c r="P22" i="1"/>
  <c r="P39" i="1"/>
  <c r="P33" i="1"/>
  <c r="P10" i="1"/>
  <c r="P54" i="1"/>
  <c r="P37" i="1"/>
  <c r="P47" i="1"/>
  <c r="P13" i="1"/>
  <c r="P68" i="1"/>
  <c r="P42" i="1"/>
  <c r="P20" i="1"/>
  <c r="P64" i="1"/>
  <c r="P65" i="1"/>
  <c r="P50" i="1"/>
  <c r="P51" i="1"/>
  <c r="P25" i="1"/>
  <c r="P12" i="1"/>
  <c r="P48" i="1"/>
  <c r="P49" i="1"/>
  <c r="P19" i="1"/>
  <c r="P28" i="1"/>
  <c r="P40" i="1"/>
  <c r="P41" i="1"/>
  <c r="P24" i="1"/>
  <c r="P52" i="1"/>
  <c r="P53" i="1"/>
  <c r="P29" i="1"/>
  <c r="U129" i="6"/>
  <c r="W85" i="6"/>
  <c r="U97" i="6"/>
  <c r="U98" i="6"/>
  <c r="W9" i="6"/>
  <c r="U100" i="6"/>
  <c r="U96" i="6"/>
  <c r="U128" i="6"/>
  <c r="W8" i="6"/>
  <c r="U87" i="6"/>
  <c r="U84" i="6"/>
  <c r="U99" i="6"/>
  <c r="U88" i="6"/>
  <c r="U7" i="6"/>
  <c r="W104" i="6"/>
  <c r="R120" i="1"/>
  <c r="T120" i="1" s="1"/>
  <c r="V120" i="1" s="1"/>
  <c r="R118" i="1"/>
  <c r="T118" i="1" s="1"/>
  <c r="V118" i="1" s="1"/>
  <c r="Y118" i="1" s="1"/>
  <c r="R119" i="1"/>
  <c r="T119" i="1" s="1"/>
  <c r="V119" i="1" s="1"/>
  <c r="U101" i="6"/>
  <c r="W101" i="6"/>
  <c r="R152" i="1"/>
  <c r="T152" i="1" s="1"/>
  <c r="V152" i="1" s="1"/>
  <c r="W152" i="1" s="1"/>
  <c r="R153" i="1"/>
  <c r="T153" i="1" s="1"/>
  <c r="V153" i="1" s="1"/>
  <c r="Y153" i="1" s="1"/>
  <c r="R154" i="1"/>
  <c r="T154" i="1" s="1"/>
  <c r="V154" i="1" s="1"/>
  <c r="Y154" i="1" s="1"/>
  <c r="R155" i="1"/>
  <c r="T155" i="1" s="1"/>
  <c r="V155" i="1" s="1"/>
  <c r="W155" i="1" s="1"/>
  <c r="R146" i="1"/>
  <c r="T146" i="1" s="1"/>
  <c r="V146" i="1" s="1"/>
  <c r="R128" i="1"/>
  <c r="T128" i="1" s="1"/>
  <c r="V128" i="1" s="1"/>
  <c r="Y128" i="1" s="1"/>
  <c r="R160" i="1"/>
  <c r="T160" i="1" s="1"/>
  <c r="V160" i="1" s="1"/>
  <c r="R143" i="1"/>
  <c r="T143" i="1" s="1"/>
  <c r="V143" i="1" s="1"/>
  <c r="Y143" i="1" s="1"/>
  <c r="R144" i="1"/>
  <c r="T144" i="1" s="1"/>
  <c r="V144" i="1" s="1"/>
  <c r="R117" i="1"/>
  <c r="T117" i="1" s="1"/>
  <c r="V117" i="1" s="1"/>
  <c r="Y117" i="1" s="1"/>
  <c r="R129" i="1"/>
  <c r="T129" i="1" s="1"/>
  <c r="V129" i="1" s="1"/>
  <c r="R127" i="1"/>
  <c r="T127" i="1" s="1"/>
  <c r="V127" i="1" s="1"/>
  <c r="R147" i="1"/>
  <c r="T147" i="1" s="1"/>
  <c r="V147" i="1" s="1"/>
  <c r="R156" i="1"/>
  <c r="T156" i="1" s="1"/>
  <c r="V156" i="1" s="1"/>
  <c r="R157" i="1"/>
  <c r="T157" i="1" s="1"/>
  <c r="V157" i="1" s="1"/>
  <c r="R158" i="1"/>
  <c r="T158" i="1" s="1"/>
  <c r="V158" i="1" s="1"/>
  <c r="Y158" i="1" s="1"/>
  <c r="R159" i="1"/>
  <c r="T159" i="1" s="1"/>
  <c r="V159" i="1" s="1"/>
  <c r="R148" i="1"/>
  <c r="T148" i="1" s="1"/>
  <c r="V148" i="1" s="1"/>
  <c r="R142" i="1"/>
  <c r="T142" i="1" s="1"/>
  <c r="V142" i="1" s="1"/>
  <c r="W142" i="1" s="1"/>
  <c r="R145" i="1"/>
  <c r="T145" i="1" s="1"/>
  <c r="V145" i="1" s="1"/>
  <c r="R192" i="1"/>
  <c r="T192" i="1" s="1"/>
  <c r="V192" i="1" s="1"/>
  <c r="R191" i="1"/>
  <c r="T191" i="1" s="1"/>
  <c r="V191" i="1" s="1"/>
  <c r="R190" i="1"/>
  <c r="T190" i="1" s="1"/>
  <c r="V190" i="1" s="1"/>
  <c r="R189" i="1"/>
  <c r="T189" i="1" s="1"/>
  <c r="V189" i="1" s="1"/>
  <c r="R188" i="1"/>
  <c r="T188" i="1" s="1"/>
  <c r="V188" i="1" s="1"/>
  <c r="Y188" i="1" s="1"/>
  <c r="R187" i="1"/>
  <c r="T187" i="1" s="1"/>
  <c r="V187" i="1" s="1"/>
  <c r="R186" i="1"/>
  <c r="R182" i="1"/>
  <c r="T182" i="1" s="1"/>
  <c r="V182" i="1" s="1"/>
  <c r="R178" i="1"/>
  <c r="T178" i="1" s="1"/>
  <c r="V178" i="1" s="1"/>
  <c r="R173" i="1"/>
  <c r="T173" i="1" s="1"/>
  <c r="V173" i="1" s="1"/>
  <c r="R169" i="1"/>
  <c r="T169" i="1" s="1"/>
  <c r="V169" i="1" s="1"/>
  <c r="R168" i="1"/>
  <c r="T168" i="1" s="1"/>
  <c r="V168" i="1" s="1"/>
  <c r="R167" i="1"/>
  <c r="T167" i="1" s="1"/>
  <c r="V167" i="1" s="1"/>
  <c r="R166" i="1"/>
  <c r="T166" i="1" s="1"/>
  <c r="V166" i="1" s="1"/>
  <c r="R165" i="1"/>
  <c r="T165" i="1" s="1"/>
  <c r="V165" i="1" s="1"/>
  <c r="R164" i="1"/>
  <c r="T164" i="1" s="1"/>
  <c r="V164" i="1" s="1"/>
  <c r="U187" i="6"/>
  <c r="W187" i="6"/>
  <c r="W34" i="6"/>
  <c r="Y87" i="1"/>
  <c r="W87" i="1"/>
  <c r="W24" i="6"/>
  <c r="U186" i="6"/>
  <c r="W186" i="6"/>
  <c r="W29" i="6"/>
  <c r="W20" i="6"/>
  <c r="U25" i="6"/>
  <c r="U204" i="6"/>
  <c r="U148" i="6"/>
  <c r="W164" i="6"/>
  <c r="W45" i="6"/>
  <c r="U133" i="6"/>
  <c r="W163" i="6"/>
  <c r="P11" i="6"/>
  <c r="R11" i="6" s="1"/>
  <c r="T11" i="6" s="1"/>
  <c r="W205" i="6"/>
  <c r="U52" i="6"/>
  <c r="U135" i="6"/>
  <c r="U201" i="6"/>
  <c r="W201" i="6"/>
  <c r="W165" i="6"/>
  <c r="U165" i="6"/>
  <c r="W153" i="6"/>
  <c r="U153" i="6"/>
  <c r="W195" i="6"/>
  <c r="U195" i="6"/>
  <c r="W179" i="6"/>
  <c r="U179" i="6"/>
  <c r="W206" i="6"/>
  <c r="U206" i="6"/>
  <c r="W158" i="6"/>
  <c r="U158" i="6"/>
  <c r="W134" i="6"/>
  <c r="U134" i="6"/>
  <c r="W125" i="6"/>
  <c r="U125" i="6"/>
  <c r="W123" i="6"/>
  <c r="U123" i="6"/>
  <c r="W162" i="6"/>
  <c r="U162" i="6"/>
  <c r="W191" i="6"/>
  <c r="U191" i="6"/>
  <c r="W151" i="6"/>
  <c r="U151" i="6"/>
  <c r="W200" i="6"/>
  <c r="U200" i="6"/>
  <c r="W166" i="6"/>
  <c r="U166" i="6"/>
  <c r="U152" i="6"/>
  <c r="W152" i="6"/>
  <c r="W161" i="6"/>
  <c r="U161" i="6"/>
  <c r="U178" i="6"/>
  <c r="W178" i="6"/>
  <c r="W150" i="6"/>
  <c r="U150" i="6"/>
  <c r="W177" i="6"/>
  <c r="U177" i="6"/>
  <c r="W149" i="6"/>
  <c r="U149" i="6"/>
  <c r="U124" i="6"/>
  <c r="W124" i="6"/>
  <c r="W203" i="6"/>
  <c r="U203" i="6"/>
  <c r="W199" i="6"/>
  <c r="U199" i="6"/>
  <c r="U160" i="6"/>
  <c r="W160" i="6"/>
  <c r="W154" i="6"/>
  <c r="U154" i="6"/>
  <c r="W126" i="6"/>
  <c r="U126" i="6"/>
  <c r="W159" i="6"/>
  <c r="U159" i="6"/>
  <c r="W180" i="6"/>
  <c r="U180" i="6"/>
  <c r="W207" i="6"/>
  <c r="U207" i="6"/>
  <c r="W181" i="6"/>
  <c r="U181" i="6"/>
  <c r="W202" i="6"/>
  <c r="U202" i="6"/>
  <c r="U57" i="6"/>
  <c r="W26" i="6"/>
  <c r="W16" i="6"/>
  <c r="U31" i="6"/>
  <c r="U32" i="6"/>
  <c r="U53" i="6"/>
  <c r="U77" i="6"/>
  <c r="U42" i="6"/>
  <c r="W17" i="6"/>
  <c r="U21" i="6"/>
  <c r="W66" i="6"/>
  <c r="W59" i="6"/>
  <c r="U19" i="6"/>
  <c r="U67" i="6"/>
  <c r="U22" i="6"/>
  <c r="U56" i="6"/>
  <c r="U70" i="6"/>
  <c r="U54" i="6"/>
  <c r="W27" i="6"/>
  <c r="U65" i="6"/>
  <c r="W74" i="6"/>
  <c r="U74" i="6"/>
  <c r="U60" i="6"/>
  <c r="W60" i="6"/>
  <c r="W47" i="6"/>
  <c r="U47" i="6"/>
  <c r="W76" i="6"/>
  <c r="U76" i="6"/>
  <c r="W43" i="6"/>
  <c r="U43" i="6"/>
  <c r="U81" i="6"/>
  <c r="W81" i="6"/>
  <c r="W58" i="6"/>
  <c r="U58" i="6"/>
  <c r="U44" i="6"/>
  <c r="W44" i="6"/>
  <c r="W73" i="6"/>
  <c r="U73" i="6"/>
  <c r="U72" i="6"/>
  <c r="W72" i="6"/>
  <c r="U82" i="6"/>
  <c r="W82" i="6"/>
  <c r="U35" i="6"/>
  <c r="W35" i="6"/>
  <c r="U64" i="6"/>
  <c r="W64" i="6"/>
  <c r="W46" i="6"/>
  <c r="U46" i="6"/>
  <c r="U36" i="6"/>
  <c r="W36" i="6"/>
  <c r="U63" i="6"/>
  <c r="W63" i="6"/>
  <c r="W15" i="6"/>
  <c r="U15" i="6"/>
  <c r="W78" i="6"/>
  <c r="U78" i="6"/>
  <c r="W75" i="6"/>
  <c r="U75" i="6"/>
  <c r="U71" i="6"/>
  <c r="W71" i="6"/>
  <c r="W69" i="6"/>
  <c r="U69" i="6"/>
  <c r="W23" i="6"/>
  <c r="U23" i="6"/>
  <c r="U33" i="6"/>
  <c r="W33" i="6"/>
  <c r="W61" i="6"/>
  <c r="U61" i="6"/>
  <c r="W80" i="6"/>
  <c r="U80" i="6"/>
  <c r="U79" i="6"/>
  <c r="W79" i="6"/>
  <c r="W38" i="6"/>
  <c r="U38" i="6"/>
  <c r="U39" i="6"/>
  <c r="W39" i="6"/>
  <c r="U55" i="6"/>
  <c r="W55" i="6"/>
  <c r="W28" i="6"/>
  <c r="U28" i="6"/>
  <c r="W62" i="6"/>
  <c r="U62" i="6"/>
  <c r="W50" i="6"/>
  <c r="U50" i="6"/>
  <c r="U30" i="6"/>
  <c r="W30" i="6"/>
  <c r="U51" i="6"/>
  <c r="W51" i="6"/>
  <c r="U68" i="6"/>
  <c r="W68" i="6"/>
  <c r="W48" i="6"/>
  <c r="U48" i="6"/>
  <c r="J7" i="1"/>
  <c r="P7" i="1" s="1"/>
  <c r="R7" i="1" s="1"/>
  <c r="T186" i="1" l="1"/>
  <c r="V186" i="1" s="1"/>
  <c r="Y174" i="1"/>
  <c r="W174" i="1"/>
  <c r="Y123" i="1"/>
  <c r="W123" i="1"/>
  <c r="Y122" i="1"/>
  <c r="W122" i="1"/>
  <c r="W82" i="1"/>
  <c r="Y82" i="1"/>
  <c r="Y121" i="1"/>
  <c r="W121" i="1"/>
  <c r="Y83" i="1"/>
  <c r="W83" i="1"/>
  <c r="Y84" i="1"/>
  <c r="W84" i="1"/>
  <c r="W88" i="1"/>
  <c r="Y88" i="1"/>
  <c r="Y89" i="1"/>
  <c r="W89" i="1"/>
  <c r="W86" i="1"/>
  <c r="Y86" i="1"/>
  <c r="Y81" i="1"/>
  <c r="Y90" i="1"/>
  <c r="W85" i="1"/>
  <c r="Y73" i="1"/>
  <c r="W73" i="1"/>
  <c r="Y77" i="1"/>
  <c r="W77" i="1"/>
  <c r="Y76" i="1"/>
  <c r="W76" i="1"/>
  <c r="Y74" i="1"/>
  <c r="W74" i="1"/>
  <c r="W75" i="1"/>
  <c r="Y75" i="1"/>
  <c r="W118" i="1"/>
  <c r="W120" i="1"/>
  <c r="Y120" i="1"/>
  <c r="Y119" i="1"/>
  <c r="W119" i="1"/>
  <c r="W153" i="1"/>
  <c r="Y155" i="1"/>
  <c r="W154" i="1"/>
  <c r="Y152" i="1"/>
  <c r="Y156" i="1"/>
  <c r="W156" i="1"/>
  <c r="W127" i="1"/>
  <c r="Y127" i="1"/>
  <c r="Y157" i="1"/>
  <c r="W157" i="1"/>
  <c r="W160" i="1"/>
  <c r="Y160" i="1"/>
  <c r="W159" i="1"/>
  <c r="Y159" i="1"/>
  <c r="W129" i="1"/>
  <c r="Y129" i="1"/>
  <c r="W144" i="1"/>
  <c r="Y144" i="1"/>
  <c r="Y147" i="1"/>
  <c r="W147" i="1"/>
  <c r="W146" i="1"/>
  <c r="Y146" i="1"/>
  <c r="W128" i="1"/>
  <c r="W117" i="1"/>
  <c r="W143" i="1"/>
  <c r="W158" i="1"/>
  <c r="Y145" i="1"/>
  <c r="W145" i="1"/>
  <c r="Y148" i="1"/>
  <c r="W148" i="1"/>
  <c r="Y142" i="1"/>
  <c r="Y192" i="1"/>
  <c r="W192" i="1"/>
  <c r="Y191" i="1"/>
  <c r="W191" i="1"/>
  <c r="Y190" i="1"/>
  <c r="W190" i="1"/>
  <c r="W189" i="1"/>
  <c r="Y189" i="1"/>
  <c r="W188" i="1"/>
  <c r="Y187" i="1"/>
  <c r="W187" i="1"/>
  <c r="W182" i="1"/>
  <c r="Y182" i="1"/>
  <c r="W178" i="1"/>
  <c r="Y178" i="1"/>
  <c r="Y173" i="1"/>
  <c r="W173" i="1"/>
  <c r="W169" i="1"/>
  <c r="Y169" i="1"/>
  <c r="W168" i="1"/>
  <c r="Y168" i="1"/>
  <c r="W167" i="1"/>
  <c r="Y167" i="1"/>
  <c r="W166" i="1"/>
  <c r="Y166" i="1"/>
  <c r="Y165" i="1"/>
  <c r="W165" i="1"/>
  <c r="W164" i="1"/>
  <c r="Y164" i="1"/>
  <c r="W11" i="6"/>
  <c r="U11" i="6"/>
  <c r="R40" i="1"/>
  <c r="T40" i="1" s="1"/>
  <c r="V40" i="1" s="1"/>
  <c r="W40" i="1" s="1"/>
  <c r="R59" i="1"/>
  <c r="T59" i="1" s="1"/>
  <c r="V59" i="1" s="1"/>
  <c r="Y59" i="1" s="1"/>
  <c r="R25" i="1"/>
  <c r="T25" i="1" s="1"/>
  <c r="V25" i="1" s="1"/>
  <c r="W25" i="1" s="1"/>
  <c r="R45" i="1"/>
  <c r="T45" i="1" s="1"/>
  <c r="V45" i="1" s="1"/>
  <c r="Y45" i="1" s="1"/>
  <c r="R70" i="1"/>
  <c r="T70" i="1" s="1"/>
  <c r="V70" i="1" s="1"/>
  <c r="W70" i="1" s="1"/>
  <c r="R32" i="1"/>
  <c r="T32" i="1" s="1"/>
  <c r="V32" i="1" s="1"/>
  <c r="Y32" i="1" s="1"/>
  <c r="W11" i="1"/>
  <c r="Y11" i="1"/>
  <c r="R15" i="1"/>
  <c r="T15" i="1" s="1"/>
  <c r="V15" i="1" s="1"/>
  <c r="R57" i="1"/>
  <c r="T57" i="1" s="1"/>
  <c r="V57" i="1" s="1"/>
  <c r="R38" i="1"/>
  <c r="T38" i="1" s="1"/>
  <c r="V38" i="1" s="1"/>
  <c r="R66" i="1"/>
  <c r="T66" i="1" s="1"/>
  <c r="V66" i="1" s="1"/>
  <c r="R18" i="1"/>
  <c r="T18" i="1" s="1"/>
  <c r="V18" i="1" s="1"/>
  <c r="R52" i="1"/>
  <c r="T52" i="1" s="1"/>
  <c r="V52" i="1" s="1"/>
  <c r="R22" i="1"/>
  <c r="T22" i="1" s="1"/>
  <c r="V22" i="1" s="1"/>
  <c r="R65" i="1"/>
  <c r="T65" i="1" s="1"/>
  <c r="V65" i="1" s="1"/>
  <c r="R61" i="1"/>
  <c r="T61" i="1" s="1"/>
  <c r="V61" i="1" s="1"/>
  <c r="R35" i="1"/>
  <c r="T35" i="1" s="1"/>
  <c r="V35" i="1" s="1"/>
  <c r="R17" i="1"/>
  <c r="T17" i="1" s="1"/>
  <c r="V17" i="1" s="1"/>
  <c r="R43" i="1"/>
  <c r="T43" i="1" s="1"/>
  <c r="V43" i="1" s="1"/>
  <c r="R46" i="1"/>
  <c r="T46" i="1" s="1"/>
  <c r="V46" i="1" s="1"/>
  <c r="R27" i="1"/>
  <c r="T27" i="1" s="1"/>
  <c r="V27" i="1" s="1"/>
  <c r="R14" i="1"/>
  <c r="T14" i="1" s="1"/>
  <c r="V14" i="1" s="1"/>
  <c r="R42" i="1"/>
  <c r="T42" i="1" s="1"/>
  <c r="V42" i="1" s="1"/>
  <c r="R8" i="1"/>
  <c r="T8" i="1" s="1"/>
  <c r="V8" i="1" s="1"/>
  <c r="R12" i="1"/>
  <c r="T12" i="1" s="1"/>
  <c r="V12" i="1" s="1"/>
  <c r="R33" i="1"/>
  <c r="T33" i="1" s="1"/>
  <c r="V33" i="1" s="1"/>
  <c r="R37" i="1"/>
  <c r="T37" i="1" s="1"/>
  <c r="V37" i="1" s="1"/>
  <c r="R10" i="1"/>
  <c r="T10" i="1" s="1"/>
  <c r="V10" i="1" s="1"/>
  <c r="R31" i="1"/>
  <c r="T31" i="1" s="1"/>
  <c r="V31" i="1" s="1"/>
  <c r="R30" i="1"/>
  <c r="T30" i="1" s="1"/>
  <c r="V30" i="1" s="1"/>
  <c r="R63" i="1"/>
  <c r="T63" i="1" s="1"/>
  <c r="V63" i="1" s="1"/>
  <c r="R49" i="1"/>
  <c r="T49" i="1" s="1"/>
  <c r="V49" i="1" s="1"/>
  <c r="R50" i="1"/>
  <c r="T50" i="1" s="1"/>
  <c r="V50" i="1" s="1"/>
  <c r="R64" i="1"/>
  <c r="T64" i="1" s="1"/>
  <c r="V64" i="1" s="1"/>
  <c r="R28" i="1"/>
  <c r="T28" i="1" s="1"/>
  <c r="V28" i="1" s="1"/>
  <c r="R26" i="1"/>
  <c r="T26" i="1" s="1"/>
  <c r="V26" i="1" s="1"/>
  <c r="R58" i="1"/>
  <c r="T58" i="1" s="1"/>
  <c r="V58" i="1" s="1"/>
  <c r="R24" i="1"/>
  <c r="T24" i="1" s="1"/>
  <c r="V24" i="1" s="1"/>
  <c r="R41" i="1"/>
  <c r="T41" i="1" s="1"/>
  <c r="V41" i="1" s="1"/>
  <c r="R19" i="1"/>
  <c r="T19" i="1" s="1"/>
  <c r="V19" i="1" s="1"/>
  <c r="R23" i="1"/>
  <c r="T23" i="1" s="1"/>
  <c r="V23" i="1" s="1"/>
  <c r="R68" i="1"/>
  <c r="T68" i="1" s="1"/>
  <c r="V68" i="1" s="1"/>
  <c r="R36" i="1"/>
  <c r="T36" i="1" s="1"/>
  <c r="V36" i="1" s="1"/>
  <c r="R67" i="1"/>
  <c r="T67" i="1" s="1"/>
  <c r="V67" i="1" s="1"/>
  <c r="R55" i="1"/>
  <c r="T55" i="1" s="1"/>
  <c r="V55" i="1" s="1"/>
  <c r="R54" i="1"/>
  <c r="T54" i="1" s="1"/>
  <c r="V54" i="1" s="1"/>
  <c r="R51" i="1"/>
  <c r="T51" i="1" s="1"/>
  <c r="V51" i="1" s="1"/>
  <c r="R53" i="1"/>
  <c r="T53" i="1" s="1"/>
  <c r="V53" i="1" s="1"/>
  <c r="R62" i="1"/>
  <c r="T62" i="1" s="1"/>
  <c r="V62" i="1" s="1"/>
  <c r="R47" i="1"/>
  <c r="T47" i="1" s="1"/>
  <c r="V47" i="1" s="1"/>
  <c r="R48" i="1"/>
  <c r="T48" i="1" s="1"/>
  <c r="V48" i="1" s="1"/>
  <c r="R71" i="1"/>
  <c r="T71" i="1" s="1"/>
  <c r="V71" i="1" s="1"/>
  <c r="R44" i="1"/>
  <c r="T44" i="1" s="1"/>
  <c r="V44" i="1" s="1"/>
  <c r="R16" i="1"/>
  <c r="T16" i="1" s="1"/>
  <c r="V16" i="1" s="1"/>
  <c r="R13" i="1"/>
  <c r="T13" i="1" s="1"/>
  <c r="V13" i="1" s="1"/>
  <c r="R69" i="1"/>
  <c r="T69" i="1" s="1"/>
  <c r="V69" i="1" s="1"/>
  <c r="R39" i="1"/>
  <c r="T39" i="1" s="1"/>
  <c r="V39" i="1" s="1"/>
  <c r="R56" i="1"/>
  <c r="T56" i="1" s="1"/>
  <c r="V56" i="1" s="1"/>
  <c r="R34" i="1"/>
  <c r="T34" i="1" s="1"/>
  <c r="V34" i="1" s="1"/>
  <c r="R20" i="1"/>
  <c r="T20" i="1" s="1"/>
  <c r="V20" i="1" s="1"/>
  <c r="R21" i="1"/>
  <c r="T21" i="1" s="1"/>
  <c r="V21" i="1" s="1"/>
  <c r="R29" i="1"/>
  <c r="T29" i="1" s="1"/>
  <c r="V29" i="1" s="1"/>
  <c r="R60" i="1"/>
  <c r="T60" i="1" s="1"/>
  <c r="V60" i="1" s="1"/>
  <c r="W186" i="1" l="1"/>
  <c r="Y186" i="1"/>
  <c r="T7" i="1"/>
  <c r="V7" i="1" s="1"/>
  <c r="Y40" i="1"/>
  <c r="W59" i="1"/>
  <c r="W32" i="1"/>
  <c r="Y70" i="1"/>
  <c r="W45" i="1"/>
  <c r="Y25" i="1"/>
  <c r="W29" i="1"/>
  <c r="Y29" i="1"/>
  <c r="W71" i="1"/>
  <c r="Y71" i="1"/>
  <c r="W63" i="1"/>
  <c r="Y63" i="1"/>
  <c r="W39" i="1"/>
  <c r="Y39" i="1"/>
  <c r="W69" i="1"/>
  <c r="Y69" i="1"/>
  <c r="W48" i="1"/>
  <c r="Y48" i="1"/>
  <c r="W55" i="1"/>
  <c r="Y55" i="1"/>
  <c r="W28" i="1"/>
  <c r="Y28" i="1"/>
  <c r="W64" i="1"/>
  <c r="Y64" i="1"/>
  <c r="W50" i="1"/>
  <c r="Y50" i="1"/>
  <c r="W33" i="1"/>
  <c r="Y33" i="1"/>
  <c r="W65" i="1"/>
  <c r="Y65" i="1"/>
  <c r="W60" i="1"/>
  <c r="Y60" i="1"/>
  <c r="W20" i="1"/>
  <c r="Y20" i="1"/>
  <c r="W47" i="1"/>
  <c r="Y47" i="1"/>
  <c r="W23" i="1"/>
  <c r="Y23" i="1"/>
  <c r="W26" i="1"/>
  <c r="Y26" i="1"/>
  <c r="W49" i="1"/>
  <c r="Y49" i="1"/>
  <c r="W12" i="1"/>
  <c r="Y12" i="1"/>
  <c r="W27" i="1"/>
  <c r="Y27" i="1"/>
  <c r="W17" i="1"/>
  <c r="Y17" i="1"/>
  <c r="W35" i="1"/>
  <c r="Y35" i="1"/>
  <c r="W22" i="1"/>
  <c r="Y22" i="1"/>
  <c r="W52" i="1"/>
  <c r="Y52" i="1"/>
  <c r="W66" i="1"/>
  <c r="Y66" i="1"/>
  <c r="W57" i="1"/>
  <c r="Y57" i="1"/>
  <c r="W13" i="1"/>
  <c r="Y13" i="1"/>
  <c r="W67" i="1"/>
  <c r="Y67" i="1"/>
  <c r="W19" i="1"/>
  <c r="Y19" i="1"/>
  <c r="W46" i="1"/>
  <c r="Y46" i="1"/>
  <c r="W38" i="1"/>
  <c r="Y38" i="1"/>
  <c r="W54" i="1"/>
  <c r="Y54" i="1"/>
  <c r="W31" i="1"/>
  <c r="Y31" i="1"/>
  <c r="W42" i="1"/>
  <c r="Y42" i="1"/>
  <c r="W43" i="1"/>
  <c r="Y43" i="1"/>
  <c r="W61" i="1"/>
  <c r="Y61" i="1"/>
  <c r="W16" i="1"/>
  <c r="Y16" i="1"/>
  <c r="W62" i="1"/>
  <c r="Y62" i="1"/>
  <c r="W24" i="1"/>
  <c r="Y24" i="1"/>
  <c r="W37" i="1"/>
  <c r="Y37" i="1"/>
  <c r="W21" i="1"/>
  <c r="Y21" i="1"/>
  <c r="W44" i="1"/>
  <c r="Y44" i="1"/>
  <c r="W51" i="1"/>
  <c r="Y51" i="1"/>
  <c r="W58" i="1"/>
  <c r="Y58" i="1"/>
  <c r="W30" i="1"/>
  <c r="Y30" i="1"/>
  <c r="W18" i="1"/>
  <c r="Y18" i="1"/>
  <c r="W15" i="1"/>
  <c r="Y15" i="1"/>
  <c r="W56" i="1"/>
  <c r="Y56" i="1"/>
  <c r="W36" i="1"/>
  <c r="Y36" i="1"/>
  <c r="W8" i="1"/>
  <c r="Y8" i="1"/>
  <c r="W53" i="1"/>
  <c r="Y53" i="1"/>
  <c r="W68" i="1"/>
  <c r="Y68" i="1"/>
  <c r="W14" i="1"/>
  <c r="Y14" i="1"/>
  <c r="W34" i="1"/>
  <c r="Y34" i="1"/>
  <c r="W41" i="1"/>
  <c r="Y41" i="1"/>
  <c r="W10" i="1"/>
  <c r="Y10" i="1"/>
  <c r="Y7" i="1" l="1"/>
  <c r="W7" i="1"/>
</calcChain>
</file>

<file path=xl/sharedStrings.xml><?xml version="1.0" encoding="utf-8"?>
<sst xmlns="http://schemas.openxmlformats.org/spreadsheetml/2006/main" count="1174" uniqueCount="324">
  <si>
    <t>尺寸</t>
  </si>
  <si>
    <t>PH0X60</t>
  </si>
  <si>
    <t>PH1X38</t>
  </si>
  <si>
    <t>PH1X80</t>
  </si>
  <si>
    <t>PH1X100</t>
  </si>
  <si>
    <t>PH2X38</t>
  </si>
  <si>
    <t>PH2X100</t>
  </si>
  <si>
    <t>PH2X125</t>
  </si>
  <si>
    <t>PH2X150</t>
  </si>
  <si>
    <t>PH3X125</t>
  </si>
  <si>
    <t>PH3X150</t>
  </si>
  <si>
    <t>PH4X200</t>
  </si>
  <si>
    <t>PZ0X60</t>
  </si>
  <si>
    <t>PZ1X38</t>
  </si>
  <si>
    <t>PZ1X80</t>
  </si>
  <si>
    <t>PZ1X100</t>
  </si>
  <si>
    <t>PZ2X38</t>
  </si>
  <si>
    <t>PZ2X100</t>
  </si>
  <si>
    <t>PZ2X125</t>
  </si>
  <si>
    <t>PZ2X150</t>
  </si>
  <si>
    <t>PZ3X125</t>
  </si>
  <si>
    <t>PZ3X150</t>
  </si>
  <si>
    <t>PZ4X200</t>
  </si>
  <si>
    <t>SL3X60</t>
  </si>
  <si>
    <t>SL3X75</t>
  </si>
  <si>
    <t>SL3X100</t>
  </si>
  <si>
    <t>SL4X80</t>
  </si>
  <si>
    <t>SL4X100</t>
  </si>
  <si>
    <t>SL4X125</t>
  </si>
  <si>
    <t>SL5.5X38</t>
  </si>
  <si>
    <t>SL5.5X100</t>
  </si>
  <si>
    <t>SL5.5X125</t>
  </si>
  <si>
    <t>SL5.5X150</t>
  </si>
  <si>
    <t>SL6.5X38</t>
  </si>
  <si>
    <t>SL6.5X100</t>
  </si>
  <si>
    <t>SL6.5X125</t>
  </si>
  <si>
    <t>SL6.5X150</t>
  </si>
  <si>
    <t>SL8X150</t>
  </si>
  <si>
    <t>SL8X175</t>
  </si>
  <si>
    <t>SL8X200</t>
  </si>
  <si>
    <t>SL10X175</t>
  </si>
  <si>
    <t>SL10X200</t>
  </si>
  <si>
    <t>T6X60</t>
  </si>
  <si>
    <t>T7X60</t>
  </si>
  <si>
    <t>T8X60</t>
  </si>
  <si>
    <t>T9X60</t>
  </si>
  <si>
    <t>T10X80</t>
  </si>
  <si>
    <t>T15X80</t>
  </si>
  <si>
    <t>T20X100</t>
  </si>
  <si>
    <t>T25X100</t>
  </si>
  <si>
    <t>T27X100</t>
  </si>
  <si>
    <t>T30X125</t>
  </si>
  <si>
    <t>T40X150</t>
  </si>
  <si>
    <t>T45X200</t>
  </si>
  <si>
    <t>TP6X60</t>
  </si>
  <si>
    <t>TP7X60</t>
  </si>
  <si>
    <t>TP8X60</t>
  </si>
  <si>
    <t>TP9X60</t>
  </si>
  <si>
    <t>TP10X80</t>
  </si>
  <si>
    <t>TP15X80</t>
  </si>
  <si>
    <t>TP20X100</t>
  </si>
  <si>
    <t>TP25X100</t>
  </si>
  <si>
    <t>TP27X100</t>
  </si>
  <si>
    <t>TP30X125</t>
  </si>
  <si>
    <t>TP40X150</t>
  </si>
  <si>
    <t>TP45X200</t>
  </si>
  <si>
    <t>手柄大小</t>
    <phoneticPr fontId="1" type="noConversion"/>
  </si>
  <si>
    <t>小</t>
  </si>
  <si>
    <t>小</t>
    <phoneticPr fontId="1" type="noConversion"/>
  </si>
  <si>
    <t>陀螺</t>
  </si>
  <si>
    <t>陀螺</t>
    <phoneticPr fontId="1" type="noConversion"/>
  </si>
  <si>
    <t>中</t>
  </si>
  <si>
    <t>中</t>
    <phoneticPr fontId="1" type="noConversion"/>
  </si>
  <si>
    <t>大</t>
  </si>
  <si>
    <t>大</t>
    <phoneticPr fontId="1" type="noConversion"/>
  </si>
  <si>
    <t>大</t>
    <phoneticPr fontId="1" type="noConversion"/>
  </si>
  <si>
    <t>鐵材價格</t>
    <phoneticPr fontId="1" type="noConversion"/>
  </si>
  <si>
    <t>手柄價格</t>
    <phoneticPr fontId="1" type="noConversion"/>
  </si>
  <si>
    <t>大柄</t>
    <phoneticPr fontId="1" type="noConversion"/>
  </si>
  <si>
    <t>中柄</t>
    <phoneticPr fontId="1" type="noConversion"/>
  </si>
  <si>
    <t>小柄</t>
    <phoneticPr fontId="1" type="noConversion"/>
  </si>
  <si>
    <t>印刷</t>
    <phoneticPr fontId="1" type="noConversion"/>
  </si>
  <si>
    <t>印刷</t>
    <phoneticPr fontId="1" type="noConversion"/>
  </si>
  <si>
    <t>手柄成本</t>
    <phoneticPr fontId="1" type="noConversion"/>
  </si>
  <si>
    <t>紙箱</t>
    <phoneticPr fontId="1" type="noConversion"/>
  </si>
  <si>
    <t>運費</t>
    <phoneticPr fontId="1" type="noConversion"/>
  </si>
  <si>
    <t>散裝成本</t>
    <phoneticPr fontId="1" type="noConversion"/>
  </si>
  <si>
    <t>稅金</t>
    <phoneticPr fontId="1" type="noConversion"/>
  </si>
  <si>
    <t>%數</t>
    <phoneticPr fontId="1" type="noConversion"/>
  </si>
  <si>
    <t>利潤</t>
    <phoneticPr fontId="1" type="noConversion"/>
  </si>
  <si>
    <t>大柄</t>
    <phoneticPr fontId="1" type="noConversion"/>
  </si>
  <si>
    <t>精密柄</t>
    <phoneticPr fontId="1" type="noConversion"/>
  </si>
  <si>
    <t>小柄</t>
    <phoneticPr fontId="1" type="noConversion"/>
  </si>
  <si>
    <t>中柄</t>
    <phoneticPr fontId="1" type="noConversion"/>
  </si>
  <si>
    <t>陀螺</t>
    <phoneticPr fontId="1" type="noConversion"/>
  </si>
  <si>
    <t>散裝</t>
    <phoneticPr fontId="1" type="noConversion"/>
  </si>
  <si>
    <t>吊牌</t>
    <phoneticPr fontId="1" type="noConversion"/>
  </si>
  <si>
    <t>手工</t>
    <phoneticPr fontId="1" type="noConversion"/>
  </si>
  <si>
    <t>普通吊牌</t>
    <phoneticPr fontId="1" type="noConversion"/>
  </si>
  <si>
    <t>防盜吊牌</t>
    <phoneticPr fontId="1" type="noConversion"/>
  </si>
  <si>
    <t>綁卡</t>
    <phoneticPr fontId="1" type="noConversion"/>
  </si>
  <si>
    <t>包裝費用</t>
    <phoneticPr fontId="1" type="noConversion"/>
  </si>
  <si>
    <t>紙箱費用</t>
    <phoneticPr fontId="1" type="noConversion"/>
  </si>
  <si>
    <t>總費用</t>
    <phoneticPr fontId="1" type="noConversion"/>
  </si>
  <si>
    <t>貼工</t>
    <phoneticPr fontId="1" type="noConversion"/>
  </si>
  <si>
    <t>散裝稅後</t>
    <phoneticPr fontId="1" type="noConversion"/>
  </si>
  <si>
    <t>散裝價格</t>
    <phoneticPr fontId="1" type="noConversion"/>
  </si>
  <si>
    <t>預抓漲幅</t>
    <phoneticPr fontId="1" type="noConversion"/>
  </si>
  <si>
    <t>預抓漲幅</t>
    <phoneticPr fontId="1" type="noConversion"/>
  </si>
  <si>
    <t>預抓漲幅</t>
    <phoneticPr fontId="1" type="noConversion"/>
  </si>
  <si>
    <t>線徑</t>
  </si>
  <si>
    <t>外露長度</t>
  </si>
  <si>
    <t>內含長度</t>
  </si>
  <si>
    <t>總長</t>
  </si>
  <si>
    <t>大柄</t>
  </si>
  <si>
    <t>中柄</t>
  </si>
  <si>
    <t>小柄</t>
  </si>
  <si>
    <t>預抓漲幅</t>
  </si>
  <si>
    <t>精密柄</t>
  </si>
  <si>
    <t>0~100</t>
    <phoneticPr fontId="1" type="noConversion"/>
  </si>
  <si>
    <t>101~200</t>
    <phoneticPr fontId="1" type="noConversion"/>
  </si>
  <si>
    <t>201~400</t>
    <phoneticPr fontId="1" type="noConversion"/>
  </si>
  <si>
    <t>400~</t>
    <phoneticPr fontId="1" type="noConversion"/>
  </si>
  <si>
    <t>散裝運費</t>
    <phoneticPr fontId="1" type="noConversion"/>
  </si>
  <si>
    <t>400~</t>
    <phoneticPr fontId="1" type="noConversion"/>
  </si>
  <si>
    <t>匯率</t>
    <phoneticPr fontId="1" type="noConversion"/>
  </si>
  <si>
    <t>美金價</t>
    <phoneticPr fontId="1" type="noConversion"/>
  </si>
  <si>
    <t>PRY BAR</t>
  </si>
  <si>
    <t>6MM*125</t>
  </si>
  <si>
    <t>3/8"*200</t>
  </si>
  <si>
    <t>7/16"*300</t>
  </si>
  <si>
    <t>7/16"*400</t>
  </si>
  <si>
    <t>鏟刀</t>
  </si>
  <si>
    <t>N型鏟刀*150MM</t>
  </si>
  <si>
    <t>U型鏟刀*150MM</t>
  </si>
  <si>
    <t>直型鏟刀*150MM</t>
  </si>
  <si>
    <t>膠扣起子</t>
  </si>
  <si>
    <t>大U型膠扣起子*125MM</t>
  </si>
  <si>
    <t>中U型膠扣起子*125MM</t>
  </si>
  <si>
    <t>小U型膠扣起子*125MM</t>
  </si>
  <si>
    <t>大U長型膠扣起子*500MM</t>
  </si>
  <si>
    <t>中U長型膠扣起子*500MM</t>
  </si>
  <si>
    <t>小U長型膠扣起子*500MM</t>
  </si>
  <si>
    <t>弧形膠扣起子*180MM</t>
  </si>
  <si>
    <t>勾勾組</t>
  </si>
  <si>
    <t>3MM  45度勾</t>
  </si>
  <si>
    <t>3MM  70度勾</t>
  </si>
  <si>
    <t>3MM  尖頭</t>
  </si>
  <si>
    <t>3MM  問號勾</t>
  </si>
  <si>
    <t>6MM  45度勾</t>
  </si>
  <si>
    <t>6MM  70度勾</t>
  </si>
  <si>
    <t>6MM  尖頭</t>
  </si>
  <si>
    <t>6MM  問號勾</t>
  </si>
  <si>
    <t>6MM  大彎勾</t>
  </si>
  <si>
    <t>銼刀</t>
  </si>
  <si>
    <t>鐵平 200MM</t>
  </si>
  <si>
    <t>鐵四角 200MM</t>
  </si>
  <si>
    <t>鐵圓 200MM</t>
  </si>
  <si>
    <t>鐵半圓 200MM</t>
  </si>
  <si>
    <t>鐵三角 200MM</t>
  </si>
  <si>
    <t>開瓶器</t>
  </si>
  <si>
    <t>開瓶器 散裝</t>
  </si>
  <si>
    <t>煞車銼刀</t>
  </si>
  <si>
    <t>煞車碟盤銼刀 150MM</t>
  </si>
  <si>
    <t>PICK-UP</t>
  </si>
  <si>
    <t>415MM磁性軟管 PICK-UP</t>
  </si>
  <si>
    <t>500MM 黑套套筒軟管</t>
  </si>
  <si>
    <t>7MM</t>
  </si>
  <si>
    <t>8MM</t>
  </si>
  <si>
    <t>9MM</t>
  </si>
  <si>
    <t>10MM</t>
  </si>
  <si>
    <t>11MM</t>
  </si>
  <si>
    <t>12MM</t>
  </si>
  <si>
    <t>13MM</t>
  </si>
  <si>
    <t>1/4"接頭</t>
  </si>
  <si>
    <t>1/4"BIT HOLDER</t>
  </si>
  <si>
    <t>紙箱</t>
  </si>
  <si>
    <t>運費</t>
  </si>
  <si>
    <t>稅金</t>
  </si>
  <si>
    <t>%數</t>
  </si>
  <si>
    <t>匯率</t>
  </si>
  <si>
    <t>利潤</t>
  </si>
  <si>
    <t>吊牌成本</t>
    <phoneticPr fontId="1" type="noConversion"/>
  </si>
  <si>
    <t>吊牌稅後</t>
    <phoneticPr fontId="1" type="noConversion"/>
  </si>
  <si>
    <t>吊牌價格</t>
    <phoneticPr fontId="1" type="noConversion"/>
  </si>
  <si>
    <t>大大柄</t>
    <phoneticPr fontId="1" type="noConversion"/>
  </si>
  <si>
    <t>3" 什錦銼</t>
    <phoneticPr fontId="1" type="noConversion"/>
  </si>
  <si>
    <t>貼紙</t>
    <phoneticPr fontId="1" type="noConversion"/>
  </si>
  <si>
    <t>1/4"電鍍磁性中段外露70MM</t>
    <phoneticPr fontId="1" type="noConversion"/>
  </si>
  <si>
    <t>1/4"不鏽鋼磁性中段外露90MM</t>
    <phoneticPr fontId="1" type="noConversion"/>
  </si>
  <si>
    <t>1/4"不鏽鋼磁性中段外露125MM</t>
    <phoneticPr fontId="1" type="noConversion"/>
  </si>
  <si>
    <t>PH1*75 JIS</t>
    <phoneticPr fontId="1" type="noConversion"/>
  </si>
  <si>
    <t>PH2*100 JIS</t>
    <phoneticPr fontId="1" type="noConversion"/>
  </si>
  <si>
    <t>PH3*150 JIS</t>
    <phoneticPr fontId="1" type="noConversion"/>
  </si>
  <si>
    <t>小</t>
    <phoneticPr fontId="1" type="noConversion"/>
  </si>
  <si>
    <t>中</t>
    <phoneticPr fontId="1" type="noConversion"/>
  </si>
  <si>
    <t>大</t>
    <phoneticPr fontId="1" type="noConversion"/>
  </si>
  <si>
    <t>SL2.5*75</t>
    <phoneticPr fontId="1" type="noConversion"/>
  </si>
  <si>
    <t>絕緣螺絲起子</t>
    <phoneticPr fontId="1" type="noConversion"/>
  </si>
  <si>
    <t>PH1*80</t>
    <phoneticPr fontId="1" type="noConversion"/>
  </si>
  <si>
    <t>PH2*100</t>
    <phoneticPr fontId="1" type="noConversion"/>
  </si>
  <si>
    <t>PH3*150</t>
    <phoneticPr fontId="1" type="noConversion"/>
  </si>
  <si>
    <t>SL3*80</t>
    <phoneticPr fontId="1" type="noConversion"/>
  </si>
  <si>
    <t>SL4*100</t>
    <phoneticPr fontId="1" type="noConversion"/>
  </si>
  <si>
    <t>SL5*125</t>
    <phoneticPr fontId="1" type="noConversion"/>
  </si>
  <si>
    <t>SL6*150</t>
    <phoneticPr fontId="1" type="noConversion"/>
  </si>
  <si>
    <t>SL8*175</t>
    <phoneticPr fontId="1" type="noConversion"/>
  </si>
  <si>
    <t>絕緣軸</t>
    <phoneticPr fontId="1" type="noConversion"/>
  </si>
  <si>
    <t>PH0*60</t>
    <phoneticPr fontId="1" type="noConversion"/>
  </si>
  <si>
    <t>吊牌</t>
    <phoneticPr fontId="1" type="noConversion"/>
  </si>
  <si>
    <t>6mm*187    6MM*200(手柄全長)+貫通頭</t>
    <phoneticPr fontId="1" type="noConversion"/>
  </si>
  <si>
    <t>7/16*385     7/16*400(手柄全長)+貫通頭</t>
    <phoneticPr fontId="1" type="noConversion"/>
  </si>
  <si>
    <t>7/16*585      7/16*600(手柄全長)+貫通頭</t>
    <phoneticPr fontId="1" type="noConversion"/>
  </si>
  <si>
    <t>貫通頭</t>
    <phoneticPr fontId="1" type="noConversion"/>
  </si>
  <si>
    <t>預抓漲幅</t>
    <phoneticPr fontId="1" type="noConversion"/>
  </si>
  <si>
    <t>100~199</t>
    <phoneticPr fontId="1" type="noConversion"/>
  </si>
  <si>
    <t>200~399</t>
    <phoneticPr fontId="1" type="noConversion"/>
  </si>
  <si>
    <t>400~</t>
    <phoneticPr fontId="1" type="noConversion"/>
  </si>
  <si>
    <t>吊牌</t>
    <phoneticPr fontId="1" type="noConversion"/>
  </si>
  <si>
    <t>散裝</t>
    <phoneticPr fontId="1" type="noConversion"/>
  </si>
  <si>
    <t>吊牌成本</t>
    <phoneticPr fontId="1" type="noConversion"/>
  </si>
  <si>
    <t>精密柄</t>
    <phoneticPr fontId="1" type="noConversion"/>
  </si>
  <si>
    <t>開瓶器(沖壓)</t>
  </si>
  <si>
    <t>開瓶器(熱鍛)</t>
  </si>
  <si>
    <t>小柄</t>
    <phoneticPr fontId="1" type="noConversion"/>
  </si>
  <si>
    <t>精密柄</t>
    <phoneticPr fontId="1" type="noConversion"/>
  </si>
  <si>
    <t>大大柄</t>
    <phoneticPr fontId="1" type="noConversion"/>
  </si>
  <si>
    <t>紙箱</t>
    <phoneticPr fontId="1" type="noConversion"/>
  </si>
  <si>
    <t>運費</t>
    <phoneticPr fontId="1" type="noConversion"/>
  </si>
  <si>
    <t>0~99</t>
    <phoneticPr fontId="1" type="noConversion"/>
  </si>
  <si>
    <t>0~99</t>
    <phoneticPr fontId="1" type="noConversion"/>
  </si>
  <si>
    <t>絕緣螺絲起子</t>
  </si>
  <si>
    <t>PH0*60</t>
  </si>
  <si>
    <t>PH1*80</t>
  </si>
  <si>
    <t>PH2*100</t>
  </si>
  <si>
    <t>PH3*150</t>
  </si>
  <si>
    <t>SL2.5*75</t>
  </si>
  <si>
    <t>SL3*80</t>
  </si>
  <si>
    <t>SL4*100</t>
  </si>
  <si>
    <t>SL5*125</t>
  </si>
  <si>
    <t>SL6*150</t>
  </si>
  <si>
    <t>SL8*175</t>
  </si>
  <si>
    <t>絕緣軸</t>
  </si>
  <si>
    <t>鐵材價格</t>
  </si>
  <si>
    <t>手柄價格</t>
  </si>
  <si>
    <t>印刷</t>
  </si>
  <si>
    <t>手柄成本</t>
  </si>
  <si>
    <t>散裝稅後</t>
  </si>
  <si>
    <t>散裝價格</t>
  </si>
  <si>
    <t>美金價</t>
  </si>
  <si>
    <t>1/4"黑軟管中段150MM</t>
    <phoneticPr fontId="1" type="noConversion"/>
  </si>
  <si>
    <t>1/4"黑色快脫中段150MM</t>
    <phoneticPr fontId="1" type="noConversion"/>
  </si>
  <si>
    <t>2022費用</t>
  </si>
  <si>
    <t>2022費用</t>
    <phoneticPr fontId="1" type="noConversion"/>
  </si>
  <si>
    <t>散裝包裝</t>
    <phoneticPr fontId="1" type="noConversion"/>
  </si>
  <si>
    <t>包裝費用</t>
  </si>
  <si>
    <t>手工</t>
  </si>
  <si>
    <t>吊牌</t>
  </si>
  <si>
    <t>貼工</t>
  </si>
  <si>
    <t>總費用</t>
  </si>
  <si>
    <t>散裝</t>
  </si>
  <si>
    <t>普通吊牌</t>
  </si>
  <si>
    <t>防盜吊牌</t>
  </si>
  <si>
    <t>綁卡</t>
  </si>
  <si>
    <t>貼紙</t>
    <phoneticPr fontId="1" type="noConversion"/>
  </si>
  <si>
    <t>吊牌</t>
    <phoneticPr fontId="1" type="noConversion"/>
  </si>
  <si>
    <t>散裝</t>
    <phoneticPr fontId="1" type="noConversion"/>
  </si>
  <si>
    <t>吊牌成本</t>
    <phoneticPr fontId="1" type="noConversion"/>
  </si>
  <si>
    <t>包裝</t>
    <phoneticPr fontId="1" type="noConversion"/>
  </si>
  <si>
    <t>包裝</t>
    <phoneticPr fontId="1" type="noConversion"/>
  </si>
  <si>
    <t>貼紙</t>
    <phoneticPr fontId="1" type="noConversion"/>
  </si>
  <si>
    <t>印刷</t>
    <phoneticPr fontId="1" type="noConversion"/>
  </si>
  <si>
    <t>總成本</t>
    <phoneticPr fontId="1" type="noConversion"/>
  </si>
  <si>
    <t>N/A</t>
    <phoneticPr fontId="1" type="noConversion"/>
  </si>
  <si>
    <t>PH0*75</t>
    <phoneticPr fontId="1" type="noConversion"/>
  </si>
  <si>
    <t>PH0*100</t>
    <phoneticPr fontId="1" type="noConversion"/>
  </si>
  <si>
    <t>PH0*150</t>
    <phoneticPr fontId="1" type="noConversion"/>
  </si>
  <si>
    <t>PH1X300</t>
    <phoneticPr fontId="1" type="noConversion"/>
  </si>
  <si>
    <t>SL3X150</t>
    <phoneticPr fontId="1" type="noConversion"/>
  </si>
  <si>
    <t>SL3X200</t>
    <phoneticPr fontId="1" type="noConversion"/>
  </si>
  <si>
    <t>SL5.5X300</t>
    <phoneticPr fontId="1" type="noConversion"/>
  </si>
  <si>
    <t>6MM 45度勾 180MM</t>
    <phoneticPr fontId="1" type="noConversion"/>
  </si>
  <si>
    <t>6MM 90度勾 180MM</t>
    <phoneticPr fontId="1" type="noConversion"/>
  </si>
  <si>
    <t>6MM 問號 180MM</t>
    <phoneticPr fontId="1" type="noConversion"/>
  </si>
  <si>
    <t>6MM 直尖 180MM</t>
    <phoneticPr fontId="1" type="noConversion"/>
  </si>
  <si>
    <t>8MM 45度蹺型 300MM</t>
    <phoneticPr fontId="1" type="noConversion"/>
  </si>
  <si>
    <t>8MM 45度蹺型 150MM</t>
    <phoneticPr fontId="1" type="noConversion"/>
  </si>
  <si>
    <t>鎢鋼鏟刀</t>
  </si>
  <si>
    <t>窄短</t>
  </si>
  <si>
    <t>寬短</t>
  </si>
  <si>
    <t>窄長</t>
  </si>
  <si>
    <t>寬長</t>
  </si>
  <si>
    <t>包裝</t>
  </si>
  <si>
    <t>總成本</t>
  </si>
  <si>
    <t>SD-K2507M</t>
    <phoneticPr fontId="1" type="noConversion"/>
  </si>
  <si>
    <t>手柄</t>
    <phoneticPr fontId="1" type="noConversion"/>
  </si>
  <si>
    <t>吹氣盒</t>
    <phoneticPr fontId="1" type="noConversion"/>
  </si>
  <si>
    <t>彩盒</t>
    <phoneticPr fontId="1" type="noConversion"/>
  </si>
  <si>
    <t>收縮</t>
    <phoneticPr fontId="1" type="noConversion"/>
  </si>
  <si>
    <t>小計</t>
    <phoneticPr fontId="1" type="noConversion"/>
  </si>
  <si>
    <t>稅後</t>
    <phoneticPr fontId="1" type="noConversion"/>
  </si>
  <si>
    <t>價格</t>
    <phoneticPr fontId="1" type="noConversion"/>
  </si>
  <si>
    <t>1*80</t>
    <phoneticPr fontId="1" type="noConversion"/>
  </si>
  <si>
    <t>2*100</t>
    <phoneticPr fontId="1" type="noConversion"/>
  </si>
  <si>
    <t>SL3*60</t>
    <phoneticPr fontId="1" type="noConversion"/>
  </si>
  <si>
    <t>4*80</t>
    <phoneticPr fontId="1" type="noConversion"/>
  </si>
  <si>
    <t>5.5*1255</t>
    <phoneticPr fontId="1" type="noConversion"/>
  </si>
  <si>
    <t>6.5*150</t>
    <phoneticPr fontId="1" type="noConversion"/>
  </si>
  <si>
    <t>SD-VK2507P</t>
    <phoneticPr fontId="1" type="noConversion"/>
  </si>
  <si>
    <t>5.5*125</t>
    <phoneticPr fontId="1" type="noConversion"/>
  </si>
  <si>
    <t>驗電筆</t>
    <phoneticPr fontId="1" type="noConversion"/>
  </si>
  <si>
    <t>透明盒</t>
    <phoneticPr fontId="1" type="noConversion"/>
  </si>
  <si>
    <t>SD-K2506G</t>
    <phoneticPr fontId="1" type="noConversion"/>
  </si>
  <si>
    <t>SL3*100</t>
    <phoneticPr fontId="1" type="noConversion"/>
  </si>
  <si>
    <t>4*100</t>
    <phoneticPr fontId="1" type="noConversion"/>
  </si>
  <si>
    <t>25MM  陀螺中段</t>
    <phoneticPr fontId="1" type="noConversion"/>
  </si>
  <si>
    <t>長套筒螺絲起子</t>
    <phoneticPr fontId="1" type="noConversion"/>
  </si>
  <si>
    <t xml:space="preserve">5MM </t>
  </si>
  <si>
    <t>5.5MM</t>
  </si>
  <si>
    <t>6MM</t>
  </si>
  <si>
    <t xml:space="preserve">套筒 </t>
    <phoneticPr fontId="1" type="noConversion"/>
  </si>
  <si>
    <t>接桿</t>
    <phoneticPr fontId="1" type="noConversion"/>
  </si>
  <si>
    <t>壓配</t>
    <phoneticPr fontId="1" type="noConversion"/>
  </si>
  <si>
    <t>手柄大小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</si>
</sst>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00_ "/>
    <numFmt numFmtId="178" formatCode="0.000"/>
    <numFmt numFmtId="179" formatCode="0.0_ "/>
    <numFmt numFmtId="180" formatCode="0.000_ "/>
  </numFmts>
  <fonts count="1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204"/>
      <scheme val="minor"/>
    </font>
    <font>
      <sz val="8"/>
      <name val="Arial"/>
      <family val="2"/>
    </font>
    <font>
      <b/>
      <sz val="16"/>
      <color rgb="FFFF0000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0"/>
      <color indexed="8"/>
      <name val="MS Sans Serif"/>
      <family val="2"/>
    </font>
    <font>
      <sz val="12"/>
      <color rgb="FF9C0006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14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0">
    <xf numFmtId="0" fontId="0" fillId="0" borderId="0">
      <alignment vertical="center"/>
    </xf>
    <xf numFmtId="0" fontId="5" fillId="0" borderId="0"/>
    <xf numFmtId="0" fontId="6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11" fillId="0" borderId="0"/>
    <xf numFmtId="0" fontId="11" fillId="0" borderId="0"/>
    <xf numFmtId="0" fontId="1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/>
    <xf numFmtId="0" fontId="11" fillId="0" borderId="0"/>
    <xf numFmtId="0" fontId="10" fillId="0" borderId="0">
      <alignment vertical="center"/>
    </xf>
    <xf numFmtId="0" fontId="12" fillId="0" borderId="0"/>
    <xf numFmtId="0" fontId="13" fillId="0" borderId="0"/>
    <xf numFmtId="0" fontId="10" fillId="0" borderId="0">
      <alignment vertical="center"/>
    </xf>
    <xf numFmtId="0" fontId="14" fillId="3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2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9" xfId="0" applyBorder="1">
      <alignment vertical="center"/>
    </xf>
    <xf numFmtId="0" fontId="8" fillId="0" borderId="0" xfId="0" applyFont="1">
      <alignment vertical="center"/>
    </xf>
    <xf numFmtId="0" fontId="5" fillId="0" borderId="0" xfId="3"/>
    <xf numFmtId="0" fontId="7" fillId="0" borderId="0" xfId="0" applyFont="1">
      <alignment vertical="center"/>
    </xf>
    <xf numFmtId="0" fontId="5" fillId="0" borderId="9" xfId="3" applyBorder="1"/>
    <xf numFmtId="0" fontId="9" fillId="0" borderId="9" xfId="3" applyFont="1" applyFill="1" applyBorder="1"/>
    <xf numFmtId="0" fontId="5" fillId="0" borderId="0" xfId="3" applyBorder="1"/>
    <xf numFmtId="0" fontId="5" fillId="0" borderId="10" xfId="3" applyBorder="1"/>
    <xf numFmtId="0" fontId="5" fillId="0" borderId="11" xfId="3" applyBorder="1"/>
    <xf numFmtId="0" fontId="8" fillId="0" borderId="12" xfId="3" applyFont="1" applyBorder="1"/>
    <xf numFmtId="0" fontId="7" fillId="0" borderId="0" xfId="3" applyFont="1" applyBorder="1"/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>
      <alignment vertical="center"/>
    </xf>
    <xf numFmtId="0" fontId="8" fillId="0" borderId="0" xfId="0" applyFont="1" applyFill="1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2" fontId="14" fillId="3" borderId="0" xfId="29" applyNumberFormat="1" applyBorder="1" applyAlignment="1">
      <alignment horizontal="center" vertical="center"/>
    </xf>
    <xf numFmtId="2" fontId="14" fillId="3" borderId="7" xfId="29" applyNumberFormat="1" applyBorder="1" applyAlignment="1">
      <alignment horizontal="center" vertical="center"/>
    </xf>
    <xf numFmtId="2" fontId="14" fillId="3" borderId="5" xfId="29" applyNumberFormat="1" applyBorder="1" applyAlignment="1">
      <alignment horizontal="center" vertical="center"/>
    </xf>
    <xf numFmtId="2" fontId="14" fillId="3" borderId="8" xfId="29" applyNumberFormat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0" borderId="0" xfId="0" applyFill="1">
      <alignment vertical="center"/>
    </xf>
    <xf numFmtId="2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14" fillId="3" borderId="0" xfId="29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8" fillId="0" borderId="0" xfId="0" applyFont="1" applyFill="1" applyBorder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9" xfId="29" applyFont="1" applyFill="1" applyBorder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14" fillId="0" borderId="0" xfId="29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16" fillId="0" borderId="0" xfId="29" applyFon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>
      <alignment vertical="center"/>
    </xf>
    <xf numFmtId="0" fontId="17" fillId="0" borderId="9" xfId="0" applyFont="1" applyBorder="1">
      <alignment vertical="center"/>
    </xf>
    <xf numFmtId="0" fontId="17" fillId="0" borderId="9" xfId="0" applyFont="1" applyBorder="1">
      <alignment vertical="center"/>
    </xf>
    <xf numFmtId="0" fontId="18" fillId="0" borderId="0" xfId="0" applyFont="1">
      <alignment vertical="center"/>
    </xf>
    <xf numFmtId="176" fontId="0" fillId="0" borderId="0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</cellXfs>
  <cellStyles count="30">
    <cellStyle name="Обычный_Лист1" xfId="2" xr:uid="{00000000-0005-0000-0000-000000000000}"/>
    <cellStyle name="一般" xfId="0" builtinId="0"/>
    <cellStyle name="一般 2" xfId="1" xr:uid="{00000000-0005-0000-0000-000002000000}"/>
    <cellStyle name="一般 2 2" xfId="4" xr:uid="{00000000-0005-0000-0000-000003000000}"/>
    <cellStyle name="一般 2 2 2" xfId="5" xr:uid="{00000000-0005-0000-0000-000004000000}"/>
    <cellStyle name="一般 2 2 2 2" xfId="16" xr:uid="{00000000-0005-0000-0000-000005000000}"/>
    <cellStyle name="一般 2 2 3" xfId="8" xr:uid="{00000000-0005-0000-0000-000006000000}"/>
    <cellStyle name="一般 2 2 3 2" xfId="17" xr:uid="{00000000-0005-0000-0000-000007000000}"/>
    <cellStyle name="一般 2 2 4" xfId="10" xr:uid="{00000000-0005-0000-0000-000008000000}"/>
    <cellStyle name="一般 2 2 4 2" xfId="18" xr:uid="{00000000-0005-0000-0000-000009000000}"/>
    <cellStyle name="一般 2 2 5" xfId="12" xr:uid="{00000000-0005-0000-0000-00000A000000}"/>
    <cellStyle name="一般 2 2 5 2" xfId="19" xr:uid="{00000000-0005-0000-0000-00000B000000}"/>
    <cellStyle name="一般 2 2 6" xfId="15" xr:uid="{00000000-0005-0000-0000-00000C000000}"/>
    <cellStyle name="一般 2 3" xfId="7" xr:uid="{00000000-0005-0000-0000-00000D000000}"/>
    <cellStyle name="一般 2 3 2" xfId="20" xr:uid="{00000000-0005-0000-0000-00000E000000}"/>
    <cellStyle name="一般 2 4" xfId="9" xr:uid="{00000000-0005-0000-0000-00000F000000}"/>
    <cellStyle name="一般 2 4 2" xfId="21" xr:uid="{00000000-0005-0000-0000-000010000000}"/>
    <cellStyle name="一般 2 5" xfId="11" xr:uid="{00000000-0005-0000-0000-000011000000}"/>
    <cellStyle name="一般 2 5 2" xfId="22" xr:uid="{00000000-0005-0000-0000-000012000000}"/>
    <cellStyle name="一般 2 6" xfId="14" xr:uid="{00000000-0005-0000-0000-000013000000}"/>
    <cellStyle name="一般 3" xfId="3" xr:uid="{00000000-0005-0000-0000-000014000000}"/>
    <cellStyle name="一般 3 2" xfId="23" xr:uid="{00000000-0005-0000-0000-000015000000}"/>
    <cellStyle name="一般 4" xfId="6" xr:uid="{00000000-0005-0000-0000-000016000000}"/>
    <cellStyle name="一般 4 2" xfId="24" xr:uid="{00000000-0005-0000-0000-000017000000}"/>
    <cellStyle name="一般 5" xfId="25" xr:uid="{00000000-0005-0000-0000-000018000000}"/>
    <cellStyle name="一般 5 2" xfId="28" xr:uid="{00000000-0005-0000-0000-000019000000}"/>
    <cellStyle name="一般 5 3" xfId="27" xr:uid="{00000000-0005-0000-0000-00001A000000}"/>
    <cellStyle name="一般 6" xfId="13" xr:uid="{00000000-0005-0000-0000-00001B000000}"/>
    <cellStyle name="一般 7" xfId="26" xr:uid="{00000000-0005-0000-0000-00001C000000}"/>
    <cellStyle name="壞" xfId="29" builtinId="27"/>
  </cellStyles>
  <dxfs count="0"/>
  <tableStyles count="0" defaultTableStyle="TableStyleMedium2" defaultPivotStyle="PivotStyleLight16"/>
  <colors>
    <mruColors>
      <color rgb="FFCC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522"/>
  <sheetViews>
    <sheetView tabSelected="1" zoomScale="120" zoomScaleNormal="120" workbookViewId="0">
      <pane ySplit="2" topLeftCell="A9" activePane="bottomLeft" state="frozen"/>
      <selection pane="bottomLeft" activeCell="A20" sqref="A20:XFD20"/>
    </sheetView>
  </sheetViews>
  <sheetFormatPr defaultRowHeight="16.5"/>
  <cols>
    <col min="1" max="1" width="30.125" customWidth="1"/>
    <col min="2" max="6" width="9" hidden="1" customWidth="1"/>
    <col min="7" max="12" width="9" customWidth="1"/>
    <col min="13" max="14" width="9" style="59" customWidth="1"/>
    <col min="15" max="25" width="9" customWidth="1"/>
  </cols>
  <sheetData>
    <row r="1" spans="1:44" s="108" customFormat="1">
      <c r="A1" s="108" t="s">
        <v>0</v>
      </c>
      <c r="B1" s="108" t="s">
        <v>110</v>
      </c>
      <c r="C1" s="108" t="s">
        <v>111</v>
      </c>
      <c r="D1" s="108" t="s">
        <v>112</v>
      </c>
      <c r="E1" s="108" t="s">
        <v>113</v>
      </c>
      <c r="F1" s="108" t="s">
        <v>323</v>
      </c>
      <c r="G1" s="108" t="s">
        <v>243</v>
      </c>
      <c r="H1" s="108" t="s">
        <v>244</v>
      </c>
      <c r="I1" s="108" t="s">
        <v>245</v>
      </c>
      <c r="J1" s="108" t="s">
        <v>246</v>
      </c>
      <c r="K1" s="108" t="s">
        <v>292</v>
      </c>
      <c r="L1" s="108" t="s">
        <v>176</v>
      </c>
      <c r="M1" s="108" t="s">
        <v>177</v>
      </c>
      <c r="N1" s="108" t="s">
        <v>293</v>
      </c>
      <c r="O1" s="108" t="s">
        <v>117</v>
      </c>
      <c r="P1" s="108" t="s">
        <v>293</v>
      </c>
      <c r="Q1" s="108" t="s">
        <v>178</v>
      </c>
      <c r="R1" s="108" t="s">
        <v>247</v>
      </c>
      <c r="S1" s="108" t="s">
        <v>179</v>
      </c>
      <c r="T1" s="108" t="s">
        <v>248</v>
      </c>
      <c r="U1" s="108" t="s">
        <v>181</v>
      </c>
      <c r="V1" s="108" t="s">
        <v>180</v>
      </c>
      <c r="W1" s="108" t="s">
        <v>249</v>
      </c>
    </row>
    <row r="2" spans="1:44" ht="21">
      <c r="A2" s="21" t="s">
        <v>266</v>
      </c>
      <c r="B2" s="22"/>
      <c r="C2" s="22"/>
      <c r="D2" s="22"/>
      <c r="E2" s="22" t="s">
        <v>185</v>
      </c>
      <c r="F2" s="23">
        <v>10.88</v>
      </c>
      <c r="G2" s="25" t="s">
        <v>78</v>
      </c>
      <c r="H2" s="8">
        <v>9.41</v>
      </c>
      <c r="I2" s="25" t="s">
        <v>79</v>
      </c>
      <c r="J2" s="8">
        <v>8.09</v>
      </c>
      <c r="K2" s="25" t="s">
        <v>80</v>
      </c>
      <c r="L2" s="8">
        <v>6.17</v>
      </c>
      <c r="M2" s="26" t="s">
        <v>221</v>
      </c>
      <c r="N2" s="8" t="s">
        <v>273</v>
      </c>
      <c r="O2" s="25" t="s">
        <v>70</v>
      </c>
      <c r="P2" s="8">
        <v>7.59</v>
      </c>
      <c r="Q2" s="26"/>
      <c r="R2" s="83" t="s">
        <v>271</v>
      </c>
      <c r="S2" s="89">
        <v>1</v>
      </c>
      <c r="T2" s="83" t="s">
        <v>269</v>
      </c>
      <c r="U2" s="89">
        <v>0.8</v>
      </c>
      <c r="V2" s="22"/>
      <c r="W2" s="22"/>
      <c r="X2" s="22"/>
      <c r="Y2" s="22"/>
      <c r="Z2" s="22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2"/>
    </row>
    <row r="3" spans="1:44">
      <c r="A3" s="22"/>
      <c r="B3" s="22"/>
      <c r="C3" s="22"/>
      <c r="D3" s="22"/>
      <c r="E3" s="22"/>
      <c r="F3" s="23"/>
      <c r="G3" s="25"/>
      <c r="H3" s="22"/>
      <c r="I3" s="22"/>
      <c r="J3" s="22"/>
      <c r="K3" s="22"/>
      <c r="L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2"/>
    </row>
    <row r="4" spans="1:44">
      <c r="A4" s="22"/>
      <c r="B4" s="22"/>
      <c r="C4" s="22"/>
      <c r="D4" s="22"/>
      <c r="E4" s="22"/>
      <c r="F4" s="23"/>
      <c r="G4" s="22"/>
      <c r="H4" s="22"/>
      <c r="I4" s="22"/>
      <c r="J4" s="22"/>
      <c r="K4" s="22"/>
      <c r="L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4" ht="17.25" thickBot="1">
      <c r="A5" s="22"/>
      <c r="B5" s="22"/>
      <c r="C5" s="22"/>
      <c r="D5" s="22"/>
      <c r="E5" s="22"/>
      <c r="F5" s="23"/>
      <c r="G5" s="23"/>
      <c r="H5" s="23"/>
      <c r="I5" s="23"/>
      <c r="J5" s="23"/>
      <c r="K5" s="23"/>
      <c r="L5" s="23"/>
      <c r="M5" s="60"/>
      <c r="N5" s="60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</row>
    <row r="6" spans="1:44">
      <c r="A6" s="22" t="s">
        <v>0</v>
      </c>
      <c r="B6" s="23" t="s">
        <v>110</v>
      </c>
      <c r="C6" s="23" t="s">
        <v>111</v>
      </c>
      <c r="D6" s="23" t="s">
        <v>112</v>
      </c>
      <c r="E6" s="23" t="s">
        <v>113</v>
      </c>
      <c r="F6" s="23" t="s">
        <v>66</v>
      </c>
      <c r="G6" s="23" t="s">
        <v>76</v>
      </c>
      <c r="H6" s="23" t="s">
        <v>77</v>
      </c>
      <c r="I6" s="23" t="s">
        <v>81</v>
      </c>
      <c r="J6" s="23" t="s">
        <v>83</v>
      </c>
      <c r="K6" s="23" t="s">
        <v>268</v>
      </c>
      <c r="L6" s="23" t="s">
        <v>84</v>
      </c>
      <c r="M6" s="23" t="s">
        <v>85</v>
      </c>
      <c r="N6" s="95" t="s">
        <v>272</v>
      </c>
      <c r="O6" s="23" t="s">
        <v>107</v>
      </c>
      <c r="P6" s="23" t="s">
        <v>272</v>
      </c>
      <c r="Q6" s="23" t="s">
        <v>87</v>
      </c>
      <c r="R6" s="23" t="s">
        <v>105</v>
      </c>
      <c r="S6" s="23" t="s">
        <v>88</v>
      </c>
      <c r="T6" s="23" t="s">
        <v>106</v>
      </c>
      <c r="U6" s="23" t="s">
        <v>89</v>
      </c>
      <c r="V6" s="23" t="s">
        <v>125</v>
      </c>
      <c r="W6" s="23" t="s">
        <v>126</v>
      </c>
      <c r="X6" s="23"/>
      <c r="Y6" s="23"/>
      <c r="Z6" s="5" t="s">
        <v>101</v>
      </c>
      <c r="AA6" s="27" t="s">
        <v>97</v>
      </c>
      <c r="AB6" s="27" t="s">
        <v>96</v>
      </c>
      <c r="AC6" s="27" t="s">
        <v>104</v>
      </c>
      <c r="AD6" s="27" t="s">
        <v>253</v>
      </c>
      <c r="AE6" s="27" t="s">
        <v>107</v>
      </c>
      <c r="AF6" s="28" t="s">
        <v>103</v>
      </c>
      <c r="AG6" s="23"/>
      <c r="AH6" s="23"/>
      <c r="AI6" s="23"/>
      <c r="AJ6" s="23"/>
      <c r="AK6" s="23"/>
    </row>
    <row r="7" spans="1:44" s="51" customFormat="1">
      <c r="A7" s="51" t="s">
        <v>191</v>
      </c>
      <c r="B7" s="52">
        <v>5</v>
      </c>
      <c r="C7" s="52">
        <v>75</v>
      </c>
      <c r="D7" s="52">
        <v>70</v>
      </c>
      <c r="E7" s="83">
        <f>D7+C7</f>
        <v>145</v>
      </c>
      <c r="F7" s="83" t="s">
        <v>194</v>
      </c>
      <c r="G7" s="83">
        <v>7</v>
      </c>
      <c r="H7" s="83">
        <v>5</v>
      </c>
      <c r="I7" s="83">
        <f>S2</f>
        <v>1</v>
      </c>
      <c r="J7" s="88">
        <f>I7+H7+G7</f>
        <v>13</v>
      </c>
      <c r="K7" s="83">
        <f>U2</f>
        <v>0.8</v>
      </c>
      <c r="L7" s="87">
        <f>AC23</f>
        <v>0.75600000000000001</v>
      </c>
      <c r="M7" s="83">
        <f>AF31</f>
        <v>0.51</v>
      </c>
      <c r="N7" s="88">
        <f>M7+L7+K7+J7</f>
        <v>15.065999999999999</v>
      </c>
      <c r="O7" s="83">
        <v>1</v>
      </c>
      <c r="P7" s="87">
        <f>O7*N7</f>
        <v>15.065999999999999</v>
      </c>
      <c r="Q7" s="87">
        <v>1.0609999999999999</v>
      </c>
      <c r="R7" s="87">
        <f>Q7*P7</f>
        <v>15.985025999999998</v>
      </c>
      <c r="S7" s="87">
        <v>1.5</v>
      </c>
      <c r="T7" s="87">
        <f>S7*R7</f>
        <v>23.977538999999997</v>
      </c>
      <c r="U7" s="87">
        <f>T7-R7</f>
        <v>7.9925129999999989</v>
      </c>
      <c r="V7" s="87">
        <v>29.5</v>
      </c>
      <c r="W7" s="24">
        <f>T7/V7</f>
        <v>0.81279793220338969</v>
      </c>
      <c r="X7" s="52"/>
      <c r="Y7" s="52"/>
      <c r="Z7" s="33" t="s">
        <v>95</v>
      </c>
      <c r="AA7" s="92">
        <v>0.8</v>
      </c>
      <c r="AB7" s="92">
        <v>0</v>
      </c>
      <c r="AC7" s="92">
        <v>0</v>
      </c>
      <c r="AD7" s="92">
        <f>AC7+AB7+AA7</f>
        <v>0.8</v>
      </c>
      <c r="AE7" s="92">
        <v>1</v>
      </c>
      <c r="AF7" s="6">
        <f>AE7*AD7</f>
        <v>0.8</v>
      </c>
      <c r="AG7" s="23"/>
      <c r="AH7" s="23"/>
      <c r="AI7" s="23"/>
      <c r="AJ7" s="23"/>
      <c r="AK7" s="23"/>
      <c r="AL7"/>
      <c r="AM7"/>
    </row>
    <row r="8" spans="1:44" s="51" customFormat="1">
      <c r="A8" s="51" t="s">
        <v>192</v>
      </c>
      <c r="B8" s="52">
        <v>6</v>
      </c>
      <c r="C8" s="52">
        <v>100</v>
      </c>
      <c r="D8" s="52">
        <v>190</v>
      </c>
      <c r="E8" s="83">
        <f>D8+C8</f>
        <v>290</v>
      </c>
      <c r="F8" s="83" t="s">
        <v>195</v>
      </c>
      <c r="G8" s="83">
        <v>8</v>
      </c>
      <c r="H8" s="83">
        <v>7.8</v>
      </c>
      <c r="I8" s="83">
        <f>S2</f>
        <v>1</v>
      </c>
      <c r="J8" s="88">
        <f>I8+H8+G8</f>
        <v>16.8</v>
      </c>
      <c r="K8" s="83">
        <f>U2</f>
        <v>0.8</v>
      </c>
      <c r="L8" s="87">
        <f>AD24</f>
        <v>0.90720000000000001</v>
      </c>
      <c r="M8" s="83">
        <f>AG32</f>
        <v>0.57000000000000006</v>
      </c>
      <c r="N8" s="88">
        <f>M8+L8+K8+J8</f>
        <v>19.077200000000001</v>
      </c>
      <c r="O8" s="83">
        <v>1</v>
      </c>
      <c r="P8" s="87">
        <f>O8*N8</f>
        <v>19.077200000000001</v>
      </c>
      <c r="Q8" s="87">
        <v>1.0609999999999999</v>
      </c>
      <c r="R8" s="87">
        <f>Q8*P8</f>
        <v>20.240909200000001</v>
      </c>
      <c r="S8" s="87">
        <v>1.5</v>
      </c>
      <c r="T8" s="87">
        <f>S8*R8</f>
        <v>30.361363799999999</v>
      </c>
      <c r="U8" s="87">
        <f>T8-R8</f>
        <v>10.120454599999999</v>
      </c>
      <c r="V8" s="87">
        <v>29.5</v>
      </c>
      <c r="W8" s="24">
        <f>T8/V8</f>
        <v>1.0291987728813559</v>
      </c>
      <c r="X8" s="52"/>
      <c r="Y8" s="52"/>
      <c r="Z8" s="33" t="s">
        <v>98</v>
      </c>
      <c r="AA8" s="92">
        <v>0.5</v>
      </c>
      <c r="AB8" s="92">
        <v>1.2</v>
      </c>
      <c r="AC8" s="92">
        <v>0.4</v>
      </c>
      <c r="AD8" s="92">
        <f>AC8+AB8+AA8</f>
        <v>2.1</v>
      </c>
      <c r="AE8" s="92">
        <v>1</v>
      </c>
      <c r="AF8" s="6">
        <f>AE8*AD8</f>
        <v>2.1</v>
      </c>
      <c r="AG8" s="23"/>
      <c r="AH8" s="23"/>
      <c r="AI8" s="23"/>
      <c r="AJ8" s="23"/>
      <c r="AK8" s="23"/>
      <c r="AL8"/>
      <c r="AM8"/>
      <c r="AR8" s="22"/>
    </row>
    <row r="9" spans="1:44" s="51" customFormat="1">
      <c r="A9" s="51" t="s">
        <v>193</v>
      </c>
      <c r="B9" s="52">
        <v>8</v>
      </c>
      <c r="C9" s="52">
        <v>150</v>
      </c>
      <c r="D9" s="52">
        <v>110</v>
      </c>
      <c r="E9" s="83">
        <f>D9+C9</f>
        <v>260</v>
      </c>
      <c r="F9" s="83" t="s">
        <v>196</v>
      </c>
      <c r="G9" s="83">
        <v>11.5</v>
      </c>
      <c r="H9" s="83">
        <v>10.5</v>
      </c>
      <c r="I9" s="83">
        <f>S2</f>
        <v>1</v>
      </c>
      <c r="J9" s="88">
        <f>I9+H9+G9</f>
        <v>23</v>
      </c>
      <c r="K9" s="83">
        <f>U2</f>
        <v>0.8</v>
      </c>
      <c r="L9" s="87">
        <f>AE25</f>
        <v>1.2312000000000001</v>
      </c>
      <c r="M9" s="83">
        <f>AG33</f>
        <v>0.75</v>
      </c>
      <c r="N9" s="88">
        <f>M9+L9+K9+J9</f>
        <v>25.781199999999998</v>
      </c>
      <c r="O9" s="83">
        <v>1</v>
      </c>
      <c r="P9" s="87">
        <f>O9*N9</f>
        <v>25.781199999999998</v>
      </c>
      <c r="Q9" s="87">
        <v>1.0609999999999999</v>
      </c>
      <c r="R9" s="87">
        <f>Q9*P9</f>
        <v>27.353853199999996</v>
      </c>
      <c r="S9" s="87">
        <v>1.5</v>
      </c>
      <c r="T9" s="87">
        <f>S9*R9</f>
        <v>41.030779799999991</v>
      </c>
      <c r="U9" s="87">
        <f>T9-R9</f>
        <v>13.676926599999994</v>
      </c>
      <c r="V9" s="87">
        <v>29.5</v>
      </c>
      <c r="W9" s="24">
        <f>T9/V9</f>
        <v>1.3908738915254235</v>
      </c>
      <c r="X9" s="52"/>
      <c r="Y9" s="52"/>
      <c r="Z9" s="33" t="s">
        <v>99</v>
      </c>
      <c r="AA9" s="92">
        <v>0.5</v>
      </c>
      <c r="AB9" s="92">
        <v>1.2</v>
      </c>
      <c r="AC9" s="92">
        <v>0.4</v>
      </c>
      <c r="AD9" s="92">
        <f>AC9+AB9+AA9</f>
        <v>2.1</v>
      </c>
      <c r="AE9" s="92">
        <v>1</v>
      </c>
      <c r="AF9" s="6">
        <f>AE9*AD9</f>
        <v>2.1</v>
      </c>
      <c r="AG9" s="23"/>
      <c r="AH9" s="23"/>
      <c r="AI9" s="23"/>
      <c r="AJ9" s="23"/>
      <c r="AK9" s="23"/>
      <c r="AL9"/>
      <c r="AM9"/>
    </row>
    <row r="10" spans="1:44" ht="17.25" thickBot="1">
      <c r="A10" s="59"/>
      <c r="B10" s="60"/>
      <c r="C10" s="60"/>
      <c r="D10" s="60"/>
      <c r="E10" s="83"/>
      <c r="F10" s="83"/>
      <c r="G10" s="83"/>
      <c r="H10" s="83"/>
      <c r="I10" s="83"/>
      <c r="J10" s="88"/>
      <c r="K10" s="83"/>
      <c r="L10" s="87"/>
      <c r="M10" s="83"/>
      <c r="N10" s="88"/>
      <c r="O10" s="83"/>
      <c r="P10" s="87"/>
      <c r="Q10" s="87"/>
      <c r="R10" s="87"/>
      <c r="S10" s="87"/>
      <c r="T10" s="87"/>
      <c r="U10" s="87"/>
      <c r="V10" s="87"/>
      <c r="W10" s="61"/>
      <c r="X10" s="23"/>
      <c r="Y10" s="23"/>
      <c r="Z10" s="34" t="s">
        <v>100</v>
      </c>
      <c r="AA10" s="31">
        <v>0.5</v>
      </c>
      <c r="AB10" s="31">
        <v>1.2</v>
      </c>
      <c r="AC10" s="31">
        <v>0.4</v>
      </c>
      <c r="AD10" s="31">
        <f>AC10+AB10+AA10</f>
        <v>2.1</v>
      </c>
      <c r="AE10" s="31">
        <v>1</v>
      </c>
      <c r="AF10" s="7">
        <f>AE10*AD10</f>
        <v>2.1</v>
      </c>
      <c r="AG10" s="23"/>
      <c r="AH10" s="23"/>
      <c r="AI10" s="23"/>
      <c r="AJ10" s="23"/>
      <c r="AK10" s="23"/>
    </row>
    <row r="11" spans="1:44">
      <c r="A11" s="22" t="s">
        <v>1</v>
      </c>
      <c r="B11" s="23">
        <v>3</v>
      </c>
      <c r="C11" s="23">
        <v>60</v>
      </c>
      <c r="D11" s="32">
        <v>70</v>
      </c>
      <c r="E11" s="83">
        <v>130</v>
      </c>
      <c r="F11" s="83" t="s">
        <v>194</v>
      </c>
      <c r="G11" s="87">
        <v>3.82</v>
      </c>
      <c r="H11" s="83">
        <f>L2</f>
        <v>6.17</v>
      </c>
      <c r="I11" s="83">
        <f>S2</f>
        <v>1</v>
      </c>
      <c r="J11" s="88">
        <f t="shared" ref="J11:J42" si="0">I11+H11+G11</f>
        <v>10.99</v>
      </c>
      <c r="K11" s="83">
        <f>U2</f>
        <v>0.8</v>
      </c>
      <c r="L11" s="87">
        <f>AB23</f>
        <v>0.75600000000000001</v>
      </c>
      <c r="M11" s="83">
        <f>AG31</f>
        <v>0.57000000000000006</v>
      </c>
      <c r="N11" s="88">
        <f t="shared" ref="N11:N49" si="1">M11+L11+K11+J11</f>
        <v>13.116</v>
      </c>
      <c r="O11" s="83">
        <v>1</v>
      </c>
      <c r="P11" s="87">
        <f>O11*N11</f>
        <v>13.116</v>
      </c>
      <c r="Q11" s="87">
        <v>1.0609999999999999</v>
      </c>
      <c r="R11" s="87">
        <f>Q11*P11</f>
        <v>13.916075999999999</v>
      </c>
      <c r="S11" s="87">
        <v>1.5</v>
      </c>
      <c r="T11" s="87">
        <f>S11*R11</f>
        <v>20.874113999999999</v>
      </c>
      <c r="U11" s="87">
        <f>T11-R11</f>
        <v>6.9580380000000002</v>
      </c>
      <c r="V11" s="87">
        <v>29.5</v>
      </c>
      <c r="W11" s="24">
        <f>T11/V11</f>
        <v>0.70759708474576266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44" ht="17.25" thickBot="1">
      <c r="A12" s="90" t="s">
        <v>274</v>
      </c>
      <c r="B12" s="95">
        <v>3</v>
      </c>
      <c r="C12" s="95"/>
      <c r="D12" s="84"/>
      <c r="E12" s="83"/>
      <c r="F12" s="83"/>
      <c r="G12" s="87">
        <v>5.0999999999999996</v>
      </c>
      <c r="H12" s="83">
        <f>L2</f>
        <v>6.17</v>
      </c>
      <c r="I12" s="83">
        <f>S2</f>
        <v>1</v>
      </c>
      <c r="J12" s="88">
        <f t="shared" si="0"/>
        <v>12.27</v>
      </c>
      <c r="K12" s="83">
        <f>U2</f>
        <v>0.8</v>
      </c>
      <c r="L12" s="87">
        <f>AC23</f>
        <v>0.75600000000000001</v>
      </c>
      <c r="M12" s="83">
        <f>AF31</f>
        <v>0.51</v>
      </c>
      <c r="N12" s="88">
        <f t="shared" si="1"/>
        <v>14.335999999999999</v>
      </c>
      <c r="O12" s="83">
        <v>1</v>
      </c>
      <c r="P12" s="87">
        <f>O12*N12</f>
        <v>14.335999999999999</v>
      </c>
      <c r="Q12" s="87">
        <v>1.0609999999999999</v>
      </c>
      <c r="R12" s="87">
        <f>Q12*P12</f>
        <v>15.210495999999997</v>
      </c>
      <c r="S12" s="87">
        <v>1.5</v>
      </c>
      <c r="T12" s="87">
        <f>S12*R12</f>
        <v>22.815743999999995</v>
      </c>
      <c r="U12" s="87">
        <f>T12-R12</f>
        <v>7.6052479999999978</v>
      </c>
      <c r="V12" s="87">
        <v>29.5</v>
      </c>
      <c r="W12" s="96">
        <f>T12/V12</f>
        <v>0.77341505084745743</v>
      </c>
      <c r="X12" s="23"/>
      <c r="Y12" s="23"/>
      <c r="Z12" s="23" t="s">
        <v>219</v>
      </c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</row>
    <row r="13" spans="1:44">
      <c r="A13" s="90" t="s">
        <v>275</v>
      </c>
      <c r="B13" s="95">
        <v>3</v>
      </c>
      <c r="C13" s="95"/>
      <c r="D13" s="84"/>
      <c r="E13" s="83"/>
      <c r="F13" s="83"/>
      <c r="G13" s="87">
        <v>6.2</v>
      </c>
      <c r="H13" s="83">
        <f>L2</f>
        <v>6.17</v>
      </c>
      <c r="I13" s="83">
        <f>S2</f>
        <v>1</v>
      </c>
      <c r="J13" s="88">
        <f t="shared" si="0"/>
        <v>13.370000000000001</v>
      </c>
      <c r="K13" s="83">
        <f>U2</f>
        <v>0.8</v>
      </c>
      <c r="L13" s="87">
        <f>AD23</f>
        <v>0.78839999999999999</v>
      </c>
      <c r="M13" s="83">
        <f>AG31</f>
        <v>0.57000000000000006</v>
      </c>
      <c r="N13" s="88">
        <f t="shared" si="1"/>
        <v>15.528400000000001</v>
      </c>
      <c r="O13" s="83">
        <v>1</v>
      </c>
      <c r="P13" s="87">
        <f>O13*N13</f>
        <v>15.528400000000001</v>
      </c>
      <c r="Q13" s="87">
        <v>1.0609999999999999</v>
      </c>
      <c r="R13" s="87">
        <f>Q13*P13</f>
        <v>16.475632400000002</v>
      </c>
      <c r="S13" s="87">
        <v>1.5</v>
      </c>
      <c r="T13" s="87">
        <f>S13*R13</f>
        <v>24.713448600000003</v>
      </c>
      <c r="U13" s="87">
        <f>T13-R13</f>
        <v>8.237816200000001</v>
      </c>
      <c r="V13" s="87">
        <v>29.5</v>
      </c>
      <c r="W13" s="96">
        <f>T13/V13</f>
        <v>0.83774402033898321</v>
      </c>
      <c r="X13" s="23"/>
      <c r="Y13" s="23"/>
      <c r="Z13" s="65" t="s">
        <v>102</v>
      </c>
      <c r="AA13" s="66">
        <v>38</v>
      </c>
      <c r="AB13" s="66">
        <v>60</v>
      </c>
      <c r="AC13" s="66">
        <v>80</v>
      </c>
      <c r="AD13" s="66">
        <v>100</v>
      </c>
      <c r="AE13" s="66">
        <v>150</v>
      </c>
      <c r="AF13" s="66">
        <v>200</v>
      </c>
      <c r="AG13" s="66">
        <v>250</v>
      </c>
      <c r="AH13" s="66">
        <v>300</v>
      </c>
      <c r="AI13" s="66">
        <v>350</v>
      </c>
      <c r="AJ13" s="66">
        <v>400</v>
      </c>
      <c r="AK13" s="66">
        <v>450</v>
      </c>
      <c r="AL13" s="67">
        <v>500</v>
      </c>
    </row>
    <row r="14" spans="1:44">
      <c r="A14" s="90" t="s">
        <v>276</v>
      </c>
      <c r="B14" s="95">
        <v>3</v>
      </c>
      <c r="C14" s="95"/>
      <c r="D14" s="84"/>
      <c r="E14" s="83"/>
      <c r="F14" s="83"/>
      <c r="G14" s="87">
        <v>9.9</v>
      </c>
      <c r="H14" s="83">
        <f>L2</f>
        <v>6.17</v>
      </c>
      <c r="I14" s="83">
        <f>S2</f>
        <v>1</v>
      </c>
      <c r="J14" s="88">
        <f t="shared" si="0"/>
        <v>17.07</v>
      </c>
      <c r="K14" s="83">
        <f>U2</f>
        <v>0.8</v>
      </c>
      <c r="L14" s="87">
        <f>AE23</f>
        <v>0.83160000000000012</v>
      </c>
      <c r="M14" s="83">
        <f>AG31</f>
        <v>0.57000000000000006</v>
      </c>
      <c r="N14" s="88">
        <f t="shared" si="1"/>
        <v>19.271599999999999</v>
      </c>
      <c r="O14" s="83">
        <v>1</v>
      </c>
      <c r="P14" s="87">
        <f>O14*N14</f>
        <v>19.271599999999999</v>
      </c>
      <c r="Q14" s="87">
        <v>1.0609999999999999</v>
      </c>
      <c r="R14" s="87">
        <f>Q14*P14</f>
        <v>20.447167599999997</v>
      </c>
      <c r="S14" s="87">
        <v>1.5</v>
      </c>
      <c r="T14" s="87">
        <f>S14*R14</f>
        <v>30.670751399999993</v>
      </c>
      <c r="U14" s="87">
        <f>T14-R14</f>
        <v>10.223583799999997</v>
      </c>
      <c r="V14" s="87">
        <v>29.5</v>
      </c>
      <c r="W14" s="96">
        <f>T14/V14</f>
        <v>1.0396864881355929</v>
      </c>
      <c r="X14" s="23"/>
      <c r="Y14" s="23"/>
      <c r="Z14" s="68" t="s">
        <v>94</v>
      </c>
      <c r="AA14" s="58">
        <v>0.78</v>
      </c>
      <c r="AB14" s="58"/>
      <c r="AC14" s="58"/>
      <c r="AD14" s="58"/>
      <c r="AE14" s="58"/>
      <c r="AF14" s="58"/>
      <c r="AG14" s="64"/>
      <c r="AH14" s="64"/>
      <c r="AI14" s="64"/>
      <c r="AJ14" s="64"/>
      <c r="AK14" s="64"/>
      <c r="AL14" s="69"/>
    </row>
    <row r="15" spans="1:44">
      <c r="A15" s="22" t="s">
        <v>2</v>
      </c>
      <c r="B15" s="23">
        <v>5</v>
      </c>
      <c r="C15" s="23">
        <v>38</v>
      </c>
      <c r="D15" s="32">
        <v>55</v>
      </c>
      <c r="E15" s="83">
        <v>93</v>
      </c>
      <c r="F15" s="83" t="s">
        <v>70</v>
      </c>
      <c r="G15" s="87">
        <v>3.7</v>
      </c>
      <c r="H15" s="83">
        <f>P2</f>
        <v>7.59</v>
      </c>
      <c r="I15" s="83">
        <f>S2</f>
        <v>1</v>
      </c>
      <c r="J15" s="88">
        <f t="shared" si="0"/>
        <v>12.29</v>
      </c>
      <c r="K15" s="83">
        <f>U2</f>
        <v>0.8</v>
      </c>
      <c r="L15" s="87">
        <f>AA21</f>
        <v>0.84240000000000004</v>
      </c>
      <c r="M15" s="83">
        <f>AF29</f>
        <v>0.51</v>
      </c>
      <c r="N15" s="88">
        <f t="shared" si="1"/>
        <v>14.442399999999999</v>
      </c>
      <c r="O15" s="83">
        <v>1</v>
      </c>
      <c r="P15" s="87">
        <f t="shared" ref="P15:P32" si="2">O15*N15</f>
        <v>14.442399999999999</v>
      </c>
      <c r="Q15" s="87">
        <v>1.0609999999999999</v>
      </c>
      <c r="R15" s="87">
        <f t="shared" ref="R15:R32" si="3">Q15*P15</f>
        <v>15.323386399999999</v>
      </c>
      <c r="S15" s="87">
        <v>1.5</v>
      </c>
      <c r="T15" s="87">
        <f t="shared" ref="T15:T32" si="4">S15*R15</f>
        <v>22.985079599999999</v>
      </c>
      <c r="U15" s="87">
        <f t="shared" ref="U15:U32" si="5">T15-R15</f>
        <v>7.6616932000000002</v>
      </c>
      <c r="V15" s="87">
        <v>29.5</v>
      </c>
      <c r="W15" s="24">
        <f t="shared" ref="W15:W31" si="6">T15/V15</f>
        <v>0.77915524067796604</v>
      </c>
      <c r="X15" s="23"/>
      <c r="Y15" s="23"/>
      <c r="Z15" s="68" t="s">
        <v>91</v>
      </c>
      <c r="AA15" s="58"/>
      <c r="AB15" s="58">
        <v>0.35</v>
      </c>
      <c r="AC15" s="58">
        <v>0.35</v>
      </c>
      <c r="AD15" s="58">
        <v>0.37</v>
      </c>
      <c r="AE15" s="58">
        <v>0.39</v>
      </c>
      <c r="AF15" s="58">
        <v>0.42</v>
      </c>
      <c r="AG15" s="64"/>
      <c r="AH15" s="64"/>
      <c r="AI15" s="64"/>
      <c r="AJ15" s="64"/>
      <c r="AK15" s="64"/>
      <c r="AL15" s="69"/>
    </row>
    <row r="16" spans="1:44">
      <c r="A16" s="22" t="s">
        <v>3</v>
      </c>
      <c r="B16" s="23">
        <v>5</v>
      </c>
      <c r="C16" s="23">
        <v>80</v>
      </c>
      <c r="D16" s="32">
        <v>70</v>
      </c>
      <c r="E16" s="83">
        <v>150</v>
      </c>
      <c r="F16" s="83" t="s">
        <v>68</v>
      </c>
      <c r="G16" s="87">
        <v>5.0999999999999996</v>
      </c>
      <c r="H16" s="83">
        <f>L2</f>
        <v>6.17</v>
      </c>
      <c r="I16" s="83">
        <f>S2</f>
        <v>1</v>
      </c>
      <c r="J16" s="88">
        <f t="shared" si="0"/>
        <v>12.27</v>
      </c>
      <c r="K16" s="83">
        <f>U2</f>
        <v>0.8</v>
      </c>
      <c r="L16" s="87">
        <f>AC23</f>
        <v>0.75600000000000001</v>
      </c>
      <c r="M16" s="83">
        <f>AG31</f>
        <v>0.57000000000000006</v>
      </c>
      <c r="N16" s="88">
        <f t="shared" si="1"/>
        <v>14.396000000000001</v>
      </c>
      <c r="O16" s="83">
        <v>1</v>
      </c>
      <c r="P16" s="87">
        <f t="shared" si="2"/>
        <v>14.396000000000001</v>
      </c>
      <c r="Q16" s="87">
        <v>1.0609999999999999</v>
      </c>
      <c r="R16" s="87">
        <f t="shared" si="3"/>
        <v>15.274156</v>
      </c>
      <c r="S16" s="87">
        <v>1.5</v>
      </c>
      <c r="T16" s="87">
        <f t="shared" si="4"/>
        <v>22.911234</v>
      </c>
      <c r="U16" s="87">
        <f t="shared" si="5"/>
        <v>7.6370780000000007</v>
      </c>
      <c r="V16" s="87">
        <v>29.5</v>
      </c>
      <c r="W16" s="24">
        <f t="shared" si="6"/>
        <v>0.77665200000000001</v>
      </c>
      <c r="X16" s="23"/>
      <c r="Y16" s="23"/>
      <c r="Z16" s="68" t="s">
        <v>92</v>
      </c>
      <c r="AA16" s="58"/>
      <c r="AB16" s="58">
        <v>0.7</v>
      </c>
      <c r="AC16" s="58">
        <v>0.7</v>
      </c>
      <c r="AD16" s="58">
        <v>0.73</v>
      </c>
      <c r="AE16" s="58">
        <v>0.77</v>
      </c>
      <c r="AF16" s="58">
        <v>0.81</v>
      </c>
      <c r="AG16" s="64">
        <v>0.89</v>
      </c>
      <c r="AH16" s="64">
        <v>0.92</v>
      </c>
      <c r="AI16" s="64">
        <v>1</v>
      </c>
      <c r="AJ16" s="64">
        <v>1.1200000000000001</v>
      </c>
      <c r="AK16" s="64">
        <v>1.18</v>
      </c>
      <c r="AL16" s="69">
        <v>1.24</v>
      </c>
    </row>
    <row r="17" spans="1:38">
      <c r="A17" s="22" t="s">
        <v>4</v>
      </c>
      <c r="B17" s="23">
        <v>5</v>
      </c>
      <c r="C17" s="23">
        <v>100</v>
      </c>
      <c r="D17" s="32">
        <v>70</v>
      </c>
      <c r="E17" s="83">
        <v>170</v>
      </c>
      <c r="F17" s="83" t="s">
        <v>68</v>
      </c>
      <c r="G17" s="87">
        <v>5.76</v>
      </c>
      <c r="H17" s="83">
        <f>L2</f>
        <v>6.17</v>
      </c>
      <c r="I17" s="83">
        <f>S2</f>
        <v>1</v>
      </c>
      <c r="J17" s="88">
        <f t="shared" si="0"/>
        <v>12.93</v>
      </c>
      <c r="K17" s="83">
        <f>U2</f>
        <v>0.8</v>
      </c>
      <c r="L17" s="87">
        <f>AD23</f>
        <v>0.78839999999999999</v>
      </c>
      <c r="M17" s="83">
        <f>AG31</f>
        <v>0.57000000000000006</v>
      </c>
      <c r="N17" s="88">
        <f t="shared" si="1"/>
        <v>15.0884</v>
      </c>
      <c r="O17" s="83">
        <v>1</v>
      </c>
      <c r="P17" s="87">
        <f t="shared" si="2"/>
        <v>15.0884</v>
      </c>
      <c r="Q17" s="87">
        <v>1.0609999999999999</v>
      </c>
      <c r="R17" s="87">
        <f t="shared" si="3"/>
        <v>16.008792400000001</v>
      </c>
      <c r="S17" s="87">
        <v>1.5</v>
      </c>
      <c r="T17" s="87">
        <f t="shared" si="4"/>
        <v>24.013188599999999</v>
      </c>
      <c r="U17" s="87">
        <f t="shared" si="5"/>
        <v>8.0043961999999986</v>
      </c>
      <c r="V17" s="87">
        <v>29.5</v>
      </c>
      <c r="W17" s="24">
        <f t="shared" si="6"/>
        <v>0.81400639322033896</v>
      </c>
      <c r="X17" s="23"/>
      <c r="Y17" s="23"/>
      <c r="Z17" s="68" t="s">
        <v>79</v>
      </c>
      <c r="AA17" s="58"/>
      <c r="AB17" s="58"/>
      <c r="AC17" s="58"/>
      <c r="AD17" s="58">
        <v>0.84</v>
      </c>
      <c r="AE17" s="58">
        <v>0.9</v>
      </c>
      <c r="AF17" s="58">
        <v>0.97</v>
      </c>
      <c r="AG17" s="64">
        <v>1.04</v>
      </c>
      <c r="AH17" s="64">
        <v>1.1000000000000001</v>
      </c>
      <c r="AI17" s="64">
        <v>1.1599999999999999</v>
      </c>
      <c r="AJ17" s="64">
        <v>1.22</v>
      </c>
      <c r="AK17" s="64">
        <v>1.28</v>
      </c>
      <c r="AL17" s="69">
        <v>1.34</v>
      </c>
    </row>
    <row r="18" spans="1:38" ht="17.25" thickBot="1">
      <c r="A18" s="90" t="s">
        <v>277</v>
      </c>
      <c r="B18" s="95">
        <v>5</v>
      </c>
      <c r="C18" s="95"/>
      <c r="D18" s="84"/>
      <c r="E18" s="83"/>
      <c r="F18" s="83"/>
      <c r="G18" s="87">
        <v>17.73</v>
      </c>
      <c r="H18" s="83">
        <f>L2</f>
        <v>6.17</v>
      </c>
      <c r="I18" s="83">
        <f>S2</f>
        <v>1</v>
      </c>
      <c r="J18" s="88">
        <f t="shared" si="0"/>
        <v>24.9</v>
      </c>
      <c r="K18" s="83">
        <f>U2</f>
        <v>0.8</v>
      </c>
      <c r="L18" s="87">
        <f>AH23</f>
        <v>0.99360000000000015</v>
      </c>
      <c r="N18" s="88">
        <f>EY169+L18+K18+J18</f>
        <v>27.4436</v>
      </c>
      <c r="O18" s="83">
        <v>1</v>
      </c>
      <c r="P18" s="87">
        <f>O18*N18</f>
        <v>27.4436</v>
      </c>
      <c r="Q18" s="87">
        <v>1.0609999999999999</v>
      </c>
      <c r="R18" s="87">
        <f>Q18*P18</f>
        <v>29.1176596</v>
      </c>
      <c r="S18" s="87">
        <v>1.5</v>
      </c>
      <c r="T18" s="87">
        <f>S18*R18</f>
        <v>43.676489400000001</v>
      </c>
      <c r="U18" s="87">
        <f>T18-R18</f>
        <v>14.558829800000002</v>
      </c>
      <c r="V18" s="87">
        <v>29.5</v>
      </c>
      <c r="W18" s="96">
        <f>T18/V18</f>
        <v>1.4805589627118645</v>
      </c>
      <c r="X18" s="23"/>
      <c r="Y18" s="23"/>
      <c r="Z18" s="70" t="s">
        <v>90</v>
      </c>
      <c r="AA18" s="71"/>
      <c r="AB18" s="71"/>
      <c r="AC18" s="71"/>
      <c r="AD18" s="71">
        <v>1.08</v>
      </c>
      <c r="AE18" s="71">
        <v>1.1399999999999999</v>
      </c>
      <c r="AF18" s="71">
        <v>1.2</v>
      </c>
      <c r="AG18" s="72">
        <v>1.28</v>
      </c>
      <c r="AH18" s="72">
        <v>1.34</v>
      </c>
      <c r="AI18" s="72">
        <v>1.4</v>
      </c>
      <c r="AJ18" s="72">
        <v>1.46</v>
      </c>
      <c r="AK18" s="72">
        <v>1.52</v>
      </c>
      <c r="AL18" s="73">
        <v>1.58</v>
      </c>
    </row>
    <row r="19" spans="1:38" ht="17.25" thickBot="1">
      <c r="A19" s="22" t="s">
        <v>5</v>
      </c>
      <c r="B19" s="23">
        <v>6</v>
      </c>
      <c r="C19" s="23">
        <v>38</v>
      </c>
      <c r="D19" s="32">
        <v>55</v>
      </c>
      <c r="E19" s="83">
        <v>93</v>
      </c>
      <c r="F19" s="83" t="s">
        <v>70</v>
      </c>
      <c r="G19" s="87">
        <v>3.96</v>
      </c>
      <c r="H19" s="83">
        <f>P2</f>
        <v>7.59</v>
      </c>
      <c r="I19" s="83">
        <f>S2</f>
        <v>1</v>
      </c>
      <c r="J19" s="88">
        <f t="shared" si="0"/>
        <v>12.55</v>
      </c>
      <c r="K19" s="83">
        <f>U2</f>
        <v>0.8</v>
      </c>
      <c r="L19" s="87">
        <f>AA21</f>
        <v>0.84240000000000004</v>
      </c>
      <c r="M19" s="83">
        <f>AF29</f>
        <v>0.51</v>
      </c>
      <c r="N19" s="88">
        <f t="shared" si="1"/>
        <v>14.702400000000001</v>
      </c>
      <c r="O19" s="83">
        <v>1</v>
      </c>
      <c r="P19" s="87">
        <f t="shared" si="2"/>
        <v>14.702400000000001</v>
      </c>
      <c r="Q19" s="87">
        <v>1.0609999999999999</v>
      </c>
      <c r="R19" s="87">
        <f t="shared" si="3"/>
        <v>15.5992464</v>
      </c>
      <c r="S19" s="87">
        <v>1.5</v>
      </c>
      <c r="T19" s="87">
        <f t="shared" si="4"/>
        <v>23.398869600000001</v>
      </c>
      <c r="U19" s="87">
        <f t="shared" si="5"/>
        <v>7.799623200000001</v>
      </c>
      <c r="V19" s="87">
        <v>29.5</v>
      </c>
      <c r="W19" s="24">
        <f t="shared" si="6"/>
        <v>0.79318202033898311</v>
      </c>
      <c r="X19" s="23"/>
      <c r="Y19" s="23"/>
      <c r="Z19" s="68" t="s">
        <v>214</v>
      </c>
      <c r="AA19" s="58">
        <v>1.08</v>
      </c>
      <c r="AB19" s="58">
        <v>1.08</v>
      </c>
      <c r="AC19" s="58">
        <v>1.08</v>
      </c>
      <c r="AD19" s="58">
        <v>1.08</v>
      </c>
      <c r="AE19" s="58">
        <v>1.08</v>
      </c>
      <c r="AF19" s="58">
        <v>1.08</v>
      </c>
      <c r="AG19" s="58">
        <v>1.08</v>
      </c>
      <c r="AH19" s="58">
        <v>1.08</v>
      </c>
      <c r="AI19" s="58">
        <v>1.08</v>
      </c>
      <c r="AJ19" s="58">
        <v>1.08</v>
      </c>
      <c r="AK19" s="58">
        <v>1.08</v>
      </c>
      <c r="AL19" s="58">
        <v>1.08</v>
      </c>
    </row>
    <row r="20" spans="1:38">
      <c r="A20" s="22" t="s">
        <v>6</v>
      </c>
      <c r="B20" s="23">
        <v>6</v>
      </c>
      <c r="C20" s="23">
        <v>100</v>
      </c>
      <c r="D20" s="32">
        <v>90</v>
      </c>
      <c r="E20" s="83">
        <v>190</v>
      </c>
      <c r="F20" s="83" t="s">
        <v>72</v>
      </c>
      <c r="G20" s="87">
        <v>6.67</v>
      </c>
      <c r="H20" s="83">
        <f>J2</f>
        <v>8.09</v>
      </c>
      <c r="I20" s="83">
        <f>S2</f>
        <v>1</v>
      </c>
      <c r="J20" s="88">
        <f t="shared" si="0"/>
        <v>15.76</v>
      </c>
      <c r="K20" s="83">
        <f>U2</f>
        <v>0.8</v>
      </c>
      <c r="L20" s="87">
        <f>AD24</f>
        <v>0.90720000000000001</v>
      </c>
      <c r="M20" s="83">
        <f>AG32</f>
        <v>0.57000000000000006</v>
      </c>
      <c r="N20" s="88">
        <f t="shared" si="1"/>
        <v>18.037199999999999</v>
      </c>
      <c r="O20" s="83">
        <v>1</v>
      </c>
      <c r="P20" s="87">
        <f t="shared" si="2"/>
        <v>18.037199999999999</v>
      </c>
      <c r="Q20" s="87">
        <v>1.0609999999999999</v>
      </c>
      <c r="R20" s="87">
        <f t="shared" si="3"/>
        <v>19.137469199999998</v>
      </c>
      <c r="S20" s="87">
        <v>1.5</v>
      </c>
      <c r="T20" s="87">
        <f t="shared" si="4"/>
        <v>28.706203799999997</v>
      </c>
      <c r="U20" s="87">
        <f t="shared" si="5"/>
        <v>9.5687345999999991</v>
      </c>
      <c r="V20" s="87">
        <v>29.5</v>
      </c>
      <c r="W20" s="24">
        <f t="shared" si="6"/>
        <v>0.97309165423728805</v>
      </c>
      <c r="X20" s="23"/>
      <c r="Y20" s="23"/>
      <c r="Z20" s="65" t="s">
        <v>102</v>
      </c>
      <c r="AA20" s="66">
        <v>38</v>
      </c>
      <c r="AB20" s="66">
        <v>60</v>
      </c>
      <c r="AC20" s="66">
        <v>80</v>
      </c>
      <c r="AD20" s="66">
        <v>100</v>
      </c>
      <c r="AE20" s="66">
        <v>150</v>
      </c>
      <c r="AF20" s="66">
        <v>200</v>
      </c>
      <c r="AG20" s="66">
        <v>250</v>
      </c>
      <c r="AH20" s="66">
        <v>300</v>
      </c>
      <c r="AI20" s="66">
        <v>350</v>
      </c>
      <c r="AJ20" s="66">
        <v>400</v>
      </c>
      <c r="AK20" s="66">
        <v>450</v>
      </c>
      <c r="AL20" s="67">
        <v>500</v>
      </c>
    </row>
    <row r="21" spans="1:38">
      <c r="A21" s="22" t="s">
        <v>7</v>
      </c>
      <c r="B21" s="23">
        <v>6</v>
      </c>
      <c r="C21" s="23">
        <v>125</v>
      </c>
      <c r="D21" s="32">
        <v>90</v>
      </c>
      <c r="E21" s="83">
        <v>215</v>
      </c>
      <c r="F21" s="83" t="s">
        <v>72</v>
      </c>
      <c r="G21" s="87">
        <v>7.87</v>
      </c>
      <c r="H21" s="83">
        <f>J2</f>
        <v>8.09</v>
      </c>
      <c r="I21" s="83">
        <f>S2</f>
        <v>1</v>
      </c>
      <c r="J21" s="88">
        <f t="shared" si="0"/>
        <v>16.96</v>
      </c>
      <c r="K21" s="83">
        <f>U2</f>
        <v>0.8</v>
      </c>
      <c r="L21" s="87">
        <f>AE24</f>
        <v>0.97200000000000009</v>
      </c>
      <c r="M21" s="83">
        <f>AH32</f>
        <v>0.75</v>
      </c>
      <c r="N21" s="88">
        <f t="shared" si="1"/>
        <v>19.481999999999999</v>
      </c>
      <c r="O21" s="83">
        <v>1</v>
      </c>
      <c r="P21" s="87">
        <f t="shared" si="2"/>
        <v>19.481999999999999</v>
      </c>
      <c r="Q21" s="87">
        <v>1.0609999999999999</v>
      </c>
      <c r="R21" s="87">
        <f t="shared" si="3"/>
        <v>20.670401999999999</v>
      </c>
      <c r="S21" s="87">
        <v>1.5</v>
      </c>
      <c r="T21" s="87">
        <f t="shared" si="4"/>
        <v>31.005603000000001</v>
      </c>
      <c r="U21" s="87">
        <f t="shared" si="5"/>
        <v>10.335201000000001</v>
      </c>
      <c r="V21" s="87">
        <v>29.5</v>
      </c>
      <c r="W21" s="24">
        <f t="shared" si="6"/>
        <v>1.0510373898305085</v>
      </c>
      <c r="X21" s="23"/>
      <c r="Y21" s="23"/>
      <c r="Z21" s="68" t="s">
        <v>70</v>
      </c>
      <c r="AA21" s="74">
        <f>AA19*AA14</f>
        <v>0.84240000000000004</v>
      </c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78"/>
    </row>
    <row r="22" spans="1:38">
      <c r="A22" s="22" t="s">
        <v>8</v>
      </c>
      <c r="B22" s="23">
        <v>6</v>
      </c>
      <c r="C22" s="23">
        <v>150</v>
      </c>
      <c r="D22" s="32">
        <v>90</v>
      </c>
      <c r="E22" s="83">
        <v>240</v>
      </c>
      <c r="F22" s="83" t="s">
        <v>72</v>
      </c>
      <c r="G22" s="87">
        <v>8.4</v>
      </c>
      <c r="H22" s="83">
        <f>J2</f>
        <v>8.09</v>
      </c>
      <c r="I22" s="83">
        <f>S2</f>
        <v>1</v>
      </c>
      <c r="J22" s="88">
        <f t="shared" si="0"/>
        <v>17.490000000000002</v>
      </c>
      <c r="K22" s="83">
        <f>U2</f>
        <v>0.8</v>
      </c>
      <c r="L22" s="87">
        <f>AE24</f>
        <v>0.97200000000000009</v>
      </c>
      <c r="M22" s="83">
        <f>AH32</f>
        <v>0.75</v>
      </c>
      <c r="N22" s="88">
        <f t="shared" si="1"/>
        <v>20.012</v>
      </c>
      <c r="O22" s="83">
        <v>1</v>
      </c>
      <c r="P22" s="87">
        <f t="shared" si="2"/>
        <v>20.012</v>
      </c>
      <c r="Q22" s="87">
        <v>1.0609999999999999</v>
      </c>
      <c r="R22" s="87">
        <f t="shared" si="3"/>
        <v>21.232731999999999</v>
      </c>
      <c r="S22" s="87">
        <v>1.5</v>
      </c>
      <c r="T22" s="87">
        <f t="shared" si="4"/>
        <v>31.849097999999998</v>
      </c>
      <c r="U22" s="87">
        <f t="shared" si="5"/>
        <v>10.616365999999999</v>
      </c>
      <c r="V22" s="87">
        <v>29.5</v>
      </c>
      <c r="W22" s="24">
        <f t="shared" si="6"/>
        <v>1.079630440677966</v>
      </c>
      <c r="X22" s="23"/>
      <c r="Y22" s="23"/>
      <c r="Z22" s="68" t="s">
        <v>91</v>
      </c>
      <c r="AA22" s="64"/>
      <c r="AB22" s="74">
        <f>AB19*AB15</f>
        <v>0.378</v>
      </c>
      <c r="AC22" s="74">
        <f>AC19*AC15</f>
        <v>0.378</v>
      </c>
      <c r="AD22" s="74">
        <f>AD19*AD15</f>
        <v>0.39960000000000001</v>
      </c>
      <c r="AE22" s="74">
        <f>AE19*AE15</f>
        <v>0.42120000000000002</v>
      </c>
      <c r="AF22" s="74">
        <f>AF15*AF19</f>
        <v>0.4536</v>
      </c>
      <c r="AG22" s="64"/>
      <c r="AH22" s="64"/>
      <c r="AI22" s="64"/>
      <c r="AJ22" s="64"/>
      <c r="AK22" s="64"/>
      <c r="AL22" s="78"/>
    </row>
    <row r="23" spans="1:38">
      <c r="A23" s="22" t="s">
        <v>9</v>
      </c>
      <c r="B23" s="23">
        <v>8</v>
      </c>
      <c r="C23" s="23">
        <v>125</v>
      </c>
      <c r="D23" s="32">
        <v>110</v>
      </c>
      <c r="E23" s="83">
        <v>235</v>
      </c>
      <c r="F23" s="83" t="s">
        <v>74</v>
      </c>
      <c r="G23" s="87">
        <v>13.24</v>
      </c>
      <c r="H23" s="83">
        <f>H2</f>
        <v>9.41</v>
      </c>
      <c r="I23" s="83">
        <f>S2</f>
        <v>1</v>
      </c>
      <c r="J23" s="88">
        <f t="shared" si="0"/>
        <v>23.65</v>
      </c>
      <c r="K23" s="83">
        <f>U2</f>
        <v>0.8</v>
      </c>
      <c r="L23" s="87">
        <f>AE25</f>
        <v>1.2312000000000001</v>
      </c>
      <c r="M23" s="83">
        <f>AH33</f>
        <v>1.02</v>
      </c>
      <c r="N23" s="88">
        <f t="shared" si="1"/>
        <v>26.7012</v>
      </c>
      <c r="O23" s="83">
        <v>1</v>
      </c>
      <c r="P23" s="87">
        <f t="shared" si="2"/>
        <v>26.7012</v>
      </c>
      <c r="Q23" s="87">
        <v>1.0609999999999999</v>
      </c>
      <c r="R23" s="87">
        <f t="shared" si="3"/>
        <v>28.329973199999998</v>
      </c>
      <c r="S23" s="87">
        <v>1.38</v>
      </c>
      <c r="T23" s="87">
        <f t="shared" si="4"/>
        <v>39.095363015999993</v>
      </c>
      <c r="U23" s="87">
        <f t="shared" si="5"/>
        <v>10.765389815999995</v>
      </c>
      <c r="V23" s="87">
        <v>29.5</v>
      </c>
      <c r="W23" s="24">
        <f t="shared" si="6"/>
        <v>1.3252665429152539</v>
      </c>
      <c r="X23" s="23"/>
      <c r="Y23" s="23"/>
      <c r="Z23" s="68" t="s">
        <v>80</v>
      </c>
      <c r="AA23" s="64"/>
      <c r="AB23" s="74">
        <f>AB19*AB16</f>
        <v>0.75600000000000001</v>
      </c>
      <c r="AC23" s="74">
        <f>AC19*AC16</f>
        <v>0.75600000000000001</v>
      </c>
      <c r="AD23" s="74">
        <f>AD19*AD16</f>
        <v>0.78839999999999999</v>
      </c>
      <c r="AE23" s="74">
        <f>AE16*AE19</f>
        <v>0.83160000000000012</v>
      </c>
      <c r="AF23" s="74">
        <f>AF16*AF19</f>
        <v>0.87480000000000013</v>
      </c>
      <c r="AG23" s="74">
        <f>AG16*AG19</f>
        <v>0.96120000000000005</v>
      </c>
      <c r="AH23" s="74">
        <f>AH19*AH16</f>
        <v>0.99360000000000015</v>
      </c>
      <c r="AI23" s="74">
        <f>AI16*AI19</f>
        <v>1.08</v>
      </c>
      <c r="AJ23" s="74">
        <f>AJ16*AJ19</f>
        <v>1.2096000000000002</v>
      </c>
      <c r="AK23" s="74">
        <f>AK16*AK19</f>
        <v>1.2744</v>
      </c>
      <c r="AL23" s="74">
        <f>AL16*AL19</f>
        <v>1.3392000000000002</v>
      </c>
    </row>
    <row r="24" spans="1:38">
      <c r="A24" s="22" t="s">
        <v>10</v>
      </c>
      <c r="B24" s="23">
        <v>8</v>
      </c>
      <c r="C24" s="23">
        <v>150</v>
      </c>
      <c r="D24" s="32">
        <v>110</v>
      </c>
      <c r="E24" s="83">
        <v>260</v>
      </c>
      <c r="F24" s="83" t="s">
        <v>74</v>
      </c>
      <c r="G24" s="87">
        <v>16.13</v>
      </c>
      <c r="H24" s="83">
        <f>H2</f>
        <v>9.41</v>
      </c>
      <c r="I24" s="83">
        <f>S2</f>
        <v>1</v>
      </c>
      <c r="J24" s="88">
        <f t="shared" si="0"/>
        <v>26.54</v>
      </c>
      <c r="K24" s="83">
        <f>U2</f>
        <v>0.8</v>
      </c>
      <c r="L24" s="87">
        <f>AE25</f>
        <v>1.2312000000000001</v>
      </c>
      <c r="M24" s="83">
        <f>AH33</f>
        <v>1.02</v>
      </c>
      <c r="N24" s="88">
        <f t="shared" si="1"/>
        <v>29.591200000000001</v>
      </c>
      <c r="O24" s="83">
        <v>1</v>
      </c>
      <c r="P24" s="87">
        <f t="shared" si="2"/>
        <v>29.591200000000001</v>
      </c>
      <c r="Q24" s="87">
        <v>1.0609999999999999</v>
      </c>
      <c r="R24" s="87">
        <f t="shared" si="3"/>
        <v>31.3962632</v>
      </c>
      <c r="S24" s="87">
        <v>1.4</v>
      </c>
      <c r="T24" s="87">
        <f t="shared" si="4"/>
        <v>43.954768479999998</v>
      </c>
      <c r="U24" s="87">
        <f t="shared" si="5"/>
        <v>12.558505279999999</v>
      </c>
      <c r="V24" s="87">
        <v>29.5</v>
      </c>
      <c r="W24" s="24">
        <f t="shared" si="6"/>
        <v>1.4899921518644068</v>
      </c>
      <c r="X24" s="23"/>
      <c r="Y24" s="23"/>
      <c r="Z24" s="68" t="s">
        <v>79</v>
      </c>
      <c r="AA24" s="64"/>
      <c r="AB24" s="64"/>
      <c r="AC24" s="64"/>
      <c r="AD24" s="74">
        <f>AD19*AD17</f>
        <v>0.90720000000000001</v>
      </c>
      <c r="AE24" s="74">
        <f t="shared" ref="AE24:AL24" si="7">AE17*AE19</f>
        <v>0.97200000000000009</v>
      </c>
      <c r="AF24" s="74">
        <f t="shared" si="7"/>
        <v>1.0476000000000001</v>
      </c>
      <c r="AG24" s="74">
        <f t="shared" si="7"/>
        <v>1.1232000000000002</v>
      </c>
      <c r="AH24" s="74">
        <f t="shared" si="7"/>
        <v>1.1880000000000002</v>
      </c>
      <c r="AI24" s="74">
        <f t="shared" si="7"/>
        <v>1.2527999999999999</v>
      </c>
      <c r="AJ24" s="74">
        <f t="shared" si="7"/>
        <v>1.3176000000000001</v>
      </c>
      <c r="AK24" s="74">
        <f t="shared" si="7"/>
        <v>1.3824000000000001</v>
      </c>
      <c r="AL24" s="76">
        <f t="shared" si="7"/>
        <v>1.4472000000000003</v>
      </c>
    </row>
    <row r="25" spans="1:38" ht="17.25" thickBot="1">
      <c r="A25" s="22" t="s">
        <v>11</v>
      </c>
      <c r="B25" s="23">
        <v>10</v>
      </c>
      <c r="C25" s="23">
        <v>200</v>
      </c>
      <c r="D25" s="32">
        <v>110</v>
      </c>
      <c r="E25" s="83">
        <v>310</v>
      </c>
      <c r="F25" s="83" t="s">
        <v>74</v>
      </c>
      <c r="G25" s="87">
        <v>25.69</v>
      </c>
      <c r="H25" s="83">
        <f>H2</f>
        <v>9.41</v>
      </c>
      <c r="I25" s="83">
        <f>S2</f>
        <v>1</v>
      </c>
      <c r="J25" s="88">
        <f t="shared" si="0"/>
        <v>36.1</v>
      </c>
      <c r="K25" s="83">
        <f>U2</f>
        <v>0.8</v>
      </c>
      <c r="L25" s="87">
        <f>AF25</f>
        <v>1.296</v>
      </c>
      <c r="M25" s="83">
        <f>AH33</f>
        <v>1.02</v>
      </c>
      <c r="N25" s="88">
        <f t="shared" si="1"/>
        <v>39.216000000000001</v>
      </c>
      <c r="O25" s="83">
        <v>1</v>
      </c>
      <c r="P25" s="87">
        <f t="shared" si="2"/>
        <v>39.216000000000001</v>
      </c>
      <c r="Q25" s="87">
        <v>1.0609999999999999</v>
      </c>
      <c r="R25" s="87">
        <f t="shared" si="3"/>
        <v>41.608176</v>
      </c>
      <c r="S25" s="87">
        <v>1.5</v>
      </c>
      <c r="T25" s="87">
        <f t="shared" si="4"/>
        <v>62.412264</v>
      </c>
      <c r="U25" s="87">
        <f t="shared" si="5"/>
        <v>20.804088</v>
      </c>
      <c r="V25" s="87">
        <v>29.5</v>
      </c>
      <c r="W25" s="24">
        <f t="shared" si="6"/>
        <v>2.1156699661016951</v>
      </c>
      <c r="X25" s="23"/>
      <c r="Y25" s="23"/>
      <c r="Z25" s="70" t="s">
        <v>78</v>
      </c>
      <c r="AA25" s="72"/>
      <c r="AB25" s="72"/>
      <c r="AC25" s="72"/>
      <c r="AD25" s="75">
        <f>AD19*AD18</f>
        <v>1.1664000000000001</v>
      </c>
      <c r="AE25" s="75">
        <f t="shared" ref="AE25:AL25" si="8">AE18*AE19</f>
        <v>1.2312000000000001</v>
      </c>
      <c r="AF25" s="75">
        <f t="shared" si="8"/>
        <v>1.296</v>
      </c>
      <c r="AG25" s="75">
        <f t="shared" si="8"/>
        <v>1.3824000000000001</v>
      </c>
      <c r="AH25" s="75">
        <f t="shared" si="8"/>
        <v>1.4472000000000003</v>
      </c>
      <c r="AI25" s="75">
        <f t="shared" si="8"/>
        <v>1.512</v>
      </c>
      <c r="AJ25" s="75">
        <f t="shared" si="8"/>
        <v>1.5768</v>
      </c>
      <c r="AK25" s="75">
        <f t="shared" si="8"/>
        <v>1.6416000000000002</v>
      </c>
      <c r="AL25" s="77">
        <f t="shared" si="8"/>
        <v>1.7064000000000001</v>
      </c>
    </row>
    <row r="26" spans="1:38">
      <c r="A26" s="22" t="s">
        <v>12</v>
      </c>
      <c r="B26" s="23">
        <v>3</v>
      </c>
      <c r="C26" s="23">
        <v>60</v>
      </c>
      <c r="D26" s="32">
        <v>70</v>
      </c>
      <c r="E26" s="83">
        <v>130</v>
      </c>
      <c r="F26" s="83" t="s">
        <v>194</v>
      </c>
      <c r="G26" s="87">
        <v>4.03</v>
      </c>
      <c r="H26" s="83">
        <f>L2</f>
        <v>6.17</v>
      </c>
      <c r="I26" s="83">
        <f>S2</f>
        <v>1</v>
      </c>
      <c r="J26" s="88">
        <f t="shared" si="0"/>
        <v>11.2</v>
      </c>
      <c r="K26" s="88">
        <f>U2</f>
        <v>0.8</v>
      </c>
      <c r="L26" s="87">
        <f>AB23</f>
        <v>0.75600000000000001</v>
      </c>
      <c r="M26" s="83">
        <f>AG31</f>
        <v>0.57000000000000006</v>
      </c>
      <c r="N26" s="88">
        <f t="shared" si="1"/>
        <v>13.326000000000001</v>
      </c>
      <c r="O26" s="83">
        <v>1</v>
      </c>
      <c r="P26" s="87">
        <f t="shared" si="2"/>
        <v>13.326000000000001</v>
      </c>
      <c r="Q26" s="87">
        <v>1.0609999999999999</v>
      </c>
      <c r="R26" s="87">
        <f t="shared" si="3"/>
        <v>14.138885999999999</v>
      </c>
      <c r="S26" s="87">
        <v>1.5</v>
      </c>
      <c r="T26" s="87">
        <f t="shared" si="4"/>
        <v>21.208328999999999</v>
      </c>
      <c r="U26" s="87">
        <f t="shared" si="5"/>
        <v>7.0694429999999997</v>
      </c>
      <c r="V26" s="87">
        <v>29.5</v>
      </c>
      <c r="W26" s="24">
        <f t="shared" si="6"/>
        <v>0.71892640677966102</v>
      </c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1:38" ht="17.25" thickBot="1">
      <c r="A27" s="22" t="s">
        <v>13</v>
      </c>
      <c r="B27" s="23">
        <v>5</v>
      </c>
      <c r="C27" s="23">
        <v>38</v>
      </c>
      <c r="D27" s="32">
        <v>55</v>
      </c>
      <c r="E27" s="83">
        <v>93</v>
      </c>
      <c r="F27" s="83" t="s">
        <v>70</v>
      </c>
      <c r="G27" s="87">
        <v>3.91</v>
      </c>
      <c r="H27" s="83">
        <f>P2</f>
        <v>7.59</v>
      </c>
      <c r="I27" s="83">
        <f>S2</f>
        <v>1</v>
      </c>
      <c r="J27" s="88">
        <f t="shared" si="0"/>
        <v>12.5</v>
      </c>
      <c r="K27" s="83">
        <f>U2</f>
        <v>0.8</v>
      </c>
      <c r="L27" s="87">
        <f>AA21</f>
        <v>0.84240000000000004</v>
      </c>
      <c r="M27" s="83">
        <f>AF29</f>
        <v>0.51</v>
      </c>
      <c r="N27" s="88">
        <f t="shared" si="1"/>
        <v>14.6524</v>
      </c>
      <c r="O27" s="83">
        <v>1</v>
      </c>
      <c r="P27" s="87">
        <f t="shared" si="2"/>
        <v>14.6524</v>
      </c>
      <c r="Q27" s="87">
        <v>1.0609999999999999</v>
      </c>
      <c r="R27" s="87">
        <f t="shared" si="3"/>
        <v>15.546196399999999</v>
      </c>
      <c r="S27" s="87">
        <v>1.5</v>
      </c>
      <c r="T27" s="87">
        <f t="shared" si="4"/>
        <v>23.319294599999999</v>
      </c>
      <c r="U27" s="87">
        <f t="shared" si="5"/>
        <v>7.7730981999999997</v>
      </c>
      <c r="V27" s="87">
        <v>29.5</v>
      </c>
      <c r="W27" s="24">
        <f t="shared" si="6"/>
        <v>0.7904845627118644</v>
      </c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1:38">
      <c r="A28" s="22" t="s">
        <v>14</v>
      </c>
      <c r="B28" s="23">
        <v>5</v>
      </c>
      <c r="C28" s="23">
        <v>80</v>
      </c>
      <c r="D28" s="32">
        <v>70</v>
      </c>
      <c r="E28" s="83">
        <v>150</v>
      </c>
      <c r="F28" s="83" t="s">
        <v>68</v>
      </c>
      <c r="G28" s="87">
        <v>5.31</v>
      </c>
      <c r="H28" s="83">
        <f>L2</f>
        <v>6.17</v>
      </c>
      <c r="I28" s="83">
        <f>S2</f>
        <v>1</v>
      </c>
      <c r="J28" s="88">
        <f t="shared" si="0"/>
        <v>12.48</v>
      </c>
      <c r="K28" s="83">
        <f>U2</f>
        <v>0.8</v>
      </c>
      <c r="L28" s="87">
        <f>AC23</f>
        <v>0.75600000000000001</v>
      </c>
      <c r="M28" s="83">
        <f>AG31</f>
        <v>0.57000000000000006</v>
      </c>
      <c r="N28" s="88">
        <f t="shared" si="1"/>
        <v>14.606000000000002</v>
      </c>
      <c r="O28" s="83">
        <v>1</v>
      </c>
      <c r="P28" s="87">
        <f t="shared" si="2"/>
        <v>14.606000000000002</v>
      </c>
      <c r="Q28" s="87">
        <v>1.0609999999999999</v>
      </c>
      <c r="R28" s="87">
        <f t="shared" si="3"/>
        <v>15.496966</v>
      </c>
      <c r="S28" s="87">
        <v>1.5</v>
      </c>
      <c r="T28" s="87">
        <f t="shared" si="4"/>
        <v>23.245449000000001</v>
      </c>
      <c r="U28" s="87">
        <f t="shared" si="5"/>
        <v>7.7484830000000002</v>
      </c>
      <c r="V28" s="87">
        <v>29.5</v>
      </c>
      <c r="W28" s="24">
        <f t="shared" si="6"/>
        <v>0.78798132203389837</v>
      </c>
      <c r="X28" s="23"/>
      <c r="Y28" s="23"/>
      <c r="Z28" s="5" t="s">
        <v>123</v>
      </c>
      <c r="AA28" s="27" t="s">
        <v>119</v>
      </c>
      <c r="AB28" s="27" t="s">
        <v>120</v>
      </c>
      <c r="AC28" s="27" t="s">
        <v>121</v>
      </c>
      <c r="AD28" s="27" t="s">
        <v>122</v>
      </c>
      <c r="AE28" s="27" t="s">
        <v>117</v>
      </c>
      <c r="AF28" s="27" t="s">
        <v>230</v>
      </c>
      <c r="AG28" s="27" t="s">
        <v>215</v>
      </c>
      <c r="AH28" s="27" t="s">
        <v>216</v>
      </c>
      <c r="AI28" s="28" t="s">
        <v>217</v>
      </c>
      <c r="AJ28" s="23"/>
      <c r="AK28" s="23"/>
      <c r="AL28" s="23"/>
    </row>
    <row r="29" spans="1:38">
      <c r="A29" s="22" t="s">
        <v>15</v>
      </c>
      <c r="B29" s="23">
        <v>5</v>
      </c>
      <c r="C29" s="23">
        <v>100</v>
      </c>
      <c r="D29" s="32">
        <v>70</v>
      </c>
      <c r="E29" s="83">
        <v>170</v>
      </c>
      <c r="F29" s="83" t="s">
        <v>68</v>
      </c>
      <c r="G29" s="87">
        <v>5.97</v>
      </c>
      <c r="H29" s="83">
        <f>L2</f>
        <v>6.17</v>
      </c>
      <c r="I29" s="83">
        <f>S2</f>
        <v>1</v>
      </c>
      <c r="J29" s="88">
        <f t="shared" si="0"/>
        <v>13.14</v>
      </c>
      <c r="K29" s="83">
        <f>U2</f>
        <v>0.8</v>
      </c>
      <c r="L29" s="87">
        <f>AD23</f>
        <v>0.78839999999999999</v>
      </c>
      <c r="M29" s="83">
        <f>AG31</f>
        <v>0.57000000000000006</v>
      </c>
      <c r="N29" s="88">
        <f t="shared" si="1"/>
        <v>15.298400000000001</v>
      </c>
      <c r="O29" s="83">
        <v>1</v>
      </c>
      <c r="P29" s="87">
        <f t="shared" si="2"/>
        <v>15.298400000000001</v>
      </c>
      <c r="Q29" s="87">
        <v>1.0609999999999999</v>
      </c>
      <c r="R29" s="87">
        <f t="shared" si="3"/>
        <v>16.2316024</v>
      </c>
      <c r="S29" s="87">
        <v>1.5</v>
      </c>
      <c r="T29" s="87">
        <f t="shared" si="4"/>
        <v>24.3474036</v>
      </c>
      <c r="U29" s="87">
        <f t="shared" si="5"/>
        <v>8.1158011999999999</v>
      </c>
      <c r="V29" s="87">
        <v>29.5</v>
      </c>
      <c r="W29" s="24">
        <f t="shared" si="6"/>
        <v>0.82533571525423732</v>
      </c>
      <c r="X29" s="23"/>
      <c r="Y29" s="23"/>
      <c r="Z29" s="33" t="s">
        <v>69</v>
      </c>
      <c r="AA29" s="29">
        <v>0.17</v>
      </c>
      <c r="AB29" s="29"/>
      <c r="AC29" s="29"/>
      <c r="AD29" s="29"/>
      <c r="AE29" s="29">
        <v>3</v>
      </c>
      <c r="AF29" s="9">
        <f>AE29*AA29</f>
        <v>0.51</v>
      </c>
      <c r="AG29" s="29"/>
      <c r="AH29" s="29"/>
      <c r="AI29" s="30"/>
      <c r="AJ29" s="23"/>
      <c r="AK29" s="23"/>
      <c r="AL29" s="23"/>
    </row>
    <row r="30" spans="1:38">
      <c r="A30" s="22" t="s">
        <v>16</v>
      </c>
      <c r="B30" s="23">
        <v>6</v>
      </c>
      <c r="C30" s="23">
        <v>38</v>
      </c>
      <c r="D30" s="32">
        <v>55</v>
      </c>
      <c r="E30" s="83">
        <v>93</v>
      </c>
      <c r="F30" s="83" t="s">
        <v>70</v>
      </c>
      <c r="G30" s="87">
        <v>4.17</v>
      </c>
      <c r="H30" s="83">
        <f>P2</f>
        <v>7.59</v>
      </c>
      <c r="I30" s="83">
        <f>S2</f>
        <v>1</v>
      </c>
      <c r="J30" s="88">
        <f t="shared" si="0"/>
        <v>12.76</v>
      </c>
      <c r="K30" s="83">
        <f>U2</f>
        <v>0.8</v>
      </c>
      <c r="L30" s="87">
        <f>AA21</f>
        <v>0.84240000000000004</v>
      </c>
      <c r="M30" s="83">
        <f>AF29</f>
        <v>0.51</v>
      </c>
      <c r="N30" s="88">
        <f t="shared" si="1"/>
        <v>14.9124</v>
      </c>
      <c r="O30" s="83">
        <v>1</v>
      </c>
      <c r="P30" s="87">
        <f t="shared" si="2"/>
        <v>14.9124</v>
      </c>
      <c r="Q30" s="87">
        <v>1.0609999999999999</v>
      </c>
      <c r="R30" s="87">
        <f t="shared" si="3"/>
        <v>15.822056399999999</v>
      </c>
      <c r="S30" s="87">
        <v>1.5</v>
      </c>
      <c r="T30" s="87">
        <f t="shared" si="4"/>
        <v>23.733084599999998</v>
      </c>
      <c r="U30" s="87">
        <f t="shared" si="5"/>
        <v>7.9110281999999987</v>
      </c>
      <c r="V30" s="87">
        <v>29.5</v>
      </c>
      <c r="W30" s="24">
        <f t="shared" si="6"/>
        <v>0.80451134237288124</v>
      </c>
      <c r="X30" s="23"/>
      <c r="Y30" s="23"/>
      <c r="Z30" s="33" t="s">
        <v>118</v>
      </c>
      <c r="AA30" s="29">
        <v>0.17</v>
      </c>
      <c r="AB30" s="29">
        <v>0.19</v>
      </c>
      <c r="AC30" s="29">
        <v>0.25</v>
      </c>
      <c r="AD30" s="29">
        <v>0.37</v>
      </c>
      <c r="AE30" s="29">
        <v>3</v>
      </c>
      <c r="AF30" s="9">
        <f>AE30*AA30</f>
        <v>0.51</v>
      </c>
      <c r="AG30" s="9">
        <f>AE30*AB30</f>
        <v>0.57000000000000006</v>
      </c>
      <c r="AH30" s="9">
        <f>AE30*AC30</f>
        <v>0.75</v>
      </c>
      <c r="AI30" s="6">
        <f>AE30*AD30</f>
        <v>1.1099999999999999</v>
      </c>
      <c r="AJ30" s="23"/>
      <c r="AK30" s="23"/>
      <c r="AL30" s="23"/>
    </row>
    <row r="31" spans="1:38">
      <c r="A31" s="22" t="s">
        <v>17</v>
      </c>
      <c r="B31" s="23">
        <v>6</v>
      </c>
      <c r="C31" s="23">
        <v>100</v>
      </c>
      <c r="D31" s="32">
        <v>90</v>
      </c>
      <c r="E31" s="83">
        <v>190</v>
      </c>
      <c r="F31" s="83" t="s">
        <v>72</v>
      </c>
      <c r="G31" s="87">
        <v>6.88</v>
      </c>
      <c r="H31" s="83">
        <f>J2</f>
        <v>8.09</v>
      </c>
      <c r="I31" s="83">
        <f>S2</f>
        <v>1</v>
      </c>
      <c r="J31" s="88">
        <f t="shared" si="0"/>
        <v>15.969999999999999</v>
      </c>
      <c r="K31" s="83">
        <f>U2</f>
        <v>0.8</v>
      </c>
      <c r="L31" s="87">
        <f>AD24</f>
        <v>0.90720000000000001</v>
      </c>
      <c r="M31" s="83">
        <f>AG32</f>
        <v>0.57000000000000006</v>
      </c>
      <c r="N31" s="88">
        <f t="shared" si="1"/>
        <v>18.247199999999999</v>
      </c>
      <c r="O31" s="83">
        <v>1</v>
      </c>
      <c r="P31" s="87">
        <f t="shared" si="2"/>
        <v>18.247199999999999</v>
      </c>
      <c r="Q31" s="87">
        <v>1.0609999999999999</v>
      </c>
      <c r="R31" s="87">
        <f t="shared" si="3"/>
        <v>19.360279199999997</v>
      </c>
      <c r="S31" s="87">
        <v>1.5</v>
      </c>
      <c r="T31" s="87">
        <f t="shared" si="4"/>
        <v>29.040418799999998</v>
      </c>
      <c r="U31" s="87">
        <f t="shared" si="5"/>
        <v>9.6801396000000004</v>
      </c>
      <c r="V31" s="87">
        <v>29.5</v>
      </c>
      <c r="W31" s="24">
        <f t="shared" si="6"/>
        <v>0.98442097627118641</v>
      </c>
      <c r="X31" s="23"/>
      <c r="Y31" s="23"/>
      <c r="Z31" s="33" t="s">
        <v>116</v>
      </c>
      <c r="AA31" s="29">
        <v>0.17</v>
      </c>
      <c r="AB31" s="29">
        <v>0.19</v>
      </c>
      <c r="AC31" s="29">
        <v>0.25</v>
      </c>
      <c r="AD31" s="29">
        <v>0.37</v>
      </c>
      <c r="AE31" s="29">
        <v>3</v>
      </c>
      <c r="AF31" s="9">
        <f>AE31*AA31</f>
        <v>0.51</v>
      </c>
      <c r="AG31" s="9">
        <f>AE31*AB31</f>
        <v>0.57000000000000006</v>
      </c>
      <c r="AH31" s="9">
        <f>AE31*AC31</f>
        <v>0.75</v>
      </c>
      <c r="AI31" s="6">
        <f>AE31*AD31</f>
        <v>1.1099999999999999</v>
      </c>
      <c r="AJ31" s="23"/>
      <c r="AK31" s="23"/>
      <c r="AL31" s="23"/>
    </row>
    <row r="32" spans="1:38">
      <c r="A32" s="22" t="s">
        <v>18</v>
      </c>
      <c r="B32" s="23">
        <v>6</v>
      </c>
      <c r="C32" s="23">
        <v>125</v>
      </c>
      <c r="D32" s="32">
        <v>90</v>
      </c>
      <c r="E32" s="83">
        <v>215</v>
      </c>
      <c r="F32" s="83" t="s">
        <v>72</v>
      </c>
      <c r="G32" s="87">
        <v>8.08</v>
      </c>
      <c r="H32" s="83">
        <f>J2</f>
        <v>8.09</v>
      </c>
      <c r="I32" s="83">
        <f>S2</f>
        <v>1</v>
      </c>
      <c r="J32" s="88">
        <f t="shared" si="0"/>
        <v>17.170000000000002</v>
      </c>
      <c r="K32" s="83">
        <f>U2</f>
        <v>0.8</v>
      </c>
      <c r="L32" s="87">
        <f>AE24</f>
        <v>0.97200000000000009</v>
      </c>
      <c r="M32" s="83">
        <f>AH32</f>
        <v>0.75</v>
      </c>
      <c r="N32" s="88">
        <f t="shared" si="1"/>
        <v>19.692</v>
      </c>
      <c r="O32" s="83">
        <v>1</v>
      </c>
      <c r="P32" s="87">
        <f t="shared" si="2"/>
        <v>19.692</v>
      </c>
      <c r="Q32" s="87">
        <v>1.0609999999999999</v>
      </c>
      <c r="R32" s="87">
        <f t="shared" si="3"/>
        <v>20.893211999999998</v>
      </c>
      <c r="S32" s="87">
        <v>1.5</v>
      </c>
      <c r="T32" s="87">
        <f t="shared" si="4"/>
        <v>31.339817999999998</v>
      </c>
      <c r="U32" s="87">
        <f t="shared" si="5"/>
        <v>10.446605999999999</v>
      </c>
      <c r="V32" s="87">
        <v>29.5</v>
      </c>
      <c r="W32" s="24">
        <f t="shared" ref="W32:W54" si="9">T32/V32</f>
        <v>1.0623667118644067</v>
      </c>
      <c r="X32" s="23"/>
      <c r="Y32" s="23"/>
      <c r="Z32" s="33" t="s">
        <v>115</v>
      </c>
      <c r="AA32" s="29"/>
      <c r="AB32" s="29">
        <v>0.19</v>
      </c>
      <c r="AC32" s="29">
        <v>0.25</v>
      </c>
      <c r="AD32" s="29">
        <v>0.37</v>
      </c>
      <c r="AE32" s="29">
        <v>3</v>
      </c>
      <c r="AF32" s="29"/>
      <c r="AG32" s="9">
        <f>AE32*AB32</f>
        <v>0.57000000000000006</v>
      </c>
      <c r="AH32" s="9">
        <f>AE32*AC32</f>
        <v>0.75</v>
      </c>
      <c r="AI32" s="6">
        <f>AE32*AD32</f>
        <v>1.1099999999999999</v>
      </c>
      <c r="AJ32" s="23"/>
      <c r="AK32" s="23"/>
      <c r="AL32" s="23"/>
    </row>
    <row r="33" spans="1:38" ht="17.25" thickBot="1">
      <c r="A33" s="22" t="s">
        <v>19</v>
      </c>
      <c r="B33" s="23">
        <v>6</v>
      </c>
      <c r="C33" s="23">
        <v>150</v>
      </c>
      <c r="D33" s="32">
        <v>90</v>
      </c>
      <c r="E33" s="83">
        <v>240</v>
      </c>
      <c r="F33" s="83" t="s">
        <v>72</v>
      </c>
      <c r="G33" s="87">
        <v>8.61</v>
      </c>
      <c r="H33" s="83">
        <f>J2</f>
        <v>8.09</v>
      </c>
      <c r="I33" s="83">
        <f>S2</f>
        <v>1</v>
      </c>
      <c r="J33" s="88">
        <f t="shared" si="0"/>
        <v>17.7</v>
      </c>
      <c r="K33" s="83">
        <f>U2</f>
        <v>0.8</v>
      </c>
      <c r="L33" s="87">
        <f>AE24</f>
        <v>0.97200000000000009</v>
      </c>
      <c r="M33" s="83">
        <f>AH32</f>
        <v>0.75</v>
      </c>
      <c r="N33" s="88">
        <f t="shared" si="1"/>
        <v>20.222000000000001</v>
      </c>
      <c r="O33" s="83">
        <v>1</v>
      </c>
      <c r="P33" s="87">
        <f t="shared" ref="P33:P55" si="10">O33*N33</f>
        <v>20.222000000000001</v>
      </c>
      <c r="Q33" s="87">
        <v>1.0609999999999999</v>
      </c>
      <c r="R33" s="87">
        <f t="shared" ref="R33:R55" si="11">Q33*P33</f>
        <v>21.455542000000001</v>
      </c>
      <c r="S33" s="87">
        <v>1.5</v>
      </c>
      <c r="T33" s="87">
        <f t="shared" ref="T33:T55" si="12">S33*R33</f>
        <v>32.183312999999998</v>
      </c>
      <c r="U33" s="87">
        <f t="shared" ref="U33:U55" si="13">T33-R33</f>
        <v>10.727770999999997</v>
      </c>
      <c r="V33" s="87">
        <v>29.5</v>
      </c>
      <c r="W33" s="24">
        <f t="shared" si="9"/>
        <v>1.0909597627118643</v>
      </c>
      <c r="X33" s="23"/>
      <c r="Y33" s="23"/>
      <c r="Z33" s="34" t="s">
        <v>114</v>
      </c>
      <c r="AA33" s="31"/>
      <c r="AB33" s="31">
        <v>0.25</v>
      </c>
      <c r="AC33" s="31">
        <v>0.34</v>
      </c>
      <c r="AD33" s="31">
        <v>0.37</v>
      </c>
      <c r="AE33" s="31">
        <v>3</v>
      </c>
      <c r="AF33" s="31"/>
      <c r="AG33" s="10">
        <f>AE33*AB33</f>
        <v>0.75</v>
      </c>
      <c r="AH33" s="10">
        <f>AE33*AC33</f>
        <v>1.02</v>
      </c>
      <c r="AI33" s="7">
        <f>AE33*AD33</f>
        <v>1.1099999999999999</v>
      </c>
      <c r="AJ33" s="23"/>
      <c r="AK33" s="23"/>
      <c r="AL33" s="23"/>
    </row>
    <row r="34" spans="1:38">
      <c r="A34" s="22" t="s">
        <v>20</v>
      </c>
      <c r="B34" s="23">
        <v>8</v>
      </c>
      <c r="C34" s="23">
        <v>125</v>
      </c>
      <c r="D34" s="32">
        <v>110</v>
      </c>
      <c r="E34" s="83">
        <v>235</v>
      </c>
      <c r="F34" s="83" t="s">
        <v>74</v>
      </c>
      <c r="G34" s="87">
        <v>13.45</v>
      </c>
      <c r="H34" s="83">
        <f>H2</f>
        <v>9.41</v>
      </c>
      <c r="I34" s="83">
        <f>S2</f>
        <v>1</v>
      </c>
      <c r="J34" s="88">
        <f t="shared" si="0"/>
        <v>23.86</v>
      </c>
      <c r="K34" s="83">
        <f>U2</f>
        <v>0.8</v>
      </c>
      <c r="L34" s="87">
        <f>AE25</f>
        <v>1.2312000000000001</v>
      </c>
      <c r="M34" s="83">
        <f>AH33</f>
        <v>1.02</v>
      </c>
      <c r="N34" s="88">
        <f t="shared" si="1"/>
        <v>26.911200000000001</v>
      </c>
      <c r="O34" s="83">
        <v>1</v>
      </c>
      <c r="P34" s="87">
        <f t="shared" si="10"/>
        <v>26.911200000000001</v>
      </c>
      <c r="Q34" s="87">
        <v>1.0609999999999999</v>
      </c>
      <c r="R34" s="87">
        <f t="shared" si="11"/>
        <v>28.5527832</v>
      </c>
      <c r="S34" s="87">
        <v>1.5</v>
      </c>
      <c r="T34" s="87">
        <f t="shared" si="12"/>
        <v>42.829174800000004</v>
      </c>
      <c r="U34" s="87">
        <f t="shared" si="13"/>
        <v>14.276391600000004</v>
      </c>
      <c r="V34" s="87">
        <v>29.5</v>
      </c>
      <c r="W34" s="24">
        <f t="shared" si="9"/>
        <v>1.4518364338983052</v>
      </c>
      <c r="X34" s="23"/>
      <c r="Y34" s="23"/>
    </row>
    <row r="35" spans="1:38">
      <c r="A35" s="22" t="s">
        <v>21</v>
      </c>
      <c r="B35" s="23">
        <v>8</v>
      </c>
      <c r="C35" s="23">
        <v>150</v>
      </c>
      <c r="D35" s="32">
        <v>110</v>
      </c>
      <c r="E35" s="83">
        <v>260</v>
      </c>
      <c r="F35" s="83" t="s">
        <v>74</v>
      </c>
      <c r="G35" s="87">
        <v>16.34</v>
      </c>
      <c r="H35" s="83">
        <f>H2</f>
        <v>9.41</v>
      </c>
      <c r="I35" s="83">
        <f>S2</f>
        <v>1</v>
      </c>
      <c r="J35" s="88">
        <f t="shared" si="0"/>
        <v>26.75</v>
      </c>
      <c r="K35" s="83">
        <f>U2</f>
        <v>0.8</v>
      </c>
      <c r="L35" s="87">
        <f>AE25</f>
        <v>1.2312000000000001</v>
      </c>
      <c r="M35" s="83">
        <f>AH33</f>
        <v>1.02</v>
      </c>
      <c r="N35" s="88">
        <f t="shared" si="1"/>
        <v>29.801200000000001</v>
      </c>
      <c r="O35" s="83">
        <v>1</v>
      </c>
      <c r="P35" s="87">
        <f t="shared" si="10"/>
        <v>29.801200000000001</v>
      </c>
      <c r="Q35" s="87">
        <v>1.0609999999999999</v>
      </c>
      <c r="R35" s="87">
        <f t="shared" si="11"/>
        <v>31.619073199999999</v>
      </c>
      <c r="S35" s="87">
        <v>1.5</v>
      </c>
      <c r="T35" s="87">
        <f t="shared" si="12"/>
        <v>47.428609799999997</v>
      </c>
      <c r="U35" s="87">
        <f t="shared" si="13"/>
        <v>15.809536599999998</v>
      </c>
      <c r="V35" s="87">
        <v>29.5</v>
      </c>
      <c r="W35" s="24">
        <f t="shared" si="9"/>
        <v>1.6077494847457625</v>
      </c>
      <c r="X35" s="23"/>
      <c r="Y35" s="23"/>
    </row>
    <row r="36" spans="1:38">
      <c r="A36" s="22" t="s">
        <v>22</v>
      </c>
      <c r="B36" s="23">
        <v>10</v>
      </c>
      <c r="C36" s="23">
        <v>200</v>
      </c>
      <c r="D36" s="32">
        <v>110</v>
      </c>
      <c r="E36" s="83">
        <v>310</v>
      </c>
      <c r="F36" s="83" t="s">
        <v>74</v>
      </c>
      <c r="G36" s="87">
        <v>25.82</v>
      </c>
      <c r="H36" s="83">
        <f>H2</f>
        <v>9.41</v>
      </c>
      <c r="I36" s="83">
        <f>S2</f>
        <v>1</v>
      </c>
      <c r="J36" s="88">
        <f t="shared" si="0"/>
        <v>36.230000000000004</v>
      </c>
      <c r="K36" s="83">
        <f>U2</f>
        <v>0.8</v>
      </c>
      <c r="L36" s="87">
        <f>AF25</f>
        <v>1.296</v>
      </c>
      <c r="M36" s="83">
        <f>AH33</f>
        <v>1.02</v>
      </c>
      <c r="N36" s="88">
        <f t="shared" si="1"/>
        <v>39.346000000000004</v>
      </c>
      <c r="O36" s="83">
        <v>1</v>
      </c>
      <c r="P36" s="87">
        <f t="shared" si="10"/>
        <v>39.346000000000004</v>
      </c>
      <c r="Q36" s="87">
        <v>1.0609999999999999</v>
      </c>
      <c r="R36" s="87">
        <f t="shared" si="11"/>
        <v>41.746106000000005</v>
      </c>
      <c r="S36" s="87">
        <v>1.5</v>
      </c>
      <c r="T36" s="87">
        <f t="shared" si="12"/>
        <v>62.61915900000001</v>
      </c>
      <c r="U36" s="87">
        <f t="shared" si="13"/>
        <v>20.873053000000006</v>
      </c>
      <c r="V36" s="87">
        <v>29.5</v>
      </c>
      <c r="W36" s="24">
        <f t="shared" si="9"/>
        <v>2.1226833559322036</v>
      </c>
      <c r="X36" s="23"/>
      <c r="Y36" s="23"/>
    </row>
    <row r="37" spans="1:38">
      <c r="A37" s="22" t="s">
        <v>23</v>
      </c>
      <c r="B37" s="23">
        <v>3</v>
      </c>
      <c r="C37" s="23">
        <v>60</v>
      </c>
      <c r="D37" s="32">
        <v>70</v>
      </c>
      <c r="E37" s="83">
        <v>130</v>
      </c>
      <c r="F37" s="83" t="s">
        <v>194</v>
      </c>
      <c r="G37" s="87">
        <v>4.1100000000000003</v>
      </c>
      <c r="H37" s="83">
        <f>L2</f>
        <v>6.17</v>
      </c>
      <c r="I37" s="83">
        <f>S2</f>
        <v>1</v>
      </c>
      <c r="J37" s="88">
        <f t="shared" si="0"/>
        <v>11.280000000000001</v>
      </c>
      <c r="K37" s="83">
        <f>U2</f>
        <v>0.8</v>
      </c>
      <c r="L37" s="87">
        <f>AB23</f>
        <v>0.75600000000000001</v>
      </c>
      <c r="M37" s="83">
        <f>AG31</f>
        <v>0.57000000000000006</v>
      </c>
      <c r="N37" s="88">
        <f t="shared" si="1"/>
        <v>13.406000000000002</v>
      </c>
      <c r="O37" s="83">
        <v>1</v>
      </c>
      <c r="P37" s="87">
        <f t="shared" si="10"/>
        <v>13.406000000000002</v>
      </c>
      <c r="Q37" s="87">
        <v>1.0609999999999999</v>
      </c>
      <c r="R37" s="87">
        <f t="shared" si="11"/>
        <v>14.223766000000001</v>
      </c>
      <c r="S37" s="87">
        <v>1.5</v>
      </c>
      <c r="T37" s="87">
        <f t="shared" si="12"/>
        <v>21.335649000000004</v>
      </c>
      <c r="U37" s="87">
        <f t="shared" si="13"/>
        <v>7.1118830000000024</v>
      </c>
      <c r="V37" s="87">
        <v>29.5</v>
      </c>
      <c r="W37" s="24">
        <f t="shared" si="9"/>
        <v>0.72324233898305101</v>
      </c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1:38">
      <c r="A38" s="22" t="s">
        <v>24</v>
      </c>
      <c r="B38" s="23">
        <v>3</v>
      </c>
      <c r="C38" s="23">
        <v>75</v>
      </c>
      <c r="D38" s="32">
        <v>70</v>
      </c>
      <c r="E38" s="83">
        <v>145</v>
      </c>
      <c r="F38" s="83" t="s">
        <v>194</v>
      </c>
      <c r="G38" s="87">
        <v>4.49</v>
      </c>
      <c r="H38" s="83">
        <f>L2</f>
        <v>6.17</v>
      </c>
      <c r="I38" s="83">
        <f>S2</f>
        <v>1</v>
      </c>
      <c r="J38" s="88">
        <f t="shared" si="0"/>
        <v>11.66</v>
      </c>
      <c r="K38" s="83">
        <f>U2</f>
        <v>0.8</v>
      </c>
      <c r="L38" s="87">
        <f>AC23</f>
        <v>0.75600000000000001</v>
      </c>
      <c r="M38" s="83">
        <f>AG31</f>
        <v>0.57000000000000006</v>
      </c>
      <c r="N38" s="88">
        <f t="shared" si="1"/>
        <v>13.786000000000001</v>
      </c>
      <c r="O38" s="83">
        <v>1</v>
      </c>
      <c r="P38" s="87">
        <f t="shared" si="10"/>
        <v>13.786000000000001</v>
      </c>
      <c r="Q38" s="87">
        <v>1.0609999999999999</v>
      </c>
      <c r="R38" s="87">
        <f t="shared" si="11"/>
        <v>14.626946</v>
      </c>
      <c r="S38" s="87">
        <v>1.5</v>
      </c>
      <c r="T38" s="87">
        <f t="shared" si="12"/>
        <v>21.940418999999999</v>
      </c>
      <c r="U38" s="87">
        <f t="shared" si="13"/>
        <v>7.3134729999999983</v>
      </c>
      <c r="V38" s="87">
        <v>29.5</v>
      </c>
      <c r="W38" s="24">
        <f t="shared" si="9"/>
        <v>0.74374301694915246</v>
      </c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1:38">
      <c r="A39" s="22" t="s">
        <v>25</v>
      </c>
      <c r="B39" s="23">
        <v>3</v>
      </c>
      <c r="C39" s="23">
        <v>100</v>
      </c>
      <c r="D39" s="32">
        <v>70</v>
      </c>
      <c r="E39" s="83">
        <v>170</v>
      </c>
      <c r="F39" s="83" t="s">
        <v>194</v>
      </c>
      <c r="G39" s="87">
        <v>5.37</v>
      </c>
      <c r="H39" s="83">
        <f>L2</f>
        <v>6.17</v>
      </c>
      <c r="I39" s="83">
        <f>S2</f>
        <v>1</v>
      </c>
      <c r="J39" s="88">
        <f t="shared" si="0"/>
        <v>12.54</v>
      </c>
      <c r="K39" s="83">
        <f>U2</f>
        <v>0.8</v>
      </c>
      <c r="L39" s="87">
        <f>AD23</f>
        <v>0.78839999999999999</v>
      </c>
      <c r="M39" s="83">
        <f>AG31</f>
        <v>0.57000000000000006</v>
      </c>
      <c r="N39" s="88">
        <f t="shared" si="1"/>
        <v>14.698399999999999</v>
      </c>
      <c r="O39" s="83">
        <v>1</v>
      </c>
      <c r="P39" s="87">
        <f t="shared" si="10"/>
        <v>14.698399999999999</v>
      </c>
      <c r="Q39" s="87">
        <v>1.0609999999999999</v>
      </c>
      <c r="R39" s="87">
        <f t="shared" si="11"/>
        <v>15.595002399999998</v>
      </c>
      <c r="S39" s="87">
        <v>1.5</v>
      </c>
      <c r="T39" s="87">
        <f t="shared" si="12"/>
        <v>23.392503599999998</v>
      </c>
      <c r="U39" s="87">
        <f t="shared" si="13"/>
        <v>7.7975011999999992</v>
      </c>
      <c r="V39" s="87">
        <v>29.5</v>
      </c>
      <c r="W39" s="24">
        <f t="shared" si="9"/>
        <v>0.79296622372881354</v>
      </c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1:38" s="90" customFormat="1">
      <c r="A40" s="90" t="s">
        <v>278</v>
      </c>
      <c r="B40" s="95"/>
      <c r="C40" s="95"/>
      <c r="D40" s="84"/>
      <c r="E40" s="83"/>
      <c r="F40" s="83"/>
      <c r="G40" s="87">
        <v>9.8000000000000007</v>
      </c>
      <c r="H40" s="83">
        <f>L2</f>
        <v>6.17</v>
      </c>
      <c r="I40" s="83">
        <f>S2</f>
        <v>1</v>
      </c>
      <c r="J40" s="88">
        <f t="shared" si="0"/>
        <v>16.97</v>
      </c>
      <c r="K40" s="83">
        <f>U2</f>
        <v>0.8</v>
      </c>
      <c r="L40" s="87">
        <f>AE23</f>
        <v>0.83160000000000012</v>
      </c>
      <c r="M40" s="83">
        <f>AG31</f>
        <v>0.57000000000000006</v>
      </c>
      <c r="N40" s="88">
        <f>M40+L40+K40+J40</f>
        <v>19.171599999999998</v>
      </c>
      <c r="O40" s="83">
        <v>1</v>
      </c>
      <c r="P40" s="87">
        <f>O40*N40</f>
        <v>19.171599999999998</v>
      </c>
      <c r="Q40" s="87">
        <v>1.0609999999999999</v>
      </c>
      <c r="R40" s="87">
        <f>Q40*P40</f>
        <v>20.341067599999995</v>
      </c>
      <c r="S40" s="87">
        <v>1.5</v>
      </c>
      <c r="T40" s="87">
        <f>S40*R40</f>
        <v>30.511601399999993</v>
      </c>
      <c r="U40" s="87">
        <f>T40-R40</f>
        <v>10.170533799999998</v>
      </c>
      <c r="V40" s="87">
        <v>29.5</v>
      </c>
      <c r="W40" s="96">
        <f>T40/V40</f>
        <v>1.0342915728813558</v>
      </c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1:38" s="90" customFormat="1">
      <c r="A41" s="90" t="s">
        <v>279</v>
      </c>
      <c r="B41" s="95"/>
      <c r="C41" s="95"/>
      <c r="D41" s="84"/>
      <c r="E41" s="83"/>
      <c r="F41" s="83"/>
      <c r="G41" s="87">
        <v>10.7</v>
      </c>
      <c r="H41" s="83">
        <f>L2</f>
        <v>6.17</v>
      </c>
      <c r="I41" s="83">
        <f>S2</f>
        <v>1</v>
      </c>
      <c r="J41" s="88">
        <f t="shared" si="0"/>
        <v>17.869999999999997</v>
      </c>
      <c r="K41" s="83">
        <f>U2</f>
        <v>0.8</v>
      </c>
      <c r="L41" s="87">
        <f>AF23</f>
        <v>0.87480000000000013</v>
      </c>
      <c r="M41" s="83">
        <f>AH31</f>
        <v>0.75</v>
      </c>
      <c r="N41" s="88">
        <f>M41+L41+K41+J41</f>
        <v>20.294799999999999</v>
      </c>
      <c r="O41" s="83">
        <v>1</v>
      </c>
      <c r="P41" s="87">
        <f>O41*N41</f>
        <v>20.294799999999999</v>
      </c>
      <c r="Q41" s="87">
        <v>1.0609999999999999</v>
      </c>
      <c r="R41" s="87">
        <f>Q41*P41</f>
        <v>21.532782799999996</v>
      </c>
      <c r="S41" s="87">
        <v>1.5</v>
      </c>
      <c r="T41" s="87">
        <f>S41*R41</f>
        <v>32.299174199999996</v>
      </c>
      <c r="U41" s="87">
        <f>T41-R41</f>
        <v>10.7663914</v>
      </c>
      <c r="V41" s="87">
        <v>29.5</v>
      </c>
      <c r="W41" s="96">
        <f>T41/V41</f>
        <v>1.0948872610169491</v>
      </c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1:38">
      <c r="A42" s="22" t="s">
        <v>26</v>
      </c>
      <c r="B42" s="23">
        <v>4</v>
      </c>
      <c r="C42" s="23">
        <v>80</v>
      </c>
      <c r="D42" s="32">
        <v>70</v>
      </c>
      <c r="E42" s="83">
        <v>150</v>
      </c>
      <c r="F42" s="83" t="s">
        <v>194</v>
      </c>
      <c r="G42" s="87">
        <v>4.8099999999999996</v>
      </c>
      <c r="H42" s="83">
        <f>L2</f>
        <v>6.17</v>
      </c>
      <c r="I42" s="83">
        <f>S2</f>
        <v>1</v>
      </c>
      <c r="J42" s="88">
        <f t="shared" si="0"/>
        <v>11.98</v>
      </c>
      <c r="K42" s="83">
        <f>U2</f>
        <v>0.8</v>
      </c>
      <c r="L42" s="87">
        <f>AC23</f>
        <v>0.75600000000000001</v>
      </c>
      <c r="M42" s="83">
        <f>AG31</f>
        <v>0.57000000000000006</v>
      </c>
      <c r="N42" s="88">
        <f t="shared" si="1"/>
        <v>14.106000000000002</v>
      </c>
      <c r="O42" s="83">
        <v>1</v>
      </c>
      <c r="P42" s="87">
        <f t="shared" si="10"/>
        <v>14.106000000000002</v>
      </c>
      <c r="Q42" s="87">
        <v>1.0609999999999999</v>
      </c>
      <c r="R42" s="87">
        <f t="shared" si="11"/>
        <v>14.966466</v>
      </c>
      <c r="S42" s="87">
        <v>1.5</v>
      </c>
      <c r="T42" s="87">
        <f t="shared" si="12"/>
        <v>22.449699000000003</v>
      </c>
      <c r="U42" s="87">
        <f t="shared" si="13"/>
        <v>7.483233000000002</v>
      </c>
      <c r="V42" s="87">
        <v>29.5</v>
      </c>
      <c r="W42" s="24">
        <f t="shared" si="9"/>
        <v>0.76100674576271199</v>
      </c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1:38">
      <c r="A43" s="22" t="s">
        <v>27</v>
      </c>
      <c r="B43" s="23">
        <v>4</v>
      </c>
      <c r="C43" s="23">
        <v>100</v>
      </c>
      <c r="D43" s="32">
        <v>70</v>
      </c>
      <c r="E43" s="83">
        <v>170</v>
      </c>
      <c r="F43" s="83" t="s">
        <v>194</v>
      </c>
      <c r="G43" s="87">
        <v>6.69</v>
      </c>
      <c r="H43" s="83">
        <f>L2</f>
        <v>6.17</v>
      </c>
      <c r="I43" s="83">
        <f>S2</f>
        <v>1</v>
      </c>
      <c r="J43" s="88">
        <f t="shared" ref="J43:J74" si="14">I43+H43+G43</f>
        <v>13.86</v>
      </c>
      <c r="K43" s="83">
        <f>U2</f>
        <v>0.8</v>
      </c>
      <c r="L43" s="87">
        <f>AD23</f>
        <v>0.78839999999999999</v>
      </c>
      <c r="M43" s="83">
        <f>AG31</f>
        <v>0.57000000000000006</v>
      </c>
      <c r="N43" s="88">
        <f t="shared" si="1"/>
        <v>16.0184</v>
      </c>
      <c r="O43" s="83">
        <v>1</v>
      </c>
      <c r="P43" s="87">
        <f t="shared" si="10"/>
        <v>16.0184</v>
      </c>
      <c r="Q43" s="87">
        <v>1.0609999999999999</v>
      </c>
      <c r="R43" s="87">
        <f t="shared" si="11"/>
        <v>16.995522399999999</v>
      </c>
      <c r="S43" s="87">
        <v>1.5</v>
      </c>
      <c r="T43" s="87">
        <f t="shared" si="12"/>
        <v>25.493283599999998</v>
      </c>
      <c r="U43" s="87">
        <f t="shared" si="13"/>
        <v>8.4977611999999993</v>
      </c>
      <c r="V43" s="87">
        <v>29.5</v>
      </c>
      <c r="W43" s="24">
        <f t="shared" si="9"/>
        <v>0.86417910508474571</v>
      </c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1:38">
      <c r="A44" s="22" t="s">
        <v>28</v>
      </c>
      <c r="B44" s="23">
        <v>4</v>
      </c>
      <c r="C44" s="23">
        <v>125</v>
      </c>
      <c r="D44" s="32">
        <v>70</v>
      </c>
      <c r="E44" s="83">
        <v>195</v>
      </c>
      <c r="F44" s="83" t="s">
        <v>194</v>
      </c>
      <c r="G44" s="87">
        <v>7.28</v>
      </c>
      <c r="H44" s="83">
        <f>L2</f>
        <v>6.17</v>
      </c>
      <c r="I44" s="83">
        <f>S2</f>
        <v>1</v>
      </c>
      <c r="J44" s="88">
        <f t="shared" si="14"/>
        <v>14.45</v>
      </c>
      <c r="K44" s="83">
        <f>U2</f>
        <v>0.8</v>
      </c>
      <c r="L44" s="87">
        <f>AE23</f>
        <v>0.83160000000000012</v>
      </c>
      <c r="M44" s="83">
        <f>AG31</f>
        <v>0.57000000000000006</v>
      </c>
      <c r="N44" s="88">
        <f t="shared" si="1"/>
        <v>16.651599999999998</v>
      </c>
      <c r="O44" s="83">
        <v>1</v>
      </c>
      <c r="P44" s="87">
        <f t="shared" si="10"/>
        <v>16.651599999999998</v>
      </c>
      <c r="Q44" s="87">
        <v>1.0609999999999999</v>
      </c>
      <c r="R44" s="87">
        <f t="shared" si="11"/>
        <v>17.667347599999996</v>
      </c>
      <c r="S44" s="87">
        <v>1.5</v>
      </c>
      <c r="T44" s="87">
        <f t="shared" si="12"/>
        <v>26.501021399999992</v>
      </c>
      <c r="U44" s="87">
        <f t="shared" si="13"/>
        <v>8.8336737999999961</v>
      </c>
      <c r="V44" s="87">
        <v>29.5</v>
      </c>
      <c r="W44" s="24">
        <f t="shared" si="9"/>
        <v>0.898339708474576</v>
      </c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1:38">
      <c r="A45" s="22" t="s">
        <v>29</v>
      </c>
      <c r="B45" s="23">
        <v>5</v>
      </c>
      <c r="C45" s="23">
        <v>38</v>
      </c>
      <c r="D45" s="32">
        <v>55</v>
      </c>
      <c r="E45" s="83">
        <v>93</v>
      </c>
      <c r="F45" s="83" t="s">
        <v>70</v>
      </c>
      <c r="G45" s="87">
        <v>4.3</v>
      </c>
      <c r="H45" s="83">
        <f>P2</f>
        <v>7.59</v>
      </c>
      <c r="I45" s="83">
        <f>S2</f>
        <v>1</v>
      </c>
      <c r="J45" s="88">
        <f t="shared" si="14"/>
        <v>12.89</v>
      </c>
      <c r="K45" s="83">
        <f>U2</f>
        <v>0.8</v>
      </c>
      <c r="L45" s="87">
        <f>AA21</f>
        <v>0.84240000000000004</v>
      </c>
      <c r="M45" s="83">
        <f>AF29</f>
        <v>0.51</v>
      </c>
      <c r="N45" s="88">
        <f t="shared" si="1"/>
        <v>15.042400000000001</v>
      </c>
      <c r="O45" s="83">
        <v>1</v>
      </c>
      <c r="P45" s="87">
        <f t="shared" si="10"/>
        <v>15.042400000000001</v>
      </c>
      <c r="Q45" s="87">
        <v>1.0609999999999999</v>
      </c>
      <c r="R45" s="87">
        <f t="shared" si="11"/>
        <v>15.9599864</v>
      </c>
      <c r="S45" s="87">
        <v>1.5</v>
      </c>
      <c r="T45" s="87">
        <f t="shared" si="12"/>
        <v>23.939979600000001</v>
      </c>
      <c r="U45" s="87">
        <f t="shared" si="13"/>
        <v>7.9799932000000009</v>
      </c>
      <c r="V45" s="87">
        <v>29.5</v>
      </c>
      <c r="W45" s="24">
        <f t="shared" si="9"/>
        <v>0.81152473220338983</v>
      </c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1:38">
      <c r="A46" s="22" t="s">
        <v>30</v>
      </c>
      <c r="B46" s="23">
        <v>5</v>
      </c>
      <c r="C46" s="23">
        <v>100</v>
      </c>
      <c r="D46" s="32">
        <v>70</v>
      </c>
      <c r="E46" s="83">
        <v>170</v>
      </c>
      <c r="F46" s="83" t="s">
        <v>68</v>
      </c>
      <c r="G46" s="87">
        <v>6.26</v>
      </c>
      <c r="H46" s="83">
        <f>L2</f>
        <v>6.17</v>
      </c>
      <c r="I46" s="83">
        <f>S2</f>
        <v>1</v>
      </c>
      <c r="J46" s="88">
        <f t="shared" si="14"/>
        <v>13.43</v>
      </c>
      <c r="K46" s="83">
        <f>U2</f>
        <v>0.8</v>
      </c>
      <c r="L46" s="87">
        <f>AD23</f>
        <v>0.78839999999999999</v>
      </c>
      <c r="M46" s="83">
        <f>AG31</f>
        <v>0.57000000000000006</v>
      </c>
      <c r="N46" s="88">
        <f t="shared" si="1"/>
        <v>15.5884</v>
      </c>
      <c r="O46" s="83">
        <v>1</v>
      </c>
      <c r="P46" s="87">
        <f t="shared" si="10"/>
        <v>15.5884</v>
      </c>
      <c r="Q46" s="87">
        <v>1.0609999999999999</v>
      </c>
      <c r="R46" s="87">
        <f t="shared" si="11"/>
        <v>16.539292400000001</v>
      </c>
      <c r="S46" s="87">
        <v>1.5</v>
      </c>
      <c r="T46" s="87">
        <f t="shared" si="12"/>
        <v>24.808938600000001</v>
      </c>
      <c r="U46" s="87">
        <f t="shared" si="13"/>
        <v>8.2696462000000004</v>
      </c>
      <c r="V46" s="87">
        <v>29.5</v>
      </c>
      <c r="W46" s="24">
        <f t="shared" si="9"/>
        <v>0.84098096949152545</v>
      </c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1:38">
      <c r="A47" s="22" t="s">
        <v>31</v>
      </c>
      <c r="B47" s="23">
        <v>5</v>
      </c>
      <c r="C47" s="23">
        <v>125</v>
      </c>
      <c r="D47" s="32">
        <v>70</v>
      </c>
      <c r="E47" s="83">
        <v>195</v>
      </c>
      <c r="F47" s="83" t="s">
        <v>68</v>
      </c>
      <c r="G47" s="87">
        <v>6.88</v>
      </c>
      <c r="H47" s="83">
        <f>L2</f>
        <v>6.17</v>
      </c>
      <c r="I47" s="83">
        <f>S2</f>
        <v>1</v>
      </c>
      <c r="J47" s="88">
        <f t="shared" si="14"/>
        <v>14.05</v>
      </c>
      <c r="K47" s="83">
        <f>U2</f>
        <v>0.8</v>
      </c>
      <c r="L47" s="87">
        <f>AE23</f>
        <v>0.83160000000000012</v>
      </c>
      <c r="M47" s="83">
        <f>AG31</f>
        <v>0.57000000000000006</v>
      </c>
      <c r="N47" s="88">
        <f t="shared" si="1"/>
        <v>16.2516</v>
      </c>
      <c r="O47" s="83">
        <v>1</v>
      </c>
      <c r="P47" s="87">
        <f t="shared" si="10"/>
        <v>16.2516</v>
      </c>
      <c r="Q47" s="87">
        <v>1.0609999999999999</v>
      </c>
      <c r="R47" s="87">
        <f t="shared" si="11"/>
        <v>17.242947599999997</v>
      </c>
      <c r="S47" s="87">
        <v>1.5</v>
      </c>
      <c r="T47" s="87">
        <f t="shared" si="12"/>
        <v>25.864421399999998</v>
      </c>
      <c r="U47" s="87">
        <f t="shared" si="13"/>
        <v>8.6214738000000004</v>
      </c>
      <c r="V47" s="87">
        <v>29.5</v>
      </c>
      <c r="W47" s="24">
        <f t="shared" si="9"/>
        <v>0.87676004745762703</v>
      </c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1:38">
      <c r="A48" s="22" t="s">
        <v>32</v>
      </c>
      <c r="B48" s="23">
        <v>5</v>
      </c>
      <c r="C48" s="23">
        <v>150</v>
      </c>
      <c r="D48" s="32">
        <v>70</v>
      </c>
      <c r="E48" s="83">
        <v>220</v>
      </c>
      <c r="F48" s="83" t="s">
        <v>68</v>
      </c>
      <c r="G48" s="87">
        <v>9.92</v>
      </c>
      <c r="H48" s="83">
        <f>L2</f>
        <v>6.17</v>
      </c>
      <c r="I48" s="83">
        <f>S2</f>
        <v>1</v>
      </c>
      <c r="J48" s="88">
        <f t="shared" si="14"/>
        <v>17.09</v>
      </c>
      <c r="K48" s="83">
        <f>U2</f>
        <v>0.8</v>
      </c>
      <c r="L48" s="87">
        <f>AE23</f>
        <v>0.83160000000000012</v>
      </c>
      <c r="M48" s="83">
        <f>AH31</f>
        <v>0.75</v>
      </c>
      <c r="N48" s="88">
        <f t="shared" si="1"/>
        <v>19.471599999999999</v>
      </c>
      <c r="O48" s="83">
        <v>1</v>
      </c>
      <c r="P48" s="87">
        <f t="shared" si="10"/>
        <v>19.471599999999999</v>
      </c>
      <c r="Q48" s="87">
        <v>1.0609999999999999</v>
      </c>
      <c r="R48" s="87">
        <f t="shared" si="11"/>
        <v>20.659367599999996</v>
      </c>
      <c r="S48" s="87">
        <v>1.5</v>
      </c>
      <c r="T48" s="87">
        <f t="shared" si="12"/>
        <v>30.989051399999994</v>
      </c>
      <c r="U48" s="87">
        <f t="shared" si="13"/>
        <v>10.329683799999998</v>
      </c>
      <c r="V48" s="87">
        <v>29.5</v>
      </c>
      <c r="W48" s="24">
        <f t="shared" si="9"/>
        <v>1.0504763186440675</v>
      </c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1:38" s="90" customFormat="1">
      <c r="A49" s="90" t="s">
        <v>280</v>
      </c>
      <c r="B49" s="95"/>
      <c r="C49" s="95"/>
      <c r="D49" s="84"/>
      <c r="E49" s="83"/>
      <c r="F49" s="83"/>
      <c r="G49" s="87">
        <v>17.82</v>
      </c>
      <c r="H49" s="83">
        <f>L2</f>
        <v>6.17</v>
      </c>
      <c r="I49" s="83">
        <f>S2</f>
        <v>1</v>
      </c>
      <c r="J49" s="88">
        <f t="shared" si="14"/>
        <v>24.990000000000002</v>
      </c>
      <c r="K49" s="83">
        <f>U2</f>
        <v>0.8</v>
      </c>
      <c r="L49" s="87">
        <f>AH23</f>
        <v>0.99360000000000015</v>
      </c>
      <c r="M49" s="83">
        <f>AH31</f>
        <v>0.75</v>
      </c>
      <c r="N49" s="88">
        <f t="shared" si="1"/>
        <v>27.533600000000003</v>
      </c>
      <c r="O49" s="83">
        <v>1</v>
      </c>
      <c r="P49" s="87">
        <f>O49*N49</f>
        <v>27.533600000000003</v>
      </c>
      <c r="Q49" s="87">
        <v>1.0609999999999999</v>
      </c>
      <c r="R49" s="87">
        <f>Q49*P49</f>
        <v>29.213149600000001</v>
      </c>
      <c r="S49" s="87">
        <v>1.5</v>
      </c>
      <c r="T49" s="87">
        <f>S49*R49</f>
        <v>43.819724399999998</v>
      </c>
      <c r="U49" s="87">
        <f>T49-R49</f>
        <v>14.606574799999997</v>
      </c>
      <c r="V49" s="87">
        <v>29.5</v>
      </c>
      <c r="W49" s="96">
        <f>T49/V49</f>
        <v>1.4854143864406779</v>
      </c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1:38">
      <c r="A50" s="22" t="s">
        <v>33</v>
      </c>
      <c r="B50" s="23">
        <v>6</v>
      </c>
      <c r="C50" s="23">
        <v>38</v>
      </c>
      <c r="D50" s="32">
        <v>55</v>
      </c>
      <c r="E50" s="83">
        <v>93</v>
      </c>
      <c r="F50" s="83" t="s">
        <v>70</v>
      </c>
      <c r="G50" s="87">
        <v>4.53</v>
      </c>
      <c r="H50" s="83">
        <f>P2</f>
        <v>7.59</v>
      </c>
      <c r="I50" s="83">
        <f>S2</f>
        <v>1</v>
      </c>
      <c r="J50" s="88">
        <f t="shared" si="14"/>
        <v>13.120000000000001</v>
      </c>
      <c r="K50" s="83">
        <f>U2</f>
        <v>0.8</v>
      </c>
      <c r="L50" s="87">
        <f>AA21</f>
        <v>0.84240000000000004</v>
      </c>
      <c r="M50" s="83">
        <f>AF29</f>
        <v>0.51</v>
      </c>
      <c r="N50" s="88">
        <f t="shared" ref="N50:N81" si="15">M50+L50+K50+J50</f>
        <v>15.272400000000001</v>
      </c>
      <c r="O50" s="83">
        <v>1</v>
      </c>
      <c r="P50" s="87">
        <f t="shared" si="10"/>
        <v>15.272400000000001</v>
      </c>
      <c r="Q50" s="87">
        <v>1.0609999999999999</v>
      </c>
      <c r="R50" s="87">
        <f t="shared" si="11"/>
        <v>16.2040164</v>
      </c>
      <c r="S50" s="87">
        <v>1.5</v>
      </c>
      <c r="T50" s="87">
        <f t="shared" si="12"/>
        <v>24.306024600000001</v>
      </c>
      <c r="U50" s="87">
        <f t="shared" si="13"/>
        <v>8.1020082000000002</v>
      </c>
      <c r="V50" s="87">
        <v>29.5</v>
      </c>
      <c r="W50" s="24">
        <f t="shared" si="9"/>
        <v>0.82393303728813561</v>
      </c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1:38">
      <c r="A51" s="22" t="s">
        <v>34</v>
      </c>
      <c r="B51" s="23">
        <v>6</v>
      </c>
      <c r="C51" s="23">
        <v>100</v>
      </c>
      <c r="D51" s="32">
        <v>90</v>
      </c>
      <c r="E51" s="83">
        <v>190</v>
      </c>
      <c r="F51" s="83" t="s">
        <v>72</v>
      </c>
      <c r="G51" s="87">
        <v>7.14</v>
      </c>
      <c r="H51" s="83">
        <f>J2</f>
        <v>8.09</v>
      </c>
      <c r="I51" s="83">
        <f>S2</f>
        <v>1</v>
      </c>
      <c r="J51" s="88">
        <f t="shared" si="14"/>
        <v>16.23</v>
      </c>
      <c r="K51" s="83">
        <f>U2</f>
        <v>0.8</v>
      </c>
      <c r="L51" s="87">
        <f>AD24</f>
        <v>0.90720000000000001</v>
      </c>
      <c r="M51" s="83">
        <f>AG32</f>
        <v>0.57000000000000006</v>
      </c>
      <c r="N51" s="88">
        <f t="shared" si="15"/>
        <v>18.507200000000001</v>
      </c>
      <c r="O51" s="83">
        <v>1</v>
      </c>
      <c r="P51" s="87">
        <f t="shared" si="10"/>
        <v>18.507200000000001</v>
      </c>
      <c r="Q51" s="87">
        <v>1.0609999999999999</v>
      </c>
      <c r="R51" s="87">
        <f t="shared" si="11"/>
        <v>19.636139199999999</v>
      </c>
      <c r="S51" s="87">
        <v>1.5</v>
      </c>
      <c r="T51" s="87">
        <f t="shared" si="12"/>
        <v>29.454208799999996</v>
      </c>
      <c r="U51" s="87">
        <f t="shared" si="13"/>
        <v>9.8180695999999976</v>
      </c>
      <c r="V51" s="87">
        <v>29.5</v>
      </c>
      <c r="W51" s="24">
        <f t="shared" si="9"/>
        <v>0.99844775593220325</v>
      </c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1:38">
      <c r="A52" s="22" t="s">
        <v>35</v>
      </c>
      <c r="B52" s="23">
        <v>6</v>
      </c>
      <c r="C52" s="23">
        <v>125</v>
      </c>
      <c r="D52" s="32">
        <v>90</v>
      </c>
      <c r="E52" s="83">
        <v>215</v>
      </c>
      <c r="F52" s="83" t="s">
        <v>72</v>
      </c>
      <c r="G52" s="87">
        <v>8.14</v>
      </c>
      <c r="H52" s="83">
        <f>J2</f>
        <v>8.09</v>
      </c>
      <c r="I52" s="83">
        <f>S2</f>
        <v>1</v>
      </c>
      <c r="J52" s="88">
        <f t="shared" si="14"/>
        <v>17.23</v>
      </c>
      <c r="K52" s="83">
        <f>U2</f>
        <v>0.8</v>
      </c>
      <c r="L52" s="87">
        <f>AE24</f>
        <v>0.97200000000000009</v>
      </c>
      <c r="M52" s="83">
        <f>AH32</f>
        <v>0.75</v>
      </c>
      <c r="N52" s="88">
        <f t="shared" si="15"/>
        <v>19.752000000000002</v>
      </c>
      <c r="O52" s="83">
        <v>1</v>
      </c>
      <c r="P52" s="87">
        <f t="shared" si="10"/>
        <v>19.752000000000002</v>
      </c>
      <c r="Q52" s="87">
        <v>1.0609999999999999</v>
      </c>
      <c r="R52" s="87">
        <f t="shared" si="11"/>
        <v>20.956872000000001</v>
      </c>
      <c r="S52" s="87">
        <v>1.5</v>
      </c>
      <c r="T52" s="87">
        <f t="shared" si="12"/>
        <v>31.435307999999999</v>
      </c>
      <c r="U52" s="87">
        <f t="shared" si="13"/>
        <v>10.478435999999999</v>
      </c>
      <c r="V52" s="87">
        <v>29.5</v>
      </c>
      <c r="W52" s="24">
        <f t="shared" si="9"/>
        <v>1.065603661016949</v>
      </c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1:38">
      <c r="A53" s="22" t="s">
        <v>36</v>
      </c>
      <c r="B53" s="23">
        <v>6</v>
      </c>
      <c r="C53" s="23">
        <v>150</v>
      </c>
      <c r="D53" s="32">
        <v>90</v>
      </c>
      <c r="E53" s="83">
        <v>240</v>
      </c>
      <c r="F53" s="83" t="s">
        <v>72</v>
      </c>
      <c r="G53" s="87">
        <v>8.66</v>
      </c>
      <c r="H53" s="83">
        <f>J2</f>
        <v>8.09</v>
      </c>
      <c r="I53" s="83">
        <f>S2</f>
        <v>1</v>
      </c>
      <c r="J53" s="88">
        <f t="shared" si="14"/>
        <v>17.75</v>
      </c>
      <c r="K53" s="83">
        <f>U2</f>
        <v>0.8</v>
      </c>
      <c r="L53" s="87">
        <f>AE24</f>
        <v>0.97200000000000009</v>
      </c>
      <c r="M53" s="83">
        <f>AH32</f>
        <v>0.75</v>
      </c>
      <c r="N53" s="88">
        <f t="shared" si="15"/>
        <v>20.271999999999998</v>
      </c>
      <c r="O53" s="83">
        <v>1</v>
      </c>
      <c r="P53" s="87">
        <f t="shared" si="10"/>
        <v>20.271999999999998</v>
      </c>
      <c r="Q53" s="87">
        <v>1.0609999999999999</v>
      </c>
      <c r="R53" s="87">
        <f t="shared" si="11"/>
        <v>21.508591999999997</v>
      </c>
      <c r="S53" s="87">
        <v>1.5</v>
      </c>
      <c r="T53" s="87">
        <f t="shared" si="12"/>
        <v>32.262887999999997</v>
      </c>
      <c r="U53" s="87">
        <f t="shared" si="13"/>
        <v>10.754296</v>
      </c>
      <c r="V53" s="87">
        <v>29.5</v>
      </c>
      <c r="W53" s="24">
        <f t="shared" si="9"/>
        <v>1.0936572203389829</v>
      </c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1:38">
      <c r="A54" s="22" t="s">
        <v>37</v>
      </c>
      <c r="B54" s="23">
        <v>7</v>
      </c>
      <c r="C54" s="23">
        <v>150</v>
      </c>
      <c r="D54" s="32">
        <v>110</v>
      </c>
      <c r="E54" s="83">
        <v>260</v>
      </c>
      <c r="F54" s="83" t="s">
        <v>75</v>
      </c>
      <c r="G54" s="87">
        <v>14.13</v>
      </c>
      <c r="H54" s="83">
        <f>H2</f>
        <v>9.41</v>
      </c>
      <c r="I54" s="83">
        <f>S2</f>
        <v>1</v>
      </c>
      <c r="J54" s="88">
        <f t="shared" si="14"/>
        <v>24.54</v>
      </c>
      <c r="K54" s="83">
        <f>U2</f>
        <v>0.8</v>
      </c>
      <c r="L54" s="87">
        <f>AE25</f>
        <v>1.2312000000000001</v>
      </c>
      <c r="M54" s="83">
        <f>AH33</f>
        <v>1.02</v>
      </c>
      <c r="N54" s="88">
        <f t="shared" si="15"/>
        <v>27.591200000000001</v>
      </c>
      <c r="O54" s="83">
        <v>1</v>
      </c>
      <c r="P54" s="87">
        <f t="shared" si="10"/>
        <v>27.591200000000001</v>
      </c>
      <c r="Q54" s="87">
        <v>1.0609999999999999</v>
      </c>
      <c r="R54" s="87">
        <f t="shared" si="11"/>
        <v>29.2742632</v>
      </c>
      <c r="S54" s="87">
        <v>1.4</v>
      </c>
      <c r="T54" s="87">
        <f t="shared" si="12"/>
        <v>40.983968479999994</v>
      </c>
      <c r="U54" s="87">
        <f t="shared" si="13"/>
        <v>11.709705279999994</v>
      </c>
      <c r="V54" s="87">
        <v>29.5</v>
      </c>
      <c r="W54" s="24">
        <f t="shared" si="9"/>
        <v>1.3892870671186439</v>
      </c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1:38">
      <c r="A55" s="22" t="s">
        <v>38</v>
      </c>
      <c r="B55" s="23">
        <v>7</v>
      </c>
      <c r="C55" s="23">
        <v>175</v>
      </c>
      <c r="D55" s="32">
        <v>110</v>
      </c>
      <c r="E55" s="83">
        <v>285</v>
      </c>
      <c r="F55" s="83" t="s">
        <v>75</v>
      </c>
      <c r="G55" s="87">
        <v>14.89</v>
      </c>
      <c r="H55" s="83">
        <f>H2</f>
        <v>9.41</v>
      </c>
      <c r="I55" s="83">
        <f>S2</f>
        <v>1</v>
      </c>
      <c r="J55" s="88">
        <f t="shared" si="14"/>
        <v>25.3</v>
      </c>
      <c r="K55" s="83">
        <f>U2</f>
        <v>0.8</v>
      </c>
      <c r="L55" s="87">
        <f>AF25</f>
        <v>1.296</v>
      </c>
      <c r="M55" s="83">
        <f>AH33</f>
        <v>1.02</v>
      </c>
      <c r="N55" s="88">
        <f t="shared" si="15"/>
        <v>28.416</v>
      </c>
      <c r="O55" s="83">
        <v>1</v>
      </c>
      <c r="P55" s="87">
        <f t="shared" si="10"/>
        <v>28.416</v>
      </c>
      <c r="Q55" s="87">
        <v>1.0609999999999999</v>
      </c>
      <c r="R55" s="87">
        <f t="shared" si="11"/>
        <v>30.149376</v>
      </c>
      <c r="S55" s="87">
        <v>1.4</v>
      </c>
      <c r="T55" s="87">
        <f t="shared" si="12"/>
        <v>42.209126399999995</v>
      </c>
      <c r="U55" s="87">
        <f t="shared" si="13"/>
        <v>12.059750399999995</v>
      </c>
      <c r="V55" s="87">
        <v>29.5</v>
      </c>
      <c r="W55" s="24">
        <f>T55/V55</f>
        <v>1.4308178440677966</v>
      </c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1:38">
      <c r="A56" s="22" t="s">
        <v>39</v>
      </c>
      <c r="B56" s="23">
        <v>7</v>
      </c>
      <c r="C56" s="23">
        <v>200</v>
      </c>
      <c r="D56" s="32">
        <v>110</v>
      </c>
      <c r="E56" s="83">
        <v>310</v>
      </c>
      <c r="F56" s="83" t="s">
        <v>75</v>
      </c>
      <c r="G56" s="87">
        <v>16.100000000000001</v>
      </c>
      <c r="H56" s="83">
        <f>H2</f>
        <v>9.41</v>
      </c>
      <c r="I56" s="83">
        <f>S2</f>
        <v>1</v>
      </c>
      <c r="J56" s="88">
        <f t="shared" si="14"/>
        <v>26.51</v>
      </c>
      <c r="K56" s="83">
        <f>U2</f>
        <v>0.8</v>
      </c>
      <c r="L56" s="87">
        <f>AF25</f>
        <v>1.296</v>
      </c>
      <c r="M56" s="83">
        <f>AH33</f>
        <v>1.02</v>
      </c>
      <c r="N56" s="88">
        <f t="shared" si="15"/>
        <v>29.626000000000001</v>
      </c>
      <c r="O56" s="83">
        <v>1</v>
      </c>
      <c r="P56" s="87">
        <f>O56*N56</f>
        <v>29.626000000000001</v>
      </c>
      <c r="Q56" s="87">
        <v>1.0609999999999999</v>
      </c>
      <c r="R56" s="87">
        <f>Q56*P56</f>
        <v>31.433185999999999</v>
      </c>
      <c r="S56" s="87">
        <v>1.4</v>
      </c>
      <c r="T56" s="87">
        <f>S56*R56</f>
        <v>44.006460399999995</v>
      </c>
      <c r="U56" s="87">
        <f>T56-R56</f>
        <v>12.573274399999995</v>
      </c>
      <c r="V56" s="87">
        <v>29.5</v>
      </c>
      <c r="W56" s="24">
        <f>T56/V56</f>
        <v>1.4917444203389829</v>
      </c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1:38">
      <c r="A57" s="22" t="s">
        <v>40</v>
      </c>
      <c r="B57" s="23">
        <v>8</v>
      </c>
      <c r="C57" s="23">
        <v>175</v>
      </c>
      <c r="D57" s="32">
        <v>110</v>
      </c>
      <c r="E57" s="83">
        <v>285</v>
      </c>
      <c r="F57" s="83" t="s">
        <v>75</v>
      </c>
      <c r="G57" s="87">
        <v>17.22</v>
      </c>
      <c r="H57" s="83">
        <f>H2</f>
        <v>9.41</v>
      </c>
      <c r="I57" s="83">
        <f>S2</f>
        <v>1</v>
      </c>
      <c r="J57" s="88">
        <f t="shared" si="14"/>
        <v>27.63</v>
      </c>
      <c r="K57" s="83">
        <f>U2</f>
        <v>0.8</v>
      </c>
      <c r="L57" s="87">
        <f>AF25</f>
        <v>1.296</v>
      </c>
      <c r="M57" s="83">
        <f>AH33</f>
        <v>1.02</v>
      </c>
      <c r="N57" s="88">
        <f t="shared" si="15"/>
        <v>30.745999999999999</v>
      </c>
      <c r="O57" s="83">
        <v>1</v>
      </c>
      <c r="P57" s="87">
        <f>O57*N57</f>
        <v>30.745999999999999</v>
      </c>
      <c r="Q57" s="87">
        <v>1.0609999999999999</v>
      </c>
      <c r="R57" s="87">
        <f>Q57*P57</f>
        <v>32.621505999999997</v>
      </c>
      <c r="S57" s="87">
        <v>1.4</v>
      </c>
      <c r="T57" s="87">
        <f>S57*R57</f>
        <v>45.67010839999999</v>
      </c>
      <c r="U57" s="87">
        <f>T57-R57</f>
        <v>13.048602399999993</v>
      </c>
      <c r="V57" s="87">
        <v>29.5</v>
      </c>
      <c r="W57" s="24">
        <f>T57/V57</f>
        <v>1.5481392677966097</v>
      </c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1:38">
      <c r="A58" s="22" t="s">
        <v>41</v>
      </c>
      <c r="B58" s="23">
        <v>8</v>
      </c>
      <c r="C58" s="23">
        <v>200</v>
      </c>
      <c r="D58" s="32">
        <v>110</v>
      </c>
      <c r="E58" s="83">
        <v>310</v>
      </c>
      <c r="F58" s="83" t="s">
        <v>75</v>
      </c>
      <c r="G58" s="87">
        <v>19.350000000000001</v>
      </c>
      <c r="H58" s="83">
        <f>H2</f>
        <v>9.41</v>
      </c>
      <c r="I58" s="83">
        <f>S2</f>
        <v>1</v>
      </c>
      <c r="J58" s="88">
        <f t="shared" si="14"/>
        <v>29.76</v>
      </c>
      <c r="K58" s="83">
        <f>U2</f>
        <v>0.8</v>
      </c>
      <c r="L58" s="87">
        <f>AF25</f>
        <v>1.296</v>
      </c>
      <c r="M58" s="83">
        <f>AH33</f>
        <v>1.02</v>
      </c>
      <c r="N58" s="88">
        <f t="shared" si="15"/>
        <v>32.876000000000005</v>
      </c>
      <c r="O58" s="83">
        <v>1</v>
      </c>
      <c r="P58" s="87">
        <f>O58*N58</f>
        <v>32.876000000000005</v>
      </c>
      <c r="Q58" s="87">
        <v>1.0609999999999999</v>
      </c>
      <c r="R58" s="87">
        <f>Q58*P58</f>
        <v>34.881436000000001</v>
      </c>
      <c r="S58" s="87">
        <v>1.4</v>
      </c>
      <c r="T58" s="87">
        <f>S58*R58</f>
        <v>48.834010399999997</v>
      </c>
      <c r="U58" s="87">
        <f>T58-R58</f>
        <v>13.952574399999996</v>
      </c>
      <c r="V58" s="87">
        <v>29.5</v>
      </c>
      <c r="W58" s="24">
        <f>T58/V58</f>
        <v>1.6553901830508473</v>
      </c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1:38">
      <c r="A59" s="22" t="s">
        <v>42</v>
      </c>
      <c r="B59" s="23">
        <v>3</v>
      </c>
      <c r="C59" s="23">
        <v>60</v>
      </c>
      <c r="D59" s="32">
        <v>70</v>
      </c>
      <c r="E59" s="83">
        <v>130</v>
      </c>
      <c r="F59" s="83" t="s">
        <v>194</v>
      </c>
      <c r="G59" s="87">
        <v>5.37</v>
      </c>
      <c r="H59" s="83">
        <f>L2</f>
        <v>6.17</v>
      </c>
      <c r="I59" s="83">
        <f>S2</f>
        <v>1</v>
      </c>
      <c r="J59" s="88">
        <f t="shared" si="14"/>
        <v>12.54</v>
      </c>
      <c r="K59" s="83">
        <f>U2</f>
        <v>0.8</v>
      </c>
      <c r="L59" s="87">
        <f>AB23</f>
        <v>0.75600000000000001</v>
      </c>
      <c r="M59" s="83">
        <f>AG31</f>
        <v>0.57000000000000006</v>
      </c>
      <c r="N59" s="88">
        <f t="shared" si="15"/>
        <v>14.666</v>
      </c>
      <c r="O59" s="83">
        <v>1</v>
      </c>
      <c r="P59" s="87">
        <f t="shared" ref="P59:P82" si="16">O59*N59</f>
        <v>14.666</v>
      </c>
      <c r="Q59" s="87">
        <v>1.0609999999999999</v>
      </c>
      <c r="R59" s="87">
        <f t="shared" ref="R59:R82" si="17">Q59*P59</f>
        <v>15.560625999999999</v>
      </c>
      <c r="S59" s="87">
        <v>1.5</v>
      </c>
      <c r="T59" s="87">
        <f t="shared" ref="T59:T82" si="18">S59*R59</f>
        <v>23.340938999999999</v>
      </c>
      <c r="U59" s="87">
        <f t="shared" ref="U59:U82" si="19">T59-R59</f>
        <v>7.7803129999999996</v>
      </c>
      <c r="V59" s="87">
        <v>29.5</v>
      </c>
      <c r="W59" s="24">
        <f t="shared" ref="W59:W82" si="20">T59/V59</f>
        <v>0.79121827118644061</v>
      </c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1:38">
      <c r="A60" s="22" t="s">
        <v>43</v>
      </c>
      <c r="B60" s="23">
        <v>3</v>
      </c>
      <c r="C60" s="23">
        <v>60</v>
      </c>
      <c r="D60" s="32">
        <v>70</v>
      </c>
      <c r="E60" s="83">
        <v>130</v>
      </c>
      <c r="F60" s="83" t="s">
        <v>194</v>
      </c>
      <c r="G60" s="87">
        <v>5.37</v>
      </c>
      <c r="H60" s="83">
        <f>L2</f>
        <v>6.17</v>
      </c>
      <c r="I60" s="83">
        <f>S2</f>
        <v>1</v>
      </c>
      <c r="J60" s="88">
        <f t="shared" si="14"/>
        <v>12.54</v>
      </c>
      <c r="K60" s="83">
        <f>U2</f>
        <v>0.8</v>
      </c>
      <c r="L60" s="87">
        <f>AB23</f>
        <v>0.75600000000000001</v>
      </c>
      <c r="M60" s="83">
        <f>AG31</f>
        <v>0.57000000000000006</v>
      </c>
      <c r="N60" s="88">
        <f t="shared" si="15"/>
        <v>14.666</v>
      </c>
      <c r="O60" s="83">
        <v>1</v>
      </c>
      <c r="P60" s="87">
        <f t="shared" si="16"/>
        <v>14.666</v>
      </c>
      <c r="Q60" s="87">
        <v>1.0609999999999999</v>
      </c>
      <c r="R60" s="87">
        <f t="shared" si="17"/>
        <v>15.560625999999999</v>
      </c>
      <c r="S60" s="87">
        <v>1.5</v>
      </c>
      <c r="T60" s="87">
        <f t="shared" si="18"/>
        <v>23.340938999999999</v>
      </c>
      <c r="U60" s="87">
        <f t="shared" si="19"/>
        <v>7.7803129999999996</v>
      </c>
      <c r="V60" s="87">
        <v>29.5</v>
      </c>
      <c r="W60" s="24">
        <f t="shared" si="20"/>
        <v>0.79121827118644061</v>
      </c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1:38">
      <c r="A61" s="22" t="s">
        <v>44</v>
      </c>
      <c r="B61" s="23">
        <v>3</v>
      </c>
      <c r="C61" s="23">
        <v>60</v>
      </c>
      <c r="D61" s="32">
        <v>70</v>
      </c>
      <c r="E61" s="83">
        <v>130</v>
      </c>
      <c r="F61" s="83" t="s">
        <v>194</v>
      </c>
      <c r="G61" s="87">
        <v>5.37</v>
      </c>
      <c r="H61" s="83">
        <f>L2</f>
        <v>6.17</v>
      </c>
      <c r="I61" s="83">
        <f>S2</f>
        <v>1</v>
      </c>
      <c r="J61" s="88">
        <f t="shared" si="14"/>
        <v>12.54</v>
      </c>
      <c r="K61" s="83">
        <f>U2</f>
        <v>0.8</v>
      </c>
      <c r="L61" s="87">
        <f>AB23</f>
        <v>0.75600000000000001</v>
      </c>
      <c r="M61" s="83">
        <f>AG31</f>
        <v>0.57000000000000006</v>
      </c>
      <c r="N61" s="88">
        <f t="shared" si="15"/>
        <v>14.666</v>
      </c>
      <c r="O61" s="83">
        <v>1</v>
      </c>
      <c r="P61" s="87">
        <f t="shared" si="16"/>
        <v>14.666</v>
      </c>
      <c r="Q61" s="87">
        <v>1.0609999999999999</v>
      </c>
      <c r="R61" s="87">
        <f t="shared" si="17"/>
        <v>15.560625999999999</v>
      </c>
      <c r="S61" s="87">
        <v>1.6</v>
      </c>
      <c r="T61" s="87">
        <f t="shared" si="18"/>
        <v>24.897001599999999</v>
      </c>
      <c r="U61" s="87">
        <f t="shared" si="19"/>
        <v>9.3363756000000002</v>
      </c>
      <c r="V61" s="87">
        <v>29.5</v>
      </c>
      <c r="W61" s="24">
        <f t="shared" si="20"/>
        <v>0.84396615593220337</v>
      </c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1:38">
      <c r="A62" s="22" t="s">
        <v>45</v>
      </c>
      <c r="B62" s="23">
        <v>3</v>
      </c>
      <c r="C62" s="23">
        <v>60</v>
      </c>
      <c r="D62" s="32">
        <v>70</v>
      </c>
      <c r="E62" s="83">
        <v>130</v>
      </c>
      <c r="F62" s="83" t="s">
        <v>194</v>
      </c>
      <c r="G62" s="87">
        <v>5.37</v>
      </c>
      <c r="H62" s="83">
        <f>L2</f>
        <v>6.17</v>
      </c>
      <c r="I62" s="83">
        <f>S2</f>
        <v>1</v>
      </c>
      <c r="J62" s="88">
        <f t="shared" si="14"/>
        <v>12.54</v>
      </c>
      <c r="K62" s="83">
        <f>U2</f>
        <v>0.8</v>
      </c>
      <c r="L62" s="87">
        <f>AB23</f>
        <v>0.75600000000000001</v>
      </c>
      <c r="M62" s="83">
        <f>AG31</f>
        <v>0.57000000000000006</v>
      </c>
      <c r="N62" s="88">
        <f t="shared" si="15"/>
        <v>14.666</v>
      </c>
      <c r="O62" s="83">
        <v>1</v>
      </c>
      <c r="P62" s="87">
        <f t="shared" si="16"/>
        <v>14.666</v>
      </c>
      <c r="Q62" s="87">
        <v>1.0609999999999999</v>
      </c>
      <c r="R62" s="87">
        <f t="shared" si="17"/>
        <v>15.560625999999999</v>
      </c>
      <c r="S62" s="87">
        <v>1.5</v>
      </c>
      <c r="T62" s="87">
        <f t="shared" si="18"/>
        <v>23.340938999999999</v>
      </c>
      <c r="U62" s="87">
        <f t="shared" si="19"/>
        <v>7.7803129999999996</v>
      </c>
      <c r="V62" s="87">
        <v>29.5</v>
      </c>
      <c r="W62" s="24">
        <f t="shared" si="20"/>
        <v>0.79121827118644061</v>
      </c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1:38">
      <c r="A63" s="22" t="s">
        <v>46</v>
      </c>
      <c r="B63" s="23">
        <v>4</v>
      </c>
      <c r="C63" s="23">
        <v>80</v>
      </c>
      <c r="D63" s="32">
        <v>70</v>
      </c>
      <c r="E63" s="83">
        <v>150</v>
      </c>
      <c r="F63" s="83" t="s">
        <v>194</v>
      </c>
      <c r="G63" s="87">
        <v>4.5999999999999996</v>
      </c>
      <c r="H63" s="83">
        <f>L2</f>
        <v>6.17</v>
      </c>
      <c r="I63" s="83">
        <f>S2</f>
        <v>1</v>
      </c>
      <c r="J63" s="88">
        <f t="shared" si="14"/>
        <v>11.77</v>
      </c>
      <c r="K63" s="83">
        <f>U2</f>
        <v>0.8</v>
      </c>
      <c r="L63" s="87">
        <f>AC23</f>
        <v>0.75600000000000001</v>
      </c>
      <c r="M63" s="83">
        <f>AG31</f>
        <v>0.57000000000000006</v>
      </c>
      <c r="N63" s="88">
        <f t="shared" si="15"/>
        <v>13.896000000000001</v>
      </c>
      <c r="O63" s="83">
        <v>1</v>
      </c>
      <c r="P63" s="87">
        <f t="shared" si="16"/>
        <v>13.896000000000001</v>
      </c>
      <c r="Q63" s="87">
        <v>1.0609999999999999</v>
      </c>
      <c r="R63" s="87">
        <f t="shared" si="17"/>
        <v>14.743656</v>
      </c>
      <c r="S63" s="87">
        <v>1.5</v>
      </c>
      <c r="T63" s="87">
        <f t="shared" si="18"/>
        <v>22.115483999999999</v>
      </c>
      <c r="U63" s="87">
        <f t="shared" si="19"/>
        <v>7.3718279999999989</v>
      </c>
      <c r="V63" s="87">
        <v>29.5</v>
      </c>
      <c r="W63" s="24">
        <f t="shared" si="20"/>
        <v>0.74967742372881352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1:38">
      <c r="A64" s="22" t="s">
        <v>47</v>
      </c>
      <c r="B64" s="23">
        <v>4</v>
      </c>
      <c r="C64" s="23">
        <v>80</v>
      </c>
      <c r="D64" s="32">
        <v>70</v>
      </c>
      <c r="E64" s="83">
        <v>150</v>
      </c>
      <c r="F64" s="83" t="s">
        <v>194</v>
      </c>
      <c r="G64" s="87">
        <v>4.5999999999999996</v>
      </c>
      <c r="H64" s="83">
        <f>L2</f>
        <v>6.17</v>
      </c>
      <c r="I64" s="83">
        <f>S2</f>
        <v>1</v>
      </c>
      <c r="J64" s="88">
        <f t="shared" si="14"/>
        <v>11.77</v>
      </c>
      <c r="K64" s="83">
        <f>U2</f>
        <v>0.8</v>
      </c>
      <c r="L64" s="87">
        <f>AC23</f>
        <v>0.75600000000000001</v>
      </c>
      <c r="M64" s="83">
        <f>AG31</f>
        <v>0.57000000000000006</v>
      </c>
      <c r="N64" s="88">
        <f t="shared" si="15"/>
        <v>13.896000000000001</v>
      </c>
      <c r="O64" s="83">
        <v>1</v>
      </c>
      <c r="P64" s="87">
        <f t="shared" si="16"/>
        <v>13.896000000000001</v>
      </c>
      <c r="Q64" s="87">
        <v>1.0609999999999999</v>
      </c>
      <c r="R64" s="87">
        <f t="shared" si="17"/>
        <v>14.743656</v>
      </c>
      <c r="S64" s="87">
        <v>1.5</v>
      </c>
      <c r="T64" s="87">
        <f t="shared" si="18"/>
        <v>22.115483999999999</v>
      </c>
      <c r="U64" s="87">
        <f t="shared" si="19"/>
        <v>7.3718279999999989</v>
      </c>
      <c r="V64" s="87">
        <v>29.5</v>
      </c>
      <c r="W64" s="24">
        <f t="shared" si="20"/>
        <v>0.74967742372881352</v>
      </c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1:38">
      <c r="A65" s="22" t="s">
        <v>48</v>
      </c>
      <c r="B65" s="23">
        <v>5</v>
      </c>
      <c r="C65" s="23">
        <v>100</v>
      </c>
      <c r="D65" s="32">
        <v>70</v>
      </c>
      <c r="E65" s="83">
        <v>170</v>
      </c>
      <c r="F65" s="83" t="s">
        <v>67</v>
      </c>
      <c r="G65" s="87">
        <v>6.07</v>
      </c>
      <c r="H65" s="83">
        <f>L2</f>
        <v>6.17</v>
      </c>
      <c r="I65" s="83">
        <f>S2</f>
        <v>1</v>
      </c>
      <c r="J65" s="88">
        <f t="shared" si="14"/>
        <v>13.24</v>
      </c>
      <c r="K65" s="83">
        <f>U2</f>
        <v>0.8</v>
      </c>
      <c r="L65" s="87">
        <f>AD24</f>
        <v>0.90720000000000001</v>
      </c>
      <c r="M65" s="83">
        <f>AG32</f>
        <v>0.57000000000000006</v>
      </c>
      <c r="N65" s="88">
        <f t="shared" si="15"/>
        <v>15.517200000000001</v>
      </c>
      <c r="O65" s="83">
        <v>1</v>
      </c>
      <c r="P65" s="87">
        <f t="shared" si="16"/>
        <v>15.517200000000001</v>
      </c>
      <c r="Q65" s="87">
        <v>1.0609999999999999</v>
      </c>
      <c r="R65" s="87">
        <f t="shared" si="17"/>
        <v>16.463749199999999</v>
      </c>
      <c r="S65" s="87">
        <v>1.55</v>
      </c>
      <c r="T65" s="87">
        <f t="shared" si="18"/>
        <v>25.51881126</v>
      </c>
      <c r="U65" s="87">
        <f t="shared" si="19"/>
        <v>9.0550620600000009</v>
      </c>
      <c r="V65" s="87">
        <v>29.5</v>
      </c>
      <c r="W65" s="24">
        <f t="shared" si="20"/>
        <v>0.86504444949152537</v>
      </c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1:38">
      <c r="A66" s="22" t="s">
        <v>49</v>
      </c>
      <c r="B66" s="23">
        <v>5</v>
      </c>
      <c r="C66" s="23">
        <v>100</v>
      </c>
      <c r="D66" s="32">
        <v>70</v>
      </c>
      <c r="E66" s="83">
        <v>170</v>
      </c>
      <c r="F66" s="83" t="s">
        <v>67</v>
      </c>
      <c r="G66" s="87">
        <v>6.07</v>
      </c>
      <c r="H66" s="83">
        <f>L2</f>
        <v>6.17</v>
      </c>
      <c r="I66" s="83">
        <f>S2</f>
        <v>1</v>
      </c>
      <c r="J66" s="88">
        <f t="shared" si="14"/>
        <v>13.24</v>
      </c>
      <c r="K66" s="83">
        <f>U2</f>
        <v>0.8</v>
      </c>
      <c r="L66" s="87">
        <f>AD24</f>
        <v>0.90720000000000001</v>
      </c>
      <c r="M66" s="83">
        <f>AG32</f>
        <v>0.57000000000000006</v>
      </c>
      <c r="N66" s="88">
        <f t="shared" si="15"/>
        <v>15.517200000000001</v>
      </c>
      <c r="O66" s="83">
        <v>1</v>
      </c>
      <c r="P66" s="87">
        <f t="shared" si="16"/>
        <v>15.517200000000001</v>
      </c>
      <c r="Q66" s="87">
        <v>1.0609999999999999</v>
      </c>
      <c r="R66" s="87">
        <f t="shared" si="17"/>
        <v>16.463749199999999</v>
      </c>
      <c r="S66" s="87">
        <v>1.5</v>
      </c>
      <c r="T66" s="87">
        <f t="shared" si="18"/>
        <v>24.6956238</v>
      </c>
      <c r="U66" s="87">
        <f t="shared" si="19"/>
        <v>8.2318746000000012</v>
      </c>
      <c r="V66" s="87">
        <v>29.5</v>
      </c>
      <c r="W66" s="24">
        <f t="shared" si="20"/>
        <v>0.83713978983050852</v>
      </c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1:38">
      <c r="A67" s="22" t="s">
        <v>50</v>
      </c>
      <c r="B67" s="23">
        <v>6</v>
      </c>
      <c r="C67" s="23">
        <v>100</v>
      </c>
      <c r="D67" s="32">
        <v>90</v>
      </c>
      <c r="E67" s="83">
        <v>190</v>
      </c>
      <c r="F67" s="83" t="s">
        <v>71</v>
      </c>
      <c r="G67" s="87">
        <v>6.99</v>
      </c>
      <c r="H67" s="83">
        <f>J2</f>
        <v>8.09</v>
      </c>
      <c r="I67" s="83">
        <f>S2</f>
        <v>1</v>
      </c>
      <c r="J67" s="88">
        <f t="shared" si="14"/>
        <v>16.079999999999998</v>
      </c>
      <c r="K67" s="83">
        <f>U2</f>
        <v>0.8</v>
      </c>
      <c r="L67" s="87">
        <f>AD24</f>
        <v>0.90720000000000001</v>
      </c>
      <c r="M67" s="83">
        <f>AG32</f>
        <v>0.57000000000000006</v>
      </c>
      <c r="N67" s="88">
        <f t="shared" si="15"/>
        <v>18.357199999999999</v>
      </c>
      <c r="O67" s="83">
        <v>1</v>
      </c>
      <c r="P67" s="87">
        <f t="shared" si="16"/>
        <v>18.357199999999999</v>
      </c>
      <c r="Q67" s="87">
        <v>1.0609999999999999</v>
      </c>
      <c r="R67" s="87">
        <f t="shared" si="17"/>
        <v>19.476989199999998</v>
      </c>
      <c r="S67" s="87">
        <v>1.5</v>
      </c>
      <c r="T67" s="87">
        <f t="shared" si="18"/>
        <v>29.215483799999998</v>
      </c>
      <c r="U67" s="87">
        <f t="shared" si="19"/>
        <v>9.7384945999999992</v>
      </c>
      <c r="V67" s="87">
        <v>29.5</v>
      </c>
      <c r="W67" s="24">
        <f t="shared" si="20"/>
        <v>0.99035538305084736</v>
      </c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1:38">
      <c r="A68" s="22" t="s">
        <v>51</v>
      </c>
      <c r="B68" s="23">
        <v>7</v>
      </c>
      <c r="C68" s="23">
        <v>125</v>
      </c>
      <c r="D68" s="32">
        <v>90</v>
      </c>
      <c r="E68" s="83">
        <v>215</v>
      </c>
      <c r="F68" s="83" t="s">
        <v>73</v>
      </c>
      <c r="G68" s="87">
        <v>11.31</v>
      </c>
      <c r="H68" s="83">
        <f>H2</f>
        <v>9.41</v>
      </c>
      <c r="I68" s="83">
        <f>S2</f>
        <v>1</v>
      </c>
      <c r="J68" s="88">
        <f t="shared" si="14"/>
        <v>21.72</v>
      </c>
      <c r="K68" s="83">
        <f>U2</f>
        <v>0.8</v>
      </c>
      <c r="L68" s="87">
        <f>AE25</f>
        <v>1.2312000000000001</v>
      </c>
      <c r="M68" s="83">
        <f>AH33</f>
        <v>1.02</v>
      </c>
      <c r="N68" s="88">
        <f t="shared" si="15"/>
        <v>24.7712</v>
      </c>
      <c r="O68" s="83">
        <v>1</v>
      </c>
      <c r="P68" s="87">
        <f t="shared" si="16"/>
        <v>24.7712</v>
      </c>
      <c r="Q68" s="87">
        <v>1.0609999999999999</v>
      </c>
      <c r="R68" s="87">
        <f t="shared" si="17"/>
        <v>26.2822432</v>
      </c>
      <c r="S68" s="87">
        <v>1.5</v>
      </c>
      <c r="T68" s="87">
        <f t="shared" si="18"/>
        <v>39.423364800000002</v>
      </c>
      <c r="U68" s="87">
        <f t="shared" si="19"/>
        <v>13.141121600000002</v>
      </c>
      <c r="V68" s="87">
        <v>29.5</v>
      </c>
      <c r="W68" s="24">
        <f t="shared" si="20"/>
        <v>1.3363852474576272</v>
      </c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1:38">
      <c r="A69" s="22" t="s">
        <v>52</v>
      </c>
      <c r="B69" s="23">
        <v>8</v>
      </c>
      <c r="C69" s="23">
        <v>150</v>
      </c>
      <c r="D69" s="32">
        <v>110</v>
      </c>
      <c r="E69" s="83">
        <v>260</v>
      </c>
      <c r="F69" s="83" t="s">
        <v>73</v>
      </c>
      <c r="G69" s="87">
        <v>16.13</v>
      </c>
      <c r="H69" s="83">
        <f>H2</f>
        <v>9.41</v>
      </c>
      <c r="I69" s="83">
        <f>S2</f>
        <v>1</v>
      </c>
      <c r="J69" s="88">
        <f t="shared" si="14"/>
        <v>26.54</v>
      </c>
      <c r="K69" s="83">
        <f>U2</f>
        <v>0.8</v>
      </c>
      <c r="L69" s="87">
        <f>AE25</f>
        <v>1.2312000000000001</v>
      </c>
      <c r="M69" s="83">
        <f>AH33</f>
        <v>1.02</v>
      </c>
      <c r="N69" s="88">
        <f t="shared" si="15"/>
        <v>29.591200000000001</v>
      </c>
      <c r="O69" s="83">
        <v>1</v>
      </c>
      <c r="P69" s="87">
        <f t="shared" si="16"/>
        <v>29.591200000000001</v>
      </c>
      <c r="Q69" s="87">
        <v>1.0609999999999999</v>
      </c>
      <c r="R69" s="87">
        <f t="shared" si="17"/>
        <v>31.3962632</v>
      </c>
      <c r="S69" s="87">
        <v>1.5</v>
      </c>
      <c r="T69" s="87">
        <f t="shared" si="18"/>
        <v>47.094394800000003</v>
      </c>
      <c r="U69" s="87">
        <f t="shared" si="19"/>
        <v>15.698131600000004</v>
      </c>
      <c r="V69" s="87">
        <v>29.5</v>
      </c>
      <c r="W69" s="24">
        <f t="shared" si="20"/>
        <v>1.5964201627118646</v>
      </c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1:38">
      <c r="A70" s="22" t="s">
        <v>53</v>
      </c>
      <c r="B70" s="23">
        <v>8</v>
      </c>
      <c r="C70" s="23">
        <v>200</v>
      </c>
      <c r="D70" s="32">
        <v>110</v>
      </c>
      <c r="E70" s="83">
        <v>310</v>
      </c>
      <c r="F70" s="83" t="s">
        <v>73</v>
      </c>
      <c r="G70" s="87">
        <v>19.61</v>
      </c>
      <c r="H70" s="83">
        <f>H2</f>
        <v>9.41</v>
      </c>
      <c r="I70" s="83">
        <f>S2</f>
        <v>1</v>
      </c>
      <c r="J70" s="88">
        <f t="shared" si="14"/>
        <v>30.02</v>
      </c>
      <c r="K70" s="83">
        <f>U2</f>
        <v>0.8</v>
      </c>
      <c r="L70" s="87">
        <f>AF25</f>
        <v>1.296</v>
      </c>
      <c r="M70" s="83">
        <f>AH33</f>
        <v>1.02</v>
      </c>
      <c r="N70" s="88">
        <f t="shared" si="15"/>
        <v>33.135999999999996</v>
      </c>
      <c r="O70" s="83">
        <v>1</v>
      </c>
      <c r="P70" s="87">
        <f t="shared" si="16"/>
        <v>33.135999999999996</v>
      </c>
      <c r="Q70" s="87">
        <v>1.0609999999999999</v>
      </c>
      <c r="R70" s="87">
        <f t="shared" si="17"/>
        <v>35.157295999999995</v>
      </c>
      <c r="S70" s="87">
        <v>1.5</v>
      </c>
      <c r="T70" s="87">
        <f t="shared" si="18"/>
        <v>52.735943999999989</v>
      </c>
      <c r="U70" s="87">
        <f t="shared" si="19"/>
        <v>17.578647999999994</v>
      </c>
      <c r="V70" s="87">
        <v>29.5</v>
      </c>
      <c r="W70" s="24">
        <f t="shared" si="20"/>
        <v>1.7876591186440673</v>
      </c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1:38">
      <c r="A71" s="22" t="s">
        <v>54</v>
      </c>
      <c r="B71" s="23">
        <v>3</v>
      </c>
      <c r="C71" s="23">
        <v>60</v>
      </c>
      <c r="D71" s="32">
        <v>70</v>
      </c>
      <c r="E71" s="83">
        <v>130</v>
      </c>
      <c r="F71" s="83" t="s">
        <v>194</v>
      </c>
      <c r="G71" s="87">
        <v>6.44</v>
      </c>
      <c r="H71" s="83">
        <f>L2</f>
        <v>6.17</v>
      </c>
      <c r="I71" s="83">
        <f>S2</f>
        <v>1</v>
      </c>
      <c r="J71" s="88">
        <f t="shared" si="14"/>
        <v>13.61</v>
      </c>
      <c r="K71" s="83">
        <f>U2</f>
        <v>0.8</v>
      </c>
      <c r="L71" s="87">
        <f>AB23</f>
        <v>0.75600000000000001</v>
      </c>
      <c r="M71" s="83">
        <f>AG31</f>
        <v>0.57000000000000006</v>
      </c>
      <c r="N71" s="88">
        <f t="shared" si="15"/>
        <v>15.736000000000001</v>
      </c>
      <c r="O71" s="83">
        <v>1</v>
      </c>
      <c r="P71" s="87">
        <f t="shared" si="16"/>
        <v>15.736000000000001</v>
      </c>
      <c r="Q71" s="87">
        <v>1.0609999999999999</v>
      </c>
      <c r="R71" s="87">
        <f t="shared" si="17"/>
        <v>16.695896000000001</v>
      </c>
      <c r="S71" s="87">
        <v>1.5</v>
      </c>
      <c r="T71" s="87">
        <f t="shared" si="18"/>
        <v>25.043844</v>
      </c>
      <c r="U71" s="87">
        <f t="shared" si="19"/>
        <v>8.3479479999999988</v>
      </c>
      <c r="V71" s="87">
        <v>29.5</v>
      </c>
      <c r="W71" s="24">
        <f t="shared" si="20"/>
        <v>0.84894386440677971</v>
      </c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1:38">
      <c r="A72" s="22" t="s">
        <v>55</v>
      </c>
      <c r="B72" s="23">
        <v>3</v>
      </c>
      <c r="C72" s="23">
        <v>60</v>
      </c>
      <c r="D72" s="32">
        <v>70</v>
      </c>
      <c r="E72" s="83">
        <v>130</v>
      </c>
      <c r="F72" s="83" t="s">
        <v>194</v>
      </c>
      <c r="G72" s="87">
        <v>6.44</v>
      </c>
      <c r="H72" s="83">
        <f>L2</f>
        <v>6.17</v>
      </c>
      <c r="I72" s="83">
        <f>S2</f>
        <v>1</v>
      </c>
      <c r="J72" s="88">
        <f t="shared" si="14"/>
        <v>13.61</v>
      </c>
      <c r="K72" s="83">
        <f>U2</f>
        <v>0.8</v>
      </c>
      <c r="L72" s="87">
        <f>AB23</f>
        <v>0.75600000000000001</v>
      </c>
      <c r="M72" s="83">
        <f>AG31</f>
        <v>0.57000000000000006</v>
      </c>
      <c r="N72" s="88">
        <f t="shared" si="15"/>
        <v>15.736000000000001</v>
      </c>
      <c r="O72" s="83">
        <v>1</v>
      </c>
      <c r="P72" s="87">
        <f t="shared" si="16"/>
        <v>15.736000000000001</v>
      </c>
      <c r="Q72" s="87">
        <v>1.0609999999999999</v>
      </c>
      <c r="R72" s="87">
        <f t="shared" si="17"/>
        <v>16.695896000000001</v>
      </c>
      <c r="S72" s="87">
        <v>1.5</v>
      </c>
      <c r="T72" s="87">
        <f t="shared" si="18"/>
        <v>25.043844</v>
      </c>
      <c r="U72" s="87">
        <f t="shared" si="19"/>
        <v>8.3479479999999988</v>
      </c>
      <c r="V72" s="87">
        <v>29.5</v>
      </c>
      <c r="W72" s="24">
        <f t="shared" si="20"/>
        <v>0.84894386440677971</v>
      </c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1:38">
      <c r="A73" s="22" t="s">
        <v>56</v>
      </c>
      <c r="B73" s="23">
        <v>3</v>
      </c>
      <c r="C73" s="23">
        <v>60</v>
      </c>
      <c r="D73" s="32">
        <v>70</v>
      </c>
      <c r="E73" s="83">
        <v>130</v>
      </c>
      <c r="F73" s="83" t="s">
        <v>194</v>
      </c>
      <c r="G73" s="87">
        <v>6.44</v>
      </c>
      <c r="H73" s="83">
        <f>L2</f>
        <v>6.17</v>
      </c>
      <c r="I73" s="83">
        <f>S2</f>
        <v>1</v>
      </c>
      <c r="J73" s="88">
        <f t="shared" si="14"/>
        <v>13.61</v>
      </c>
      <c r="K73" s="83">
        <f>U2</f>
        <v>0.8</v>
      </c>
      <c r="L73" s="87">
        <f>AB23</f>
        <v>0.75600000000000001</v>
      </c>
      <c r="M73" s="83">
        <f>AG31</f>
        <v>0.57000000000000006</v>
      </c>
      <c r="N73" s="88">
        <f t="shared" si="15"/>
        <v>15.736000000000001</v>
      </c>
      <c r="O73" s="83">
        <v>1</v>
      </c>
      <c r="P73" s="87">
        <f t="shared" si="16"/>
        <v>15.736000000000001</v>
      </c>
      <c r="Q73" s="87">
        <v>1.0609999999999999</v>
      </c>
      <c r="R73" s="87">
        <f t="shared" si="17"/>
        <v>16.695896000000001</v>
      </c>
      <c r="S73" s="87">
        <v>1.5</v>
      </c>
      <c r="T73" s="87">
        <f t="shared" si="18"/>
        <v>25.043844</v>
      </c>
      <c r="U73" s="87">
        <f t="shared" si="19"/>
        <v>8.3479479999999988</v>
      </c>
      <c r="V73" s="87">
        <v>29.5</v>
      </c>
      <c r="W73" s="24">
        <f t="shared" si="20"/>
        <v>0.84894386440677971</v>
      </c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1:38">
      <c r="A74" s="22" t="s">
        <v>57</v>
      </c>
      <c r="B74" s="23">
        <v>3</v>
      </c>
      <c r="C74" s="23">
        <v>60</v>
      </c>
      <c r="D74" s="32">
        <v>70</v>
      </c>
      <c r="E74" s="83">
        <v>130</v>
      </c>
      <c r="F74" s="83" t="s">
        <v>194</v>
      </c>
      <c r="G74" s="87">
        <v>6.44</v>
      </c>
      <c r="H74" s="83">
        <f>L2</f>
        <v>6.17</v>
      </c>
      <c r="I74" s="83">
        <f>S2</f>
        <v>1</v>
      </c>
      <c r="J74" s="88">
        <f t="shared" si="14"/>
        <v>13.61</v>
      </c>
      <c r="K74" s="83">
        <f>U2</f>
        <v>0.8</v>
      </c>
      <c r="L74" s="87">
        <f>AB23</f>
        <v>0.75600000000000001</v>
      </c>
      <c r="M74" s="83">
        <f>AG31</f>
        <v>0.57000000000000006</v>
      </c>
      <c r="N74" s="88">
        <f t="shared" si="15"/>
        <v>15.736000000000001</v>
      </c>
      <c r="O74" s="83">
        <v>1</v>
      </c>
      <c r="P74" s="87">
        <f t="shared" si="16"/>
        <v>15.736000000000001</v>
      </c>
      <c r="Q74" s="87">
        <v>1.0609999999999999</v>
      </c>
      <c r="R74" s="87">
        <f t="shared" si="17"/>
        <v>16.695896000000001</v>
      </c>
      <c r="S74" s="87">
        <v>1.5</v>
      </c>
      <c r="T74" s="87">
        <f t="shared" si="18"/>
        <v>25.043844</v>
      </c>
      <c r="U74" s="87">
        <f t="shared" si="19"/>
        <v>8.3479479999999988</v>
      </c>
      <c r="V74" s="87">
        <v>29.5</v>
      </c>
      <c r="W74" s="24">
        <f t="shared" si="20"/>
        <v>0.84894386440677971</v>
      </c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1:38">
      <c r="A75" s="22" t="s">
        <v>58</v>
      </c>
      <c r="B75" s="23">
        <v>4</v>
      </c>
      <c r="C75" s="23">
        <v>80</v>
      </c>
      <c r="D75" s="32">
        <v>70</v>
      </c>
      <c r="E75" s="83">
        <v>150</v>
      </c>
      <c r="F75" s="83" t="s">
        <v>194</v>
      </c>
      <c r="G75" s="87">
        <v>4.5999999999999996</v>
      </c>
      <c r="H75" s="83">
        <f>L2</f>
        <v>6.17</v>
      </c>
      <c r="I75" s="83">
        <f>S2</f>
        <v>1</v>
      </c>
      <c r="J75" s="88">
        <f t="shared" ref="J75:J82" si="21">I75+H75+G75</f>
        <v>11.77</v>
      </c>
      <c r="K75" s="83">
        <f>U2</f>
        <v>0.8</v>
      </c>
      <c r="L75" s="87">
        <f>AC23</f>
        <v>0.75600000000000001</v>
      </c>
      <c r="M75" s="83">
        <f>AG31</f>
        <v>0.57000000000000006</v>
      </c>
      <c r="N75" s="88">
        <f t="shared" si="15"/>
        <v>13.896000000000001</v>
      </c>
      <c r="O75" s="83">
        <v>1</v>
      </c>
      <c r="P75" s="87">
        <f t="shared" si="16"/>
        <v>13.896000000000001</v>
      </c>
      <c r="Q75" s="87">
        <v>1.0609999999999999</v>
      </c>
      <c r="R75" s="87">
        <f t="shared" si="17"/>
        <v>14.743656</v>
      </c>
      <c r="S75" s="87">
        <v>1.5</v>
      </c>
      <c r="T75" s="87">
        <f t="shared" si="18"/>
        <v>22.115483999999999</v>
      </c>
      <c r="U75" s="87">
        <f t="shared" si="19"/>
        <v>7.3718279999999989</v>
      </c>
      <c r="V75" s="87">
        <v>29.5</v>
      </c>
      <c r="W75" s="24">
        <f t="shared" si="20"/>
        <v>0.74967742372881352</v>
      </c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1:38">
      <c r="A76" s="22" t="s">
        <v>59</v>
      </c>
      <c r="B76" s="23">
        <v>4</v>
      </c>
      <c r="C76" s="23">
        <v>80</v>
      </c>
      <c r="D76" s="32">
        <v>70</v>
      </c>
      <c r="E76" s="83">
        <v>150</v>
      </c>
      <c r="F76" s="83" t="s">
        <v>194</v>
      </c>
      <c r="G76" s="87">
        <v>4.5999999999999996</v>
      </c>
      <c r="H76" s="83">
        <f>L2</f>
        <v>6.17</v>
      </c>
      <c r="I76" s="83">
        <f>S2</f>
        <v>1</v>
      </c>
      <c r="J76" s="88">
        <f t="shared" si="21"/>
        <v>11.77</v>
      </c>
      <c r="K76" s="83">
        <f>U2</f>
        <v>0.8</v>
      </c>
      <c r="L76" s="87">
        <f>AC23</f>
        <v>0.75600000000000001</v>
      </c>
      <c r="M76" s="83">
        <f>AG31</f>
        <v>0.57000000000000006</v>
      </c>
      <c r="N76" s="88">
        <f t="shared" si="15"/>
        <v>13.896000000000001</v>
      </c>
      <c r="O76" s="83">
        <v>1</v>
      </c>
      <c r="P76" s="87">
        <f t="shared" si="16"/>
        <v>13.896000000000001</v>
      </c>
      <c r="Q76" s="87">
        <v>1.0609999999999999</v>
      </c>
      <c r="R76" s="87">
        <f t="shared" si="17"/>
        <v>14.743656</v>
      </c>
      <c r="S76" s="87">
        <v>1.5</v>
      </c>
      <c r="T76" s="87">
        <f t="shared" si="18"/>
        <v>22.115483999999999</v>
      </c>
      <c r="U76" s="87">
        <f t="shared" si="19"/>
        <v>7.3718279999999989</v>
      </c>
      <c r="V76" s="87">
        <v>29.5</v>
      </c>
      <c r="W76" s="24">
        <f t="shared" si="20"/>
        <v>0.74967742372881352</v>
      </c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1:38">
      <c r="A77" s="22" t="s">
        <v>60</v>
      </c>
      <c r="B77" s="23">
        <v>5</v>
      </c>
      <c r="C77" s="23">
        <v>100</v>
      </c>
      <c r="D77" s="32">
        <v>70</v>
      </c>
      <c r="E77" s="83">
        <v>170</v>
      </c>
      <c r="F77" s="83" t="s">
        <v>67</v>
      </c>
      <c r="G77" s="87">
        <v>6.07</v>
      </c>
      <c r="H77" s="83">
        <f>L2</f>
        <v>6.17</v>
      </c>
      <c r="I77" s="83">
        <f>S2</f>
        <v>1</v>
      </c>
      <c r="J77" s="88">
        <f t="shared" si="21"/>
        <v>13.24</v>
      </c>
      <c r="K77" s="83">
        <f>U2</f>
        <v>0.8</v>
      </c>
      <c r="L77" s="87">
        <f>AD24</f>
        <v>0.90720000000000001</v>
      </c>
      <c r="M77" s="83">
        <f>AG32</f>
        <v>0.57000000000000006</v>
      </c>
      <c r="N77" s="88">
        <f t="shared" si="15"/>
        <v>15.517200000000001</v>
      </c>
      <c r="O77" s="83">
        <v>1</v>
      </c>
      <c r="P77" s="87">
        <f t="shared" si="16"/>
        <v>15.517200000000001</v>
      </c>
      <c r="Q77" s="87">
        <v>1.0609999999999999</v>
      </c>
      <c r="R77" s="87">
        <f t="shared" si="17"/>
        <v>16.463749199999999</v>
      </c>
      <c r="S77" s="87">
        <v>1.5</v>
      </c>
      <c r="T77" s="87">
        <f t="shared" si="18"/>
        <v>24.6956238</v>
      </c>
      <c r="U77" s="87">
        <f t="shared" si="19"/>
        <v>8.2318746000000012</v>
      </c>
      <c r="V77" s="87">
        <v>29.5</v>
      </c>
      <c r="W77" s="24">
        <f t="shared" si="20"/>
        <v>0.83713978983050852</v>
      </c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1:38">
      <c r="A78" s="22" t="s">
        <v>61</v>
      </c>
      <c r="B78" s="23">
        <v>5</v>
      </c>
      <c r="C78" s="23">
        <v>100</v>
      </c>
      <c r="D78" s="32">
        <v>70</v>
      </c>
      <c r="E78" s="83">
        <v>170</v>
      </c>
      <c r="F78" s="83" t="s">
        <v>67</v>
      </c>
      <c r="G78" s="87">
        <v>6.07</v>
      </c>
      <c r="H78" s="83">
        <f>L2</f>
        <v>6.17</v>
      </c>
      <c r="I78" s="83">
        <f>S2</f>
        <v>1</v>
      </c>
      <c r="J78" s="88">
        <f t="shared" si="21"/>
        <v>13.24</v>
      </c>
      <c r="K78" s="83">
        <f>U2</f>
        <v>0.8</v>
      </c>
      <c r="L78" s="87">
        <f>AD24</f>
        <v>0.90720000000000001</v>
      </c>
      <c r="M78" s="83">
        <f>AG32</f>
        <v>0.57000000000000006</v>
      </c>
      <c r="N78" s="88">
        <f t="shared" si="15"/>
        <v>15.517200000000001</v>
      </c>
      <c r="O78" s="83">
        <v>1</v>
      </c>
      <c r="P78" s="87">
        <f t="shared" si="16"/>
        <v>15.517200000000001</v>
      </c>
      <c r="Q78" s="87">
        <v>1.0609999999999999</v>
      </c>
      <c r="R78" s="87">
        <f t="shared" si="17"/>
        <v>16.463749199999999</v>
      </c>
      <c r="S78" s="87">
        <v>1.5</v>
      </c>
      <c r="T78" s="87">
        <f t="shared" si="18"/>
        <v>24.6956238</v>
      </c>
      <c r="U78" s="87">
        <f t="shared" si="19"/>
        <v>8.2318746000000012</v>
      </c>
      <c r="V78" s="87">
        <v>29.5</v>
      </c>
      <c r="W78" s="24">
        <f t="shared" si="20"/>
        <v>0.83713978983050852</v>
      </c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1:38">
      <c r="A79" s="22" t="s">
        <v>62</v>
      </c>
      <c r="B79" s="23">
        <v>6</v>
      </c>
      <c r="C79" s="23">
        <v>100</v>
      </c>
      <c r="D79" s="32">
        <v>90</v>
      </c>
      <c r="E79" s="83">
        <v>190</v>
      </c>
      <c r="F79" s="83" t="s">
        <v>71</v>
      </c>
      <c r="G79" s="87">
        <v>6.99</v>
      </c>
      <c r="H79" s="83">
        <f>J2</f>
        <v>8.09</v>
      </c>
      <c r="I79" s="83">
        <f>S2</f>
        <v>1</v>
      </c>
      <c r="J79" s="88">
        <f t="shared" si="21"/>
        <v>16.079999999999998</v>
      </c>
      <c r="K79" s="83">
        <f>U2</f>
        <v>0.8</v>
      </c>
      <c r="L79" s="87">
        <f>AD24</f>
        <v>0.90720000000000001</v>
      </c>
      <c r="M79" s="83">
        <f>AG32</f>
        <v>0.57000000000000006</v>
      </c>
      <c r="N79" s="88">
        <f t="shared" si="15"/>
        <v>18.357199999999999</v>
      </c>
      <c r="O79" s="83">
        <v>1</v>
      </c>
      <c r="P79" s="87">
        <f t="shared" si="16"/>
        <v>18.357199999999999</v>
      </c>
      <c r="Q79" s="87">
        <v>1.0609999999999999</v>
      </c>
      <c r="R79" s="87">
        <f t="shared" si="17"/>
        <v>19.476989199999998</v>
      </c>
      <c r="S79" s="87">
        <v>1.5</v>
      </c>
      <c r="T79" s="87">
        <f t="shared" si="18"/>
        <v>29.215483799999998</v>
      </c>
      <c r="U79" s="87">
        <f t="shared" si="19"/>
        <v>9.7384945999999992</v>
      </c>
      <c r="V79" s="87">
        <v>29.5</v>
      </c>
      <c r="W79" s="24">
        <f t="shared" si="20"/>
        <v>0.99035538305084736</v>
      </c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1:38">
      <c r="A80" s="22" t="s">
        <v>63</v>
      </c>
      <c r="B80" s="23">
        <v>7</v>
      </c>
      <c r="C80" s="23">
        <v>125</v>
      </c>
      <c r="D80" s="32">
        <v>90</v>
      </c>
      <c r="E80" s="83">
        <v>215</v>
      </c>
      <c r="F80" s="83" t="s">
        <v>73</v>
      </c>
      <c r="G80" s="87">
        <v>11.31</v>
      </c>
      <c r="H80" s="83">
        <f>H2</f>
        <v>9.41</v>
      </c>
      <c r="I80" s="83">
        <f>S2</f>
        <v>1</v>
      </c>
      <c r="J80" s="88">
        <f t="shared" si="21"/>
        <v>21.72</v>
      </c>
      <c r="K80" s="83">
        <f>U2</f>
        <v>0.8</v>
      </c>
      <c r="L80" s="87">
        <f>AE25</f>
        <v>1.2312000000000001</v>
      </c>
      <c r="M80" s="83">
        <f>AH33</f>
        <v>1.02</v>
      </c>
      <c r="N80" s="88">
        <f t="shared" si="15"/>
        <v>24.7712</v>
      </c>
      <c r="O80" s="83">
        <v>1</v>
      </c>
      <c r="P80" s="87">
        <f t="shared" si="16"/>
        <v>24.7712</v>
      </c>
      <c r="Q80" s="87">
        <v>1.0609999999999999</v>
      </c>
      <c r="R80" s="87">
        <f t="shared" si="17"/>
        <v>26.2822432</v>
      </c>
      <c r="S80" s="87">
        <v>1.5</v>
      </c>
      <c r="T80" s="87">
        <f t="shared" si="18"/>
        <v>39.423364800000002</v>
      </c>
      <c r="U80" s="87">
        <f t="shared" si="19"/>
        <v>13.141121600000002</v>
      </c>
      <c r="V80" s="87">
        <v>29.5</v>
      </c>
      <c r="W80" s="24">
        <f t="shared" si="20"/>
        <v>1.3363852474576272</v>
      </c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1:38">
      <c r="A81" s="22" t="s">
        <v>64</v>
      </c>
      <c r="B81" s="23">
        <v>8</v>
      </c>
      <c r="C81" s="23">
        <v>150</v>
      </c>
      <c r="D81" s="32">
        <v>110</v>
      </c>
      <c r="E81" s="83">
        <v>260</v>
      </c>
      <c r="F81" s="83" t="s">
        <v>73</v>
      </c>
      <c r="G81" s="87">
        <v>16.13</v>
      </c>
      <c r="H81" s="83">
        <f>H2</f>
        <v>9.41</v>
      </c>
      <c r="I81" s="83">
        <f>S2</f>
        <v>1</v>
      </c>
      <c r="J81" s="88">
        <f t="shared" si="21"/>
        <v>26.54</v>
      </c>
      <c r="K81" s="83">
        <f>U2</f>
        <v>0.8</v>
      </c>
      <c r="L81" s="87">
        <f>AE25</f>
        <v>1.2312000000000001</v>
      </c>
      <c r="M81" s="83">
        <f>AH33</f>
        <v>1.02</v>
      </c>
      <c r="N81" s="88">
        <f t="shared" si="15"/>
        <v>29.591200000000001</v>
      </c>
      <c r="O81" s="83">
        <v>1</v>
      </c>
      <c r="P81" s="87">
        <f t="shared" si="16"/>
        <v>29.591200000000001</v>
      </c>
      <c r="Q81" s="87">
        <v>1.0609999999999999</v>
      </c>
      <c r="R81" s="87">
        <f t="shared" si="17"/>
        <v>31.3962632</v>
      </c>
      <c r="S81" s="87">
        <v>1.5</v>
      </c>
      <c r="T81" s="87">
        <f t="shared" si="18"/>
        <v>47.094394800000003</v>
      </c>
      <c r="U81" s="87">
        <f t="shared" si="19"/>
        <v>15.698131600000004</v>
      </c>
      <c r="V81" s="87">
        <v>29.5</v>
      </c>
      <c r="W81" s="24">
        <f t="shared" si="20"/>
        <v>1.5964201627118646</v>
      </c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1:38">
      <c r="A82" s="22" t="s">
        <v>65</v>
      </c>
      <c r="B82" s="23">
        <v>8</v>
      </c>
      <c r="C82" s="23">
        <v>200</v>
      </c>
      <c r="D82" s="32">
        <v>110</v>
      </c>
      <c r="E82" s="83">
        <v>310</v>
      </c>
      <c r="F82" s="83" t="s">
        <v>73</v>
      </c>
      <c r="G82" s="87">
        <v>19.61</v>
      </c>
      <c r="H82" s="83">
        <f>H2</f>
        <v>9.41</v>
      </c>
      <c r="I82" s="83">
        <f>S2</f>
        <v>1</v>
      </c>
      <c r="J82" s="88">
        <f t="shared" si="21"/>
        <v>30.02</v>
      </c>
      <c r="K82" s="83">
        <f>U2</f>
        <v>0.8</v>
      </c>
      <c r="L82" s="87">
        <f>AF25</f>
        <v>1.296</v>
      </c>
      <c r="M82" s="83">
        <f>AH33</f>
        <v>1.02</v>
      </c>
      <c r="N82" s="88">
        <f>M82+L82+K82+J82</f>
        <v>33.135999999999996</v>
      </c>
      <c r="O82" s="83">
        <v>1</v>
      </c>
      <c r="P82" s="87">
        <f t="shared" si="16"/>
        <v>33.135999999999996</v>
      </c>
      <c r="Q82" s="87">
        <v>1.0609999999999999</v>
      </c>
      <c r="R82" s="87">
        <f t="shared" si="17"/>
        <v>35.157295999999995</v>
      </c>
      <c r="S82" s="87">
        <v>1.5</v>
      </c>
      <c r="T82" s="87">
        <f t="shared" si="18"/>
        <v>52.735943999999989</v>
      </c>
      <c r="U82" s="87">
        <f t="shared" si="19"/>
        <v>17.578647999999994</v>
      </c>
      <c r="V82" s="87">
        <v>29.5</v>
      </c>
      <c r="W82" s="24">
        <f t="shared" si="20"/>
        <v>1.7876591186440673</v>
      </c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1:38" s="90" customFormat="1">
      <c r="A83" s="55"/>
      <c r="B83" s="56"/>
      <c r="C83" s="56"/>
      <c r="D83" s="58"/>
      <c r="E83" s="83"/>
      <c r="F83" s="83"/>
      <c r="G83" s="87"/>
      <c r="H83" s="83"/>
      <c r="I83" s="83"/>
      <c r="J83" s="88"/>
      <c r="K83" s="106"/>
      <c r="L83" s="83"/>
      <c r="M83" s="83"/>
      <c r="N83" s="88"/>
      <c r="O83" s="83"/>
      <c r="P83" s="87"/>
      <c r="Q83" s="87"/>
      <c r="R83" s="87"/>
      <c r="S83" s="87"/>
      <c r="T83" s="87"/>
      <c r="U83" s="87"/>
      <c r="V83" s="87"/>
      <c r="W83" s="57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1:38" s="90" customFormat="1">
      <c r="A84" s="50" t="s">
        <v>188</v>
      </c>
      <c r="B84" s="51"/>
      <c r="C84" s="51"/>
      <c r="D84" s="51"/>
      <c r="E84" s="86"/>
      <c r="F84" s="83"/>
      <c r="G84" s="87">
        <v>13</v>
      </c>
      <c r="H84" s="83">
        <f>J2</f>
        <v>8.09</v>
      </c>
      <c r="I84" s="83">
        <f>S2</f>
        <v>1</v>
      </c>
      <c r="J84" s="88">
        <f t="shared" ref="J84:J89" si="22">I84+H84+G84</f>
        <v>22.09</v>
      </c>
      <c r="K84" s="83">
        <f>U2</f>
        <v>0.8</v>
      </c>
      <c r="L84" s="87">
        <f>AD24</f>
        <v>0.90720000000000001</v>
      </c>
      <c r="M84" s="83">
        <f>AG32</f>
        <v>0.57000000000000006</v>
      </c>
      <c r="N84" s="88">
        <f t="shared" ref="N84:N89" si="23">M84+L84+K84+J84</f>
        <v>24.3672</v>
      </c>
      <c r="O84" s="83">
        <v>1</v>
      </c>
      <c r="P84" s="87">
        <f t="shared" ref="P84:P89" si="24">O84*N84</f>
        <v>24.3672</v>
      </c>
      <c r="Q84" s="87">
        <v>1.0609999999999999</v>
      </c>
      <c r="R84" s="87">
        <f t="shared" ref="R84:R89" si="25">Q84*P84</f>
        <v>25.853599199999998</v>
      </c>
      <c r="S84" s="87">
        <v>1.4</v>
      </c>
      <c r="T84" s="87">
        <f t="shared" ref="T84:T89" si="26">S84*R84</f>
        <v>36.195038879999991</v>
      </c>
      <c r="U84" s="87">
        <f t="shared" ref="U84:U89" si="27">T84-R84</f>
        <v>10.341439679999993</v>
      </c>
      <c r="V84" s="87">
        <v>29.5</v>
      </c>
      <c r="W84" s="24">
        <f t="shared" ref="W84:W89" si="28">T84/V84</f>
        <v>1.2269504705084744</v>
      </c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1:38">
      <c r="A85" s="50" t="s">
        <v>189</v>
      </c>
      <c r="B85" s="22"/>
      <c r="C85" s="22"/>
      <c r="D85" s="22"/>
      <c r="E85" s="86"/>
      <c r="F85" s="83"/>
      <c r="G85" s="83">
        <v>23</v>
      </c>
      <c r="H85" s="83">
        <f>J2</f>
        <v>8.09</v>
      </c>
      <c r="I85" s="83">
        <f>S2</f>
        <v>1</v>
      </c>
      <c r="J85" s="83">
        <f t="shared" si="22"/>
        <v>32.090000000000003</v>
      </c>
      <c r="K85" s="83">
        <f>U2</f>
        <v>0.8</v>
      </c>
      <c r="L85" s="87">
        <f>AD24</f>
        <v>0.90720000000000001</v>
      </c>
      <c r="M85" s="83">
        <f>AG32</f>
        <v>0.57000000000000006</v>
      </c>
      <c r="N85" s="88">
        <f t="shared" si="23"/>
        <v>34.367200000000004</v>
      </c>
      <c r="O85" s="83">
        <v>1</v>
      </c>
      <c r="P85" s="87">
        <f t="shared" si="24"/>
        <v>34.367200000000004</v>
      </c>
      <c r="Q85" s="87">
        <v>1.0609999999999999</v>
      </c>
      <c r="R85" s="87">
        <f t="shared" si="25"/>
        <v>36.463599200000004</v>
      </c>
      <c r="S85" s="87">
        <v>1.4</v>
      </c>
      <c r="T85" s="87">
        <f t="shared" si="26"/>
        <v>51.049038880000005</v>
      </c>
      <c r="U85" s="87">
        <f t="shared" si="27"/>
        <v>14.58543968</v>
      </c>
      <c r="V85" s="87">
        <v>29.5</v>
      </c>
      <c r="W85" s="24">
        <f t="shared" si="28"/>
        <v>1.7304758942372882</v>
      </c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1:38">
      <c r="A86" s="50" t="s">
        <v>190</v>
      </c>
      <c r="B86" s="47"/>
      <c r="C86" s="47"/>
      <c r="D86" s="47"/>
      <c r="E86" s="86"/>
      <c r="F86" s="83"/>
      <c r="G86" s="83">
        <v>25</v>
      </c>
      <c r="H86" s="83">
        <f>J2</f>
        <v>8.09</v>
      </c>
      <c r="I86" s="83">
        <f>S2</f>
        <v>1</v>
      </c>
      <c r="J86" s="83">
        <f t="shared" si="22"/>
        <v>34.090000000000003</v>
      </c>
      <c r="K86" s="83">
        <f>U2</f>
        <v>0.8</v>
      </c>
      <c r="L86" s="87">
        <f>AE24</f>
        <v>0.97200000000000009</v>
      </c>
      <c r="M86" s="83">
        <f>AG32</f>
        <v>0.57000000000000006</v>
      </c>
      <c r="N86" s="88">
        <f t="shared" si="23"/>
        <v>36.432000000000002</v>
      </c>
      <c r="O86" s="83">
        <v>1</v>
      </c>
      <c r="P86" s="87">
        <f t="shared" si="24"/>
        <v>36.432000000000002</v>
      </c>
      <c r="Q86" s="87">
        <v>1.0609999999999999</v>
      </c>
      <c r="R86" s="87">
        <f t="shared" si="25"/>
        <v>38.654352000000003</v>
      </c>
      <c r="S86" s="87">
        <v>1.4</v>
      </c>
      <c r="T86" s="87">
        <f t="shared" si="26"/>
        <v>54.116092800000004</v>
      </c>
      <c r="U86" s="87">
        <f t="shared" si="27"/>
        <v>15.461740800000001</v>
      </c>
      <c r="V86" s="87">
        <v>29.5</v>
      </c>
      <c r="W86" s="24">
        <f t="shared" si="28"/>
        <v>1.8344438237288136</v>
      </c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1:38">
      <c r="A87" s="93" t="s">
        <v>250</v>
      </c>
      <c r="B87" s="90"/>
      <c r="C87" s="90"/>
      <c r="D87" s="90"/>
      <c r="E87" s="86"/>
      <c r="F87" s="83"/>
      <c r="G87" s="83">
        <v>25</v>
      </c>
      <c r="H87" s="83">
        <f>J2</f>
        <v>8.09</v>
      </c>
      <c r="I87" s="83">
        <f>S2</f>
        <v>1</v>
      </c>
      <c r="J87" s="83">
        <f t="shared" si="22"/>
        <v>34.090000000000003</v>
      </c>
      <c r="K87" s="83">
        <f>U2</f>
        <v>0.8</v>
      </c>
      <c r="L87" s="87">
        <f>AE24</f>
        <v>0.97200000000000009</v>
      </c>
      <c r="M87" s="83">
        <f>AG32</f>
        <v>0.57000000000000006</v>
      </c>
      <c r="N87" s="88">
        <f t="shared" si="23"/>
        <v>36.432000000000002</v>
      </c>
      <c r="O87" s="83">
        <v>1</v>
      </c>
      <c r="P87" s="87">
        <f t="shared" si="24"/>
        <v>36.432000000000002</v>
      </c>
      <c r="Q87" s="87">
        <v>1.0609999999999999</v>
      </c>
      <c r="R87" s="87">
        <f t="shared" si="25"/>
        <v>38.654352000000003</v>
      </c>
      <c r="S87" s="87">
        <v>1.4</v>
      </c>
      <c r="T87" s="87">
        <f t="shared" si="26"/>
        <v>54.116092800000004</v>
      </c>
      <c r="U87" s="87">
        <f t="shared" si="27"/>
        <v>15.461740800000001</v>
      </c>
      <c r="V87" s="87">
        <v>29.5</v>
      </c>
      <c r="W87" s="96">
        <f t="shared" si="28"/>
        <v>1.8344438237288136</v>
      </c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1:38">
      <c r="A88" s="93" t="s">
        <v>251</v>
      </c>
      <c r="B88" s="90"/>
      <c r="C88" s="90"/>
      <c r="D88" s="90"/>
      <c r="E88" s="86"/>
      <c r="F88" s="83"/>
      <c r="G88" s="83">
        <v>33</v>
      </c>
      <c r="H88" s="83">
        <f>J2</f>
        <v>8.09</v>
      </c>
      <c r="I88" s="83">
        <f>S2</f>
        <v>1</v>
      </c>
      <c r="J88" s="83">
        <f t="shared" si="22"/>
        <v>42.09</v>
      </c>
      <c r="K88" s="83">
        <f>U2</f>
        <v>0.8</v>
      </c>
      <c r="L88" s="87">
        <f>AE24</f>
        <v>0.97200000000000009</v>
      </c>
      <c r="M88" s="83">
        <f>AG32</f>
        <v>0.57000000000000006</v>
      </c>
      <c r="N88" s="88">
        <f t="shared" si="23"/>
        <v>44.432000000000002</v>
      </c>
      <c r="O88" s="83">
        <v>1</v>
      </c>
      <c r="P88" s="87">
        <f t="shared" si="24"/>
        <v>44.432000000000002</v>
      </c>
      <c r="Q88" s="87">
        <v>1.0609999999999999</v>
      </c>
      <c r="R88" s="87">
        <f t="shared" si="25"/>
        <v>47.142352000000002</v>
      </c>
      <c r="S88" s="87">
        <v>1.4</v>
      </c>
      <c r="T88" s="87">
        <f t="shared" si="26"/>
        <v>65.999292800000006</v>
      </c>
      <c r="U88" s="87">
        <f t="shared" si="27"/>
        <v>18.856940800000004</v>
      </c>
      <c r="V88" s="87">
        <v>29.5</v>
      </c>
      <c r="W88" s="96">
        <f t="shared" si="28"/>
        <v>2.2372641627118646</v>
      </c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1:38" s="108" customFormat="1">
      <c r="A89" s="93" t="s">
        <v>315</v>
      </c>
      <c r="E89" s="86"/>
      <c r="F89" s="83"/>
      <c r="G89" s="83">
        <v>12</v>
      </c>
      <c r="H89" s="83">
        <f>P2</f>
        <v>7.59</v>
      </c>
      <c r="I89" s="83">
        <f>S2</f>
        <v>1</v>
      </c>
      <c r="J89" s="83">
        <f t="shared" si="22"/>
        <v>20.59</v>
      </c>
      <c r="K89" s="83">
        <f>AF7</f>
        <v>0.8</v>
      </c>
      <c r="L89" s="87">
        <f>AA14</f>
        <v>0.78</v>
      </c>
      <c r="M89" s="87">
        <f>AA21</f>
        <v>0.84240000000000004</v>
      </c>
      <c r="N89" s="88">
        <f t="shared" si="23"/>
        <v>23.0124</v>
      </c>
      <c r="O89" s="83">
        <v>1</v>
      </c>
      <c r="P89" s="87">
        <f t="shared" si="24"/>
        <v>23.0124</v>
      </c>
      <c r="Q89" s="87">
        <v>1.0609999999999999</v>
      </c>
      <c r="R89" s="87">
        <f t="shared" si="25"/>
        <v>24.416156399999998</v>
      </c>
      <c r="S89" s="87">
        <v>1.4</v>
      </c>
      <c r="T89" s="87">
        <f t="shared" si="26"/>
        <v>34.182618959999992</v>
      </c>
      <c r="U89" s="87">
        <f t="shared" si="27"/>
        <v>9.7664625599999937</v>
      </c>
      <c r="V89" s="87">
        <v>29.5</v>
      </c>
      <c r="W89" s="96">
        <f t="shared" si="28"/>
        <v>1.1587328461016946</v>
      </c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1:38" s="108" customFormat="1">
      <c r="A90" s="93"/>
      <c r="E90" s="86"/>
      <c r="F90" s="83"/>
      <c r="G90" s="83"/>
      <c r="H90" s="83"/>
      <c r="I90" s="83"/>
      <c r="J90" s="83"/>
      <c r="K90" s="83"/>
      <c r="L90" s="87"/>
      <c r="M90" s="83"/>
      <c r="N90" s="88"/>
      <c r="O90" s="83"/>
      <c r="P90" s="87"/>
      <c r="Q90" s="87"/>
      <c r="R90" s="87"/>
      <c r="S90" s="87"/>
      <c r="T90" s="87"/>
      <c r="U90" s="87"/>
      <c r="V90" s="87"/>
      <c r="W90" s="96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1:38" s="108" customFormat="1">
      <c r="A91" s="93"/>
      <c r="E91" s="86"/>
      <c r="F91" s="83"/>
      <c r="G91" s="83"/>
      <c r="H91" s="83"/>
      <c r="I91" s="83"/>
      <c r="J91" s="83"/>
      <c r="K91" s="83"/>
      <c r="L91" s="87"/>
      <c r="M91" s="83"/>
      <c r="N91" s="88"/>
      <c r="O91" s="83"/>
      <c r="P91" s="87"/>
      <c r="Q91" s="87"/>
      <c r="R91" s="87"/>
      <c r="S91" s="87"/>
      <c r="T91" s="87"/>
      <c r="U91" s="87"/>
      <c r="V91" s="87"/>
      <c r="W91" s="96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1:38">
      <c r="A92" s="50"/>
      <c r="B92" s="51"/>
      <c r="C92" s="51"/>
      <c r="D92" s="51"/>
      <c r="E92" s="86"/>
      <c r="F92" s="86"/>
      <c r="G92" s="83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51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1:38">
      <c r="A93" s="50"/>
      <c r="B93" s="90"/>
      <c r="C93" s="90"/>
      <c r="D93" s="90"/>
      <c r="E93" s="86"/>
      <c r="F93" s="86"/>
      <c r="G93" s="83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90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1:38" ht="19.5">
      <c r="A94" s="94" t="s">
        <v>231</v>
      </c>
      <c r="B94" s="90"/>
      <c r="C94" s="90"/>
      <c r="D94" s="90"/>
      <c r="E94" s="86"/>
      <c r="F94" s="83" t="s">
        <v>242</v>
      </c>
      <c r="G94" s="83" t="s">
        <v>243</v>
      </c>
      <c r="H94" s="83" t="s">
        <v>244</v>
      </c>
      <c r="I94" s="83" t="s">
        <v>245</v>
      </c>
      <c r="J94" s="83" t="s">
        <v>246</v>
      </c>
      <c r="K94" s="83" t="s">
        <v>268</v>
      </c>
      <c r="L94" s="83" t="s">
        <v>176</v>
      </c>
      <c r="M94" s="83" t="s">
        <v>177</v>
      </c>
      <c r="N94" s="95" t="s">
        <v>272</v>
      </c>
      <c r="O94" s="83" t="s">
        <v>117</v>
      </c>
      <c r="P94" s="95" t="s">
        <v>272</v>
      </c>
      <c r="Q94" s="83" t="s">
        <v>178</v>
      </c>
      <c r="R94" s="83" t="s">
        <v>247</v>
      </c>
      <c r="S94" s="83" t="s">
        <v>179</v>
      </c>
      <c r="T94" s="83" t="s">
        <v>248</v>
      </c>
      <c r="U94" s="83" t="s">
        <v>181</v>
      </c>
      <c r="V94" s="83" t="s">
        <v>180</v>
      </c>
      <c r="W94" s="95" t="s">
        <v>249</v>
      </c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1:38">
      <c r="A95" s="93" t="s">
        <v>232</v>
      </c>
      <c r="B95" s="90"/>
      <c r="C95" s="90"/>
      <c r="D95" s="90"/>
      <c r="E95" s="86"/>
      <c r="F95" s="83">
        <v>1.5</v>
      </c>
      <c r="G95" s="87">
        <v>2.35</v>
      </c>
      <c r="H95" s="83">
        <f>L2</f>
        <v>6.17</v>
      </c>
      <c r="I95" s="83">
        <f>S2</f>
        <v>1</v>
      </c>
      <c r="J95" s="103">
        <f t="shared" ref="J95:J104" si="29">I95+H95+G95+F95</f>
        <v>11.02</v>
      </c>
      <c r="K95" s="83">
        <f>U2</f>
        <v>0.8</v>
      </c>
      <c r="L95" s="87">
        <f>AB23</f>
        <v>0.75600000000000001</v>
      </c>
      <c r="M95" s="83">
        <f>AF31</f>
        <v>0.51</v>
      </c>
      <c r="N95" s="101">
        <f>M95+L95+K95+J95</f>
        <v>13.085999999999999</v>
      </c>
      <c r="O95" s="83">
        <v>1</v>
      </c>
      <c r="P95" s="87">
        <f>O95*N95</f>
        <v>13.085999999999999</v>
      </c>
      <c r="Q95" s="83">
        <v>1.0609999999999999</v>
      </c>
      <c r="R95" s="87">
        <f>Q95*P95</f>
        <v>13.884245999999997</v>
      </c>
      <c r="S95" s="83">
        <v>1.5</v>
      </c>
      <c r="T95" s="87">
        <f>S95*R95</f>
        <v>20.826368999999996</v>
      </c>
      <c r="U95" s="87">
        <f>T95-R95</f>
        <v>6.9421229999999987</v>
      </c>
      <c r="V95" s="87">
        <v>29.5</v>
      </c>
      <c r="W95" s="97">
        <f>T95/V95</f>
        <v>0.70597861016949137</v>
      </c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1:38">
      <c r="A96" s="93" t="s">
        <v>233</v>
      </c>
      <c r="B96" s="90"/>
      <c r="C96" s="90"/>
      <c r="D96" s="90"/>
      <c r="E96" s="86"/>
      <c r="F96" s="83">
        <v>1.5</v>
      </c>
      <c r="G96" s="83">
        <v>3.53</v>
      </c>
      <c r="H96" s="83">
        <f>J2</f>
        <v>8.09</v>
      </c>
      <c r="I96" s="83">
        <f>S2</f>
        <v>1</v>
      </c>
      <c r="J96" s="103">
        <f t="shared" si="29"/>
        <v>14.12</v>
      </c>
      <c r="K96" s="83">
        <f>U2</f>
        <v>0.8</v>
      </c>
      <c r="L96" s="87">
        <f>AC23</f>
        <v>0.75600000000000001</v>
      </c>
      <c r="M96" s="83">
        <f>AF31</f>
        <v>0.51</v>
      </c>
      <c r="N96" s="101">
        <f t="shared" ref="N96:N104" si="30">M96+L96+K96+J96</f>
        <v>16.186</v>
      </c>
      <c r="O96" s="83">
        <v>1</v>
      </c>
      <c r="P96" s="87">
        <f t="shared" ref="P96:P104" si="31">O96*N96</f>
        <v>16.186</v>
      </c>
      <c r="Q96" s="83">
        <v>1.0609999999999999</v>
      </c>
      <c r="R96" s="87">
        <f t="shared" ref="R96:R104" si="32">Q96*P96</f>
        <v>17.173345999999999</v>
      </c>
      <c r="S96" s="83">
        <v>1.5</v>
      </c>
      <c r="T96" s="87">
        <f t="shared" ref="T96:T104" si="33">S96*R96</f>
        <v>25.760019</v>
      </c>
      <c r="U96" s="87">
        <f t="shared" ref="U96:U104" si="34">T96-R96</f>
        <v>8.5866730000000011</v>
      </c>
      <c r="V96" s="87">
        <v>29.5</v>
      </c>
      <c r="W96" s="97">
        <f t="shared" ref="W96:W104" si="35">T96/V96</f>
        <v>0.8732209830508475</v>
      </c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1:38">
      <c r="A97" s="93" t="s">
        <v>234</v>
      </c>
      <c r="B97" s="90"/>
      <c r="C97" s="90"/>
      <c r="D97" s="90"/>
      <c r="E97" s="86"/>
      <c r="F97" s="83">
        <v>1.5</v>
      </c>
      <c r="G97" s="83">
        <v>4.75</v>
      </c>
      <c r="H97" s="83">
        <f>H2</f>
        <v>9.41</v>
      </c>
      <c r="I97" s="83">
        <f>S2</f>
        <v>1</v>
      </c>
      <c r="J97" s="103">
        <f t="shared" si="29"/>
        <v>16.66</v>
      </c>
      <c r="K97" s="83">
        <f>U2</f>
        <v>0.8</v>
      </c>
      <c r="L97" s="87">
        <f>AD24</f>
        <v>0.90720000000000001</v>
      </c>
      <c r="M97" s="83">
        <f>AG32</f>
        <v>0.57000000000000006</v>
      </c>
      <c r="N97" s="101">
        <f t="shared" si="30"/>
        <v>18.937200000000001</v>
      </c>
      <c r="O97" s="83">
        <v>1</v>
      </c>
      <c r="P97" s="87">
        <f t="shared" si="31"/>
        <v>18.937200000000001</v>
      </c>
      <c r="Q97" s="83">
        <v>1.0609999999999999</v>
      </c>
      <c r="R97" s="87">
        <f t="shared" si="32"/>
        <v>20.0923692</v>
      </c>
      <c r="S97" s="83">
        <v>1.5</v>
      </c>
      <c r="T97" s="87">
        <f t="shared" si="33"/>
        <v>30.1385538</v>
      </c>
      <c r="U97" s="87">
        <f t="shared" si="34"/>
        <v>10.0461846</v>
      </c>
      <c r="V97" s="87">
        <v>29.5</v>
      </c>
      <c r="W97" s="97">
        <f t="shared" si="35"/>
        <v>1.0216458915254238</v>
      </c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1:38">
      <c r="A98" s="93" t="s">
        <v>235</v>
      </c>
      <c r="B98" s="90"/>
      <c r="C98" s="90"/>
      <c r="D98" s="90"/>
      <c r="E98" s="86"/>
      <c r="F98" s="83">
        <v>1.5</v>
      </c>
      <c r="G98" s="83">
        <v>12.57</v>
      </c>
      <c r="H98" s="83">
        <f>F2</f>
        <v>10.88</v>
      </c>
      <c r="I98" s="83">
        <f>S2</f>
        <v>1</v>
      </c>
      <c r="J98" s="103">
        <f t="shared" si="29"/>
        <v>25.950000000000003</v>
      </c>
      <c r="K98" s="83">
        <f>U2</f>
        <v>0.8</v>
      </c>
      <c r="L98" s="87">
        <f>AE25</f>
        <v>1.2312000000000001</v>
      </c>
      <c r="M98" s="83">
        <f>AG33</f>
        <v>0.75</v>
      </c>
      <c r="N98" s="101">
        <f t="shared" si="30"/>
        <v>28.731200000000001</v>
      </c>
      <c r="O98" s="83">
        <v>1</v>
      </c>
      <c r="P98" s="87">
        <f t="shared" si="31"/>
        <v>28.731200000000001</v>
      </c>
      <c r="Q98" s="83">
        <v>1.0609999999999999</v>
      </c>
      <c r="R98" s="87">
        <f t="shared" si="32"/>
        <v>30.483803200000001</v>
      </c>
      <c r="S98" s="83">
        <v>1.5</v>
      </c>
      <c r="T98" s="87">
        <f t="shared" si="33"/>
        <v>45.725704800000003</v>
      </c>
      <c r="U98" s="87">
        <f t="shared" si="34"/>
        <v>15.241901600000002</v>
      </c>
      <c r="V98" s="87">
        <v>29.5</v>
      </c>
      <c r="W98" s="97">
        <f t="shared" si="35"/>
        <v>1.5500238915254239</v>
      </c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1:38">
      <c r="A99" s="93" t="s">
        <v>236</v>
      </c>
      <c r="B99" s="90"/>
      <c r="C99" s="90"/>
      <c r="D99" s="90"/>
      <c r="E99" s="86"/>
      <c r="F99" s="83">
        <v>1.5</v>
      </c>
      <c r="G99" s="83">
        <v>4.87</v>
      </c>
      <c r="H99" s="83">
        <f>L2</f>
        <v>6.17</v>
      </c>
      <c r="I99" s="83">
        <f>S2</f>
        <v>1</v>
      </c>
      <c r="J99" s="103">
        <f t="shared" si="29"/>
        <v>13.54</v>
      </c>
      <c r="K99" s="83">
        <f>U2</f>
        <v>0.8</v>
      </c>
      <c r="L99" s="87">
        <f>AC23</f>
        <v>0.75600000000000001</v>
      </c>
      <c r="M99" s="83">
        <f>AF31</f>
        <v>0.51</v>
      </c>
      <c r="N99" s="101">
        <f t="shared" si="30"/>
        <v>15.605999999999998</v>
      </c>
      <c r="O99" s="83">
        <v>1</v>
      </c>
      <c r="P99" s="87">
        <f t="shared" si="31"/>
        <v>15.605999999999998</v>
      </c>
      <c r="Q99" s="83">
        <v>1.0609999999999999</v>
      </c>
      <c r="R99" s="87">
        <f t="shared" si="32"/>
        <v>16.557965999999997</v>
      </c>
      <c r="S99" s="83">
        <v>1.5</v>
      </c>
      <c r="T99" s="87">
        <f t="shared" si="33"/>
        <v>24.836948999999997</v>
      </c>
      <c r="U99" s="87">
        <f t="shared" si="34"/>
        <v>8.2789830000000002</v>
      </c>
      <c r="V99" s="87">
        <v>29.5</v>
      </c>
      <c r="W99" s="97">
        <f t="shared" si="35"/>
        <v>0.84193047457627113</v>
      </c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1:38">
      <c r="A100" s="93" t="s">
        <v>237</v>
      </c>
      <c r="B100" s="90"/>
      <c r="C100" s="90"/>
      <c r="D100" s="90"/>
      <c r="E100" s="86"/>
      <c r="F100" s="83">
        <v>1.5</v>
      </c>
      <c r="G100" s="83">
        <v>2.5</v>
      </c>
      <c r="H100" s="83">
        <f>L2</f>
        <v>6.17</v>
      </c>
      <c r="I100" s="83">
        <f>S2</f>
        <v>1</v>
      </c>
      <c r="J100" s="103">
        <f t="shared" si="29"/>
        <v>11.17</v>
      </c>
      <c r="K100" s="83">
        <f>U2</f>
        <v>0.8</v>
      </c>
      <c r="L100" s="87">
        <f>AC23</f>
        <v>0.75600000000000001</v>
      </c>
      <c r="M100" s="83">
        <f>AF31</f>
        <v>0.51</v>
      </c>
      <c r="N100" s="101">
        <f t="shared" si="30"/>
        <v>13.236000000000001</v>
      </c>
      <c r="O100" s="83">
        <v>1</v>
      </c>
      <c r="P100" s="87">
        <f t="shared" si="31"/>
        <v>13.236000000000001</v>
      </c>
      <c r="Q100" s="83">
        <v>1.0609999999999999</v>
      </c>
      <c r="R100" s="87">
        <f t="shared" si="32"/>
        <v>14.043396</v>
      </c>
      <c r="S100" s="83">
        <v>1.5</v>
      </c>
      <c r="T100" s="87">
        <f t="shared" si="33"/>
        <v>21.065093999999998</v>
      </c>
      <c r="U100" s="87">
        <f t="shared" si="34"/>
        <v>7.0216979999999989</v>
      </c>
      <c r="V100" s="87">
        <v>29.5</v>
      </c>
      <c r="W100" s="97">
        <f t="shared" si="35"/>
        <v>0.71407098305084737</v>
      </c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1:38">
      <c r="A101" s="93" t="s">
        <v>238</v>
      </c>
      <c r="B101" s="90"/>
      <c r="C101" s="90"/>
      <c r="D101" s="90"/>
      <c r="E101" s="86"/>
      <c r="F101" s="83">
        <v>1.5</v>
      </c>
      <c r="G101" s="83">
        <v>4.37</v>
      </c>
      <c r="H101" s="83">
        <f>L2</f>
        <v>6.17</v>
      </c>
      <c r="I101" s="83">
        <f>S2</f>
        <v>1</v>
      </c>
      <c r="J101" s="103">
        <f t="shared" si="29"/>
        <v>13.04</v>
      </c>
      <c r="K101" s="83">
        <f>U2</f>
        <v>0.8</v>
      </c>
      <c r="L101" s="87">
        <f>AD23</f>
        <v>0.78839999999999999</v>
      </c>
      <c r="M101" s="83">
        <f>AG31</f>
        <v>0.57000000000000006</v>
      </c>
      <c r="N101" s="101">
        <f t="shared" si="30"/>
        <v>15.198399999999999</v>
      </c>
      <c r="O101" s="83">
        <v>1</v>
      </c>
      <c r="P101" s="87">
        <f t="shared" si="31"/>
        <v>15.198399999999999</v>
      </c>
      <c r="Q101" s="83">
        <v>1.0609999999999999</v>
      </c>
      <c r="R101" s="87">
        <f t="shared" si="32"/>
        <v>16.125502399999998</v>
      </c>
      <c r="S101" s="83">
        <v>1.5</v>
      </c>
      <c r="T101" s="87">
        <f t="shared" si="33"/>
        <v>24.188253599999996</v>
      </c>
      <c r="U101" s="87">
        <f t="shared" si="34"/>
        <v>8.0627511999999975</v>
      </c>
      <c r="V101" s="87">
        <v>29.5</v>
      </c>
      <c r="W101" s="97">
        <f t="shared" si="35"/>
        <v>0.81994079999999991</v>
      </c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1:38">
      <c r="A102" s="93" t="s">
        <v>239</v>
      </c>
      <c r="B102" s="90"/>
      <c r="C102" s="90"/>
      <c r="D102" s="90"/>
      <c r="E102" s="86"/>
      <c r="F102" s="83">
        <v>1.5</v>
      </c>
      <c r="G102" s="83">
        <v>4.38</v>
      </c>
      <c r="H102" s="83">
        <f>J2</f>
        <v>8.09</v>
      </c>
      <c r="I102" s="83">
        <f>S2</f>
        <v>1</v>
      </c>
      <c r="J102" s="103">
        <f t="shared" si="29"/>
        <v>14.969999999999999</v>
      </c>
      <c r="K102" s="83">
        <f>U2</f>
        <v>0.8</v>
      </c>
      <c r="L102" s="87">
        <f>AE24</f>
        <v>0.97200000000000009</v>
      </c>
      <c r="M102" s="83">
        <f>AG32</f>
        <v>0.57000000000000006</v>
      </c>
      <c r="N102" s="101">
        <f t="shared" si="30"/>
        <v>17.311999999999998</v>
      </c>
      <c r="O102" s="83">
        <v>1</v>
      </c>
      <c r="P102" s="87">
        <f t="shared" si="31"/>
        <v>17.311999999999998</v>
      </c>
      <c r="Q102" s="83">
        <v>1.0609999999999999</v>
      </c>
      <c r="R102" s="87">
        <f t="shared" si="32"/>
        <v>18.368031999999996</v>
      </c>
      <c r="S102" s="83">
        <v>1.5</v>
      </c>
      <c r="T102" s="87">
        <f t="shared" si="33"/>
        <v>27.552047999999992</v>
      </c>
      <c r="U102" s="87">
        <f t="shared" si="34"/>
        <v>9.1840159999999962</v>
      </c>
      <c r="V102" s="87">
        <v>29.5</v>
      </c>
      <c r="W102" s="97">
        <f t="shared" si="35"/>
        <v>0.93396772881355905</v>
      </c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1:38">
      <c r="A103" s="93" t="s">
        <v>240</v>
      </c>
      <c r="B103" s="90"/>
      <c r="C103" s="90"/>
      <c r="D103" s="90"/>
      <c r="E103" s="86"/>
      <c r="F103" s="83">
        <v>1.5</v>
      </c>
      <c r="G103" s="83">
        <v>6.06</v>
      </c>
      <c r="H103" s="83">
        <f>H2</f>
        <v>9.41</v>
      </c>
      <c r="I103" s="83">
        <f>S2</f>
        <v>1</v>
      </c>
      <c r="J103" s="103">
        <f t="shared" si="29"/>
        <v>17.97</v>
      </c>
      <c r="K103" s="83">
        <f>U2</f>
        <v>0.8</v>
      </c>
      <c r="L103" s="87">
        <f>AE24</f>
        <v>0.97200000000000009</v>
      </c>
      <c r="M103" s="83">
        <f>AG32</f>
        <v>0.57000000000000006</v>
      </c>
      <c r="N103" s="101">
        <f t="shared" si="30"/>
        <v>20.311999999999998</v>
      </c>
      <c r="O103" s="83">
        <v>1</v>
      </c>
      <c r="P103" s="87">
        <f t="shared" si="31"/>
        <v>20.311999999999998</v>
      </c>
      <c r="Q103" s="83">
        <v>1.0609999999999999</v>
      </c>
      <c r="R103" s="87">
        <f t="shared" si="32"/>
        <v>21.551031999999996</v>
      </c>
      <c r="S103" s="83">
        <v>1.5</v>
      </c>
      <c r="T103" s="87">
        <f t="shared" si="33"/>
        <v>32.326547999999995</v>
      </c>
      <c r="U103" s="87">
        <f t="shared" si="34"/>
        <v>10.775516</v>
      </c>
      <c r="V103" s="87">
        <v>29.5</v>
      </c>
      <c r="W103" s="97">
        <f t="shared" si="35"/>
        <v>1.0958151864406778</v>
      </c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1:38">
      <c r="A104" s="93" t="s">
        <v>241</v>
      </c>
      <c r="B104" s="51"/>
      <c r="C104" s="51"/>
      <c r="D104" s="51"/>
      <c r="E104" s="86"/>
      <c r="F104" s="83">
        <v>1.5</v>
      </c>
      <c r="G104" s="83">
        <v>13.92</v>
      </c>
      <c r="H104" s="83">
        <f>F2</f>
        <v>10.88</v>
      </c>
      <c r="I104" s="83">
        <f>S2</f>
        <v>1</v>
      </c>
      <c r="J104" s="103">
        <f t="shared" si="29"/>
        <v>27.3</v>
      </c>
      <c r="K104" s="83">
        <f>U2</f>
        <v>0.8</v>
      </c>
      <c r="L104" s="87">
        <f>AF25</f>
        <v>1.296</v>
      </c>
      <c r="M104" s="83">
        <f>AG33</f>
        <v>0.75</v>
      </c>
      <c r="N104" s="101">
        <f t="shared" si="30"/>
        <v>30.146000000000001</v>
      </c>
      <c r="O104" s="83">
        <v>1</v>
      </c>
      <c r="P104" s="87">
        <f t="shared" si="31"/>
        <v>30.146000000000001</v>
      </c>
      <c r="Q104" s="83">
        <v>1.0609999999999999</v>
      </c>
      <c r="R104" s="87">
        <f t="shared" si="32"/>
        <v>31.984905999999999</v>
      </c>
      <c r="S104" s="83">
        <v>1.5</v>
      </c>
      <c r="T104" s="87">
        <f t="shared" si="33"/>
        <v>47.977359</v>
      </c>
      <c r="U104" s="87">
        <f t="shared" si="34"/>
        <v>15.992453000000001</v>
      </c>
      <c r="V104" s="87">
        <v>29.5</v>
      </c>
      <c r="W104" s="97">
        <f t="shared" si="35"/>
        <v>1.6263511525423728</v>
      </c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1:38">
      <c r="A105" s="93" t="s">
        <v>310</v>
      </c>
      <c r="B105" s="51"/>
      <c r="C105" s="51"/>
      <c r="D105" s="51"/>
      <c r="E105" s="86"/>
      <c r="F105" s="83"/>
      <c r="G105" s="83"/>
      <c r="H105" s="83"/>
      <c r="I105" s="83"/>
      <c r="J105" s="83">
        <v>15</v>
      </c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52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1:38" s="108" customFormat="1">
      <c r="A106" s="93"/>
      <c r="E106" s="86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1:38" s="108" customFormat="1">
      <c r="A107" s="93"/>
      <c r="E107" s="86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1:38" s="108" customFormat="1" ht="21">
      <c r="A108" s="39" t="s">
        <v>316</v>
      </c>
      <c r="E108" s="95" t="s">
        <v>320</v>
      </c>
      <c r="F108" s="95" t="s">
        <v>321</v>
      </c>
      <c r="G108" s="95" t="s">
        <v>322</v>
      </c>
      <c r="H108" s="95" t="s">
        <v>77</v>
      </c>
      <c r="I108" s="95" t="s">
        <v>81</v>
      </c>
      <c r="J108" s="95" t="s">
        <v>83</v>
      </c>
      <c r="K108" s="95" t="s">
        <v>268</v>
      </c>
      <c r="L108" s="95" t="s">
        <v>84</v>
      </c>
      <c r="M108" s="95" t="s">
        <v>85</v>
      </c>
      <c r="N108" s="95" t="s">
        <v>272</v>
      </c>
      <c r="O108" s="95" t="s">
        <v>107</v>
      </c>
      <c r="P108" s="95" t="s">
        <v>272</v>
      </c>
      <c r="Q108" s="95" t="s">
        <v>87</v>
      </c>
      <c r="R108" s="95" t="s">
        <v>105</v>
      </c>
      <c r="S108" s="95" t="s">
        <v>88</v>
      </c>
      <c r="T108" s="95" t="s">
        <v>106</v>
      </c>
      <c r="U108" s="95" t="s">
        <v>89</v>
      </c>
      <c r="V108" s="95" t="s">
        <v>125</v>
      </c>
      <c r="W108" s="95" t="s">
        <v>126</v>
      </c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1:38" s="108" customFormat="1">
      <c r="A109" s="108" t="s">
        <v>317</v>
      </c>
      <c r="E109" s="95">
        <v>11.98</v>
      </c>
      <c r="F109" s="95">
        <v>4.66</v>
      </c>
      <c r="G109" s="95">
        <v>2</v>
      </c>
      <c r="H109" s="83">
        <f>J2</f>
        <v>8.09</v>
      </c>
      <c r="I109" s="83">
        <f>S2</f>
        <v>1</v>
      </c>
      <c r="J109" s="83">
        <f>I109+H109+G109+F109+E109</f>
        <v>27.73</v>
      </c>
      <c r="K109" s="83">
        <f>U2</f>
        <v>0.8</v>
      </c>
      <c r="L109" s="87">
        <f>AE24</f>
        <v>0.97200000000000009</v>
      </c>
      <c r="M109" s="83">
        <f>AG32</f>
        <v>0.57000000000000006</v>
      </c>
      <c r="N109" s="101">
        <f t="shared" ref="N109:N118" si="36">M109+L109+K109+J109</f>
        <v>30.072000000000003</v>
      </c>
      <c r="O109" s="83">
        <v>1</v>
      </c>
      <c r="P109" s="87">
        <f t="shared" ref="P109:P118" si="37">O109*N109</f>
        <v>30.072000000000003</v>
      </c>
      <c r="Q109" s="83">
        <v>1.0609999999999999</v>
      </c>
      <c r="R109" s="87">
        <f t="shared" ref="R109:R118" si="38">Q109*P109</f>
        <v>31.906392</v>
      </c>
      <c r="S109" s="83">
        <v>1.4</v>
      </c>
      <c r="T109" s="87">
        <f t="shared" ref="T109:T118" si="39">S109*R109</f>
        <v>44.668948799999995</v>
      </c>
      <c r="U109" s="87">
        <f t="shared" ref="U109:U118" si="40">T109-R109</f>
        <v>12.762556799999995</v>
      </c>
      <c r="V109" s="87">
        <v>29.5</v>
      </c>
      <c r="W109" s="97">
        <f t="shared" ref="W109:W118" si="41">T109/V109</f>
        <v>1.514201654237288</v>
      </c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1:38" s="108" customFormat="1">
      <c r="A110" s="108" t="s">
        <v>318</v>
      </c>
      <c r="E110" s="95">
        <v>11.98</v>
      </c>
      <c r="F110" s="95">
        <v>4.66</v>
      </c>
      <c r="G110" s="95">
        <v>2</v>
      </c>
      <c r="H110" s="83">
        <f>J2</f>
        <v>8.09</v>
      </c>
      <c r="I110" s="83">
        <f>S2</f>
        <v>1</v>
      </c>
      <c r="J110" s="83">
        <f t="shared" ref="J110:J118" si="42">I110+H110+G110+F110+E110</f>
        <v>27.73</v>
      </c>
      <c r="K110" s="83">
        <f>U2</f>
        <v>0.8</v>
      </c>
      <c r="L110" s="87">
        <f>AE24</f>
        <v>0.97200000000000009</v>
      </c>
      <c r="M110" s="83">
        <f>AG32</f>
        <v>0.57000000000000006</v>
      </c>
      <c r="N110" s="101">
        <f t="shared" si="36"/>
        <v>30.072000000000003</v>
      </c>
      <c r="O110" s="83">
        <v>1</v>
      </c>
      <c r="P110" s="87">
        <f t="shared" si="37"/>
        <v>30.072000000000003</v>
      </c>
      <c r="Q110" s="83">
        <v>1.0609999999999999</v>
      </c>
      <c r="R110" s="87">
        <f t="shared" si="38"/>
        <v>31.906392</v>
      </c>
      <c r="S110" s="83">
        <v>1.4</v>
      </c>
      <c r="T110" s="87">
        <f t="shared" si="39"/>
        <v>44.668948799999995</v>
      </c>
      <c r="U110" s="87">
        <f t="shared" si="40"/>
        <v>12.762556799999995</v>
      </c>
      <c r="V110" s="87">
        <v>29.5</v>
      </c>
      <c r="W110" s="97">
        <f t="shared" si="41"/>
        <v>1.514201654237288</v>
      </c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1:38" s="108" customFormat="1">
      <c r="A111" s="108" t="s">
        <v>319</v>
      </c>
      <c r="E111" s="95">
        <v>11.86</v>
      </c>
      <c r="F111" s="95">
        <v>4.66</v>
      </c>
      <c r="G111" s="95">
        <v>2</v>
      </c>
      <c r="H111" s="83">
        <f>J2</f>
        <v>8.09</v>
      </c>
      <c r="I111" s="83">
        <f>S2</f>
        <v>1</v>
      </c>
      <c r="J111" s="83">
        <f t="shared" si="42"/>
        <v>27.61</v>
      </c>
      <c r="K111" s="83">
        <f>U2</f>
        <v>0.8</v>
      </c>
      <c r="L111" s="87">
        <f>AE24</f>
        <v>0.97200000000000009</v>
      </c>
      <c r="M111" s="83">
        <f>AG32</f>
        <v>0.57000000000000006</v>
      </c>
      <c r="N111" s="101">
        <f t="shared" si="36"/>
        <v>29.951999999999998</v>
      </c>
      <c r="O111" s="83">
        <v>1</v>
      </c>
      <c r="P111" s="87">
        <f t="shared" si="37"/>
        <v>29.951999999999998</v>
      </c>
      <c r="Q111" s="83">
        <v>1.0609999999999999</v>
      </c>
      <c r="R111" s="87">
        <f t="shared" si="38"/>
        <v>31.779071999999996</v>
      </c>
      <c r="S111" s="83">
        <v>1.4</v>
      </c>
      <c r="T111" s="87">
        <f t="shared" si="39"/>
        <v>44.490700799999992</v>
      </c>
      <c r="U111" s="87">
        <f t="shared" si="40"/>
        <v>12.711628799999996</v>
      </c>
      <c r="V111" s="87">
        <v>29.5</v>
      </c>
      <c r="W111" s="97">
        <f t="shared" si="41"/>
        <v>1.508159349152542</v>
      </c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1:38" s="108" customFormat="1">
      <c r="A112" s="108" t="s">
        <v>167</v>
      </c>
      <c r="E112" s="95">
        <v>11.88</v>
      </c>
      <c r="F112" s="95">
        <v>4.66</v>
      </c>
      <c r="G112" s="95">
        <v>2</v>
      </c>
      <c r="H112" s="83">
        <f>J2</f>
        <v>8.09</v>
      </c>
      <c r="I112" s="83">
        <f>S2</f>
        <v>1</v>
      </c>
      <c r="J112" s="83">
        <f t="shared" si="42"/>
        <v>27.630000000000003</v>
      </c>
      <c r="K112" s="83">
        <f>U2</f>
        <v>0.8</v>
      </c>
      <c r="L112" s="87">
        <f>AE24</f>
        <v>0.97200000000000009</v>
      </c>
      <c r="M112" s="83">
        <f>AG32</f>
        <v>0.57000000000000006</v>
      </c>
      <c r="N112" s="101">
        <f t="shared" si="36"/>
        <v>29.972000000000001</v>
      </c>
      <c r="O112" s="83">
        <v>1</v>
      </c>
      <c r="P112" s="87">
        <f t="shared" si="37"/>
        <v>29.972000000000001</v>
      </c>
      <c r="Q112" s="83">
        <v>1.0609999999999999</v>
      </c>
      <c r="R112" s="87">
        <f t="shared" si="38"/>
        <v>31.800291999999999</v>
      </c>
      <c r="S112" s="83">
        <v>1.4</v>
      </c>
      <c r="T112" s="87">
        <f t="shared" si="39"/>
        <v>44.520408799999998</v>
      </c>
      <c r="U112" s="87">
        <f t="shared" si="40"/>
        <v>12.7201168</v>
      </c>
      <c r="V112" s="87">
        <v>29.5</v>
      </c>
      <c r="W112" s="97">
        <f t="shared" si="41"/>
        <v>1.5091664</v>
      </c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1:38" s="108" customFormat="1">
      <c r="A113" s="108" t="s">
        <v>168</v>
      </c>
      <c r="E113" s="95">
        <v>11.86</v>
      </c>
      <c r="F113" s="95">
        <v>4.66</v>
      </c>
      <c r="G113" s="95">
        <v>2</v>
      </c>
      <c r="H113" s="83">
        <f>H2</f>
        <v>9.41</v>
      </c>
      <c r="I113" s="83">
        <f>S2</f>
        <v>1</v>
      </c>
      <c r="J113" s="83">
        <f t="shared" si="42"/>
        <v>28.93</v>
      </c>
      <c r="K113" s="83">
        <f>U2</f>
        <v>0.8</v>
      </c>
      <c r="L113" s="87">
        <f>AE25</f>
        <v>1.2312000000000001</v>
      </c>
      <c r="M113" s="83">
        <f>AG33</f>
        <v>0.75</v>
      </c>
      <c r="N113" s="101">
        <f t="shared" si="36"/>
        <v>31.711199999999998</v>
      </c>
      <c r="O113" s="83">
        <v>1</v>
      </c>
      <c r="P113" s="87">
        <f t="shared" si="37"/>
        <v>31.711199999999998</v>
      </c>
      <c r="Q113" s="83">
        <v>1.0609999999999999</v>
      </c>
      <c r="R113" s="87">
        <f t="shared" si="38"/>
        <v>33.645583199999997</v>
      </c>
      <c r="S113" s="83">
        <v>1.4</v>
      </c>
      <c r="T113" s="87">
        <f t="shared" si="39"/>
        <v>47.103816479999992</v>
      </c>
      <c r="U113" s="87">
        <f t="shared" si="40"/>
        <v>13.458233279999995</v>
      </c>
      <c r="V113" s="87">
        <v>29.5</v>
      </c>
      <c r="W113" s="97">
        <f t="shared" si="41"/>
        <v>1.5967395416949151</v>
      </c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1:38" s="108" customFormat="1">
      <c r="A114" s="108" t="s">
        <v>169</v>
      </c>
      <c r="E114" s="95">
        <v>12.42</v>
      </c>
      <c r="F114" s="95">
        <v>4.66</v>
      </c>
      <c r="G114" s="95">
        <v>2</v>
      </c>
      <c r="H114" s="83">
        <f>H2</f>
        <v>9.41</v>
      </c>
      <c r="I114" s="83">
        <f>S2</f>
        <v>1</v>
      </c>
      <c r="J114" s="83">
        <f t="shared" si="42"/>
        <v>29.490000000000002</v>
      </c>
      <c r="K114" s="83">
        <f>U2</f>
        <v>0.8</v>
      </c>
      <c r="L114" s="87">
        <f>AE25</f>
        <v>1.2312000000000001</v>
      </c>
      <c r="M114" s="83">
        <f>AG33</f>
        <v>0.75</v>
      </c>
      <c r="N114" s="101">
        <f t="shared" si="36"/>
        <v>32.2712</v>
      </c>
      <c r="O114" s="83">
        <v>1</v>
      </c>
      <c r="P114" s="87">
        <f t="shared" si="37"/>
        <v>32.2712</v>
      </c>
      <c r="Q114" s="83">
        <v>1.0609999999999999</v>
      </c>
      <c r="R114" s="87">
        <f t="shared" si="38"/>
        <v>34.239743199999999</v>
      </c>
      <c r="S114" s="83">
        <v>1.4</v>
      </c>
      <c r="T114" s="87">
        <f t="shared" si="39"/>
        <v>47.935640479999996</v>
      </c>
      <c r="U114" s="87">
        <f t="shared" si="40"/>
        <v>13.695897279999997</v>
      </c>
      <c r="V114" s="87">
        <v>29.5</v>
      </c>
      <c r="W114" s="97">
        <f t="shared" si="41"/>
        <v>1.6249369654237287</v>
      </c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1:38" s="108" customFormat="1">
      <c r="A115" s="108" t="s">
        <v>170</v>
      </c>
      <c r="E115" s="95">
        <v>13</v>
      </c>
      <c r="F115" s="95">
        <v>4.66</v>
      </c>
      <c r="G115" s="95">
        <v>2</v>
      </c>
      <c r="H115" s="83">
        <f>H2</f>
        <v>9.41</v>
      </c>
      <c r="I115" s="83">
        <f>S2</f>
        <v>1</v>
      </c>
      <c r="J115" s="83">
        <f t="shared" si="42"/>
        <v>30.07</v>
      </c>
      <c r="K115" s="83">
        <f>U2</f>
        <v>0.8</v>
      </c>
      <c r="L115" s="87">
        <f>AE25</f>
        <v>1.2312000000000001</v>
      </c>
      <c r="M115" s="83">
        <f>AG33</f>
        <v>0.75</v>
      </c>
      <c r="N115" s="101">
        <f t="shared" si="36"/>
        <v>32.851199999999999</v>
      </c>
      <c r="O115" s="83">
        <v>1</v>
      </c>
      <c r="P115" s="87">
        <f t="shared" si="37"/>
        <v>32.851199999999999</v>
      </c>
      <c r="Q115" s="83">
        <v>1.0609999999999999</v>
      </c>
      <c r="R115" s="87">
        <f t="shared" si="38"/>
        <v>34.855123199999994</v>
      </c>
      <c r="S115" s="83">
        <v>1.4</v>
      </c>
      <c r="T115" s="87">
        <f t="shared" si="39"/>
        <v>48.797172479999986</v>
      </c>
      <c r="U115" s="87">
        <f t="shared" si="40"/>
        <v>13.942049279999992</v>
      </c>
      <c r="V115" s="87">
        <v>29.5</v>
      </c>
      <c r="W115" s="97">
        <f t="shared" si="41"/>
        <v>1.6541414399999996</v>
      </c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1:38" s="108" customFormat="1">
      <c r="A116" s="108" t="s">
        <v>171</v>
      </c>
      <c r="E116" s="95">
        <v>13.809999999999999</v>
      </c>
      <c r="F116" s="95">
        <v>4.66</v>
      </c>
      <c r="G116" s="95">
        <v>2</v>
      </c>
      <c r="H116" s="83">
        <f>H2</f>
        <v>9.41</v>
      </c>
      <c r="I116" s="83">
        <f>S2</f>
        <v>1</v>
      </c>
      <c r="J116" s="83">
        <f t="shared" si="42"/>
        <v>30.88</v>
      </c>
      <c r="K116" s="83">
        <f>U2</f>
        <v>0.8</v>
      </c>
      <c r="L116" s="87">
        <f>AE25</f>
        <v>1.2312000000000001</v>
      </c>
      <c r="M116" s="83">
        <f>AG33</f>
        <v>0.75</v>
      </c>
      <c r="N116" s="101">
        <f t="shared" si="36"/>
        <v>33.661200000000001</v>
      </c>
      <c r="O116" s="83">
        <v>1</v>
      </c>
      <c r="P116" s="87">
        <f t="shared" si="37"/>
        <v>33.661200000000001</v>
      </c>
      <c r="Q116" s="83">
        <v>1.0609999999999999</v>
      </c>
      <c r="R116" s="87">
        <f t="shared" si="38"/>
        <v>35.714533199999998</v>
      </c>
      <c r="S116" s="83">
        <v>1.4</v>
      </c>
      <c r="T116" s="87">
        <f t="shared" si="39"/>
        <v>50.000346479999997</v>
      </c>
      <c r="U116" s="87">
        <f t="shared" si="40"/>
        <v>14.285813279999999</v>
      </c>
      <c r="V116" s="87">
        <v>29.5</v>
      </c>
      <c r="W116" s="97">
        <f t="shared" si="41"/>
        <v>1.6949269993220337</v>
      </c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1:38" s="108" customFormat="1">
      <c r="A117" s="108" t="s">
        <v>172</v>
      </c>
      <c r="E117" s="95">
        <v>14.11</v>
      </c>
      <c r="F117" s="95">
        <v>4.66</v>
      </c>
      <c r="G117" s="95">
        <v>2</v>
      </c>
      <c r="H117" s="83">
        <f>H2</f>
        <v>9.41</v>
      </c>
      <c r="I117" s="83">
        <f>S2</f>
        <v>1</v>
      </c>
      <c r="J117" s="83">
        <f t="shared" si="42"/>
        <v>31.18</v>
      </c>
      <c r="K117" s="83">
        <f>U2</f>
        <v>0.8</v>
      </c>
      <c r="L117" s="87">
        <f>AE25</f>
        <v>1.2312000000000001</v>
      </c>
      <c r="M117" s="83">
        <f>AG33</f>
        <v>0.75</v>
      </c>
      <c r="N117" s="101">
        <f t="shared" si="36"/>
        <v>33.961199999999998</v>
      </c>
      <c r="O117" s="83">
        <v>1</v>
      </c>
      <c r="P117" s="87">
        <f t="shared" si="37"/>
        <v>33.961199999999998</v>
      </c>
      <c r="Q117" s="83">
        <v>1.0609999999999999</v>
      </c>
      <c r="R117" s="87">
        <f t="shared" si="38"/>
        <v>36.032833199999999</v>
      </c>
      <c r="S117" s="83">
        <v>1.4</v>
      </c>
      <c r="T117" s="87">
        <f t="shared" si="39"/>
        <v>50.445966479999996</v>
      </c>
      <c r="U117" s="87">
        <f t="shared" si="40"/>
        <v>14.413133279999997</v>
      </c>
      <c r="V117" s="87">
        <v>29.5</v>
      </c>
      <c r="W117" s="97">
        <f t="shared" si="41"/>
        <v>1.7100327620338982</v>
      </c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1:38" s="108" customFormat="1">
      <c r="A118" s="108" t="s">
        <v>173</v>
      </c>
      <c r="E118" s="95">
        <v>14.599999999999998</v>
      </c>
      <c r="F118" s="95">
        <v>4.66</v>
      </c>
      <c r="G118" s="95">
        <v>2</v>
      </c>
      <c r="H118" s="83">
        <f>H2</f>
        <v>9.41</v>
      </c>
      <c r="I118" s="83">
        <f>S2</f>
        <v>1</v>
      </c>
      <c r="J118" s="83">
        <f t="shared" si="42"/>
        <v>31.669999999999998</v>
      </c>
      <c r="K118" s="83">
        <f>U2</f>
        <v>0.8</v>
      </c>
      <c r="L118" s="87">
        <f>AE25</f>
        <v>1.2312000000000001</v>
      </c>
      <c r="M118" s="83">
        <f>AG33</f>
        <v>0.75</v>
      </c>
      <c r="N118" s="101">
        <f t="shared" si="36"/>
        <v>34.4512</v>
      </c>
      <c r="O118" s="83">
        <v>1</v>
      </c>
      <c r="P118" s="87">
        <f t="shared" si="37"/>
        <v>34.4512</v>
      </c>
      <c r="Q118" s="83">
        <v>1.0609999999999999</v>
      </c>
      <c r="R118" s="87">
        <f t="shared" si="38"/>
        <v>36.552723199999996</v>
      </c>
      <c r="S118" s="83">
        <v>1.4</v>
      </c>
      <c r="T118" s="87">
        <f t="shared" si="39"/>
        <v>51.173812479999988</v>
      </c>
      <c r="U118" s="87">
        <f t="shared" si="40"/>
        <v>14.621089279999993</v>
      </c>
      <c r="V118" s="87">
        <v>29.5</v>
      </c>
      <c r="W118" s="97">
        <f t="shared" si="41"/>
        <v>1.7347055077966098</v>
      </c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1:38" s="108" customFormat="1">
      <c r="A119" s="93"/>
      <c r="E119" s="86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1:38" s="108" customFormat="1">
      <c r="A120" s="93"/>
      <c r="E120" s="86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1:38">
      <c r="A121" s="50"/>
      <c r="B121" s="51"/>
      <c r="C121" s="51"/>
      <c r="D121" s="51"/>
      <c r="E121" s="86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2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1:38" ht="19.5">
      <c r="A122" s="37" t="s">
        <v>127</v>
      </c>
      <c r="B122" s="22"/>
      <c r="C122" s="22"/>
      <c r="D122" s="22"/>
      <c r="E122" s="86"/>
      <c r="F122" s="84" t="s">
        <v>213</v>
      </c>
      <c r="G122" s="84" t="s">
        <v>76</v>
      </c>
      <c r="H122" s="84" t="s">
        <v>77</v>
      </c>
      <c r="I122" s="84" t="s">
        <v>81</v>
      </c>
      <c r="J122" s="84" t="s">
        <v>83</v>
      </c>
      <c r="K122" s="83" t="s">
        <v>268</v>
      </c>
      <c r="L122" s="84" t="s">
        <v>84</v>
      </c>
      <c r="M122" s="84" t="s">
        <v>85</v>
      </c>
      <c r="N122" s="95" t="s">
        <v>272</v>
      </c>
      <c r="O122" s="84" t="s">
        <v>107</v>
      </c>
      <c r="P122" s="95" t="s">
        <v>272</v>
      </c>
      <c r="Q122" s="84" t="s">
        <v>87</v>
      </c>
      <c r="R122" s="84" t="s">
        <v>105</v>
      </c>
      <c r="S122" s="84" t="s">
        <v>88</v>
      </c>
      <c r="T122" s="84" t="s">
        <v>106</v>
      </c>
      <c r="U122" s="84" t="s">
        <v>89</v>
      </c>
      <c r="V122" s="84" t="s">
        <v>125</v>
      </c>
      <c r="W122" s="82" t="s">
        <v>126</v>
      </c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1:38">
      <c r="A123" s="53" t="s">
        <v>128</v>
      </c>
      <c r="B123" s="22"/>
      <c r="C123" s="22"/>
      <c r="D123" s="22"/>
      <c r="E123" s="86"/>
      <c r="F123" s="84"/>
      <c r="G123" s="84">
        <v>12.2</v>
      </c>
      <c r="H123" s="84">
        <f>J2</f>
        <v>8.09</v>
      </c>
      <c r="I123" s="84">
        <f>S2</f>
        <v>1</v>
      </c>
      <c r="J123" s="84">
        <f>I123+H123+G123</f>
        <v>21.29</v>
      </c>
      <c r="K123" s="83">
        <f>U2</f>
        <v>0.8</v>
      </c>
      <c r="L123" s="64">
        <f>AE24</f>
        <v>0.97200000000000009</v>
      </c>
      <c r="M123" s="84">
        <f>AH31</f>
        <v>0.75</v>
      </c>
      <c r="N123" s="84">
        <f t="shared" ref="N123:N129" si="43">M123+L123+K123+J123</f>
        <v>23.811999999999998</v>
      </c>
      <c r="O123" s="84">
        <v>1</v>
      </c>
      <c r="P123" s="84">
        <f t="shared" ref="P123:P129" si="44">O123+N123</f>
        <v>24.811999999999998</v>
      </c>
      <c r="Q123" s="84">
        <v>1.0609999999999999</v>
      </c>
      <c r="R123" s="64">
        <f t="shared" ref="R123:R129" si="45">Q123*P123</f>
        <v>26.325531999999995</v>
      </c>
      <c r="S123" s="64">
        <v>1.4</v>
      </c>
      <c r="T123" s="64">
        <f t="shared" ref="T123:T129" si="46">S123*R123</f>
        <v>36.855744799999989</v>
      </c>
      <c r="U123" s="64">
        <f t="shared" ref="U123:U129" si="47">T123-R123</f>
        <v>10.530212799999994</v>
      </c>
      <c r="V123" s="64">
        <v>27</v>
      </c>
      <c r="W123" s="62">
        <f t="shared" ref="W123:W129" si="48">T123/V123</f>
        <v>1.3650275851851847</v>
      </c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1:38">
      <c r="A124" s="53" t="s">
        <v>129</v>
      </c>
      <c r="B124" s="22"/>
      <c r="C124" s="22"/>
      <c r="D124" s="22"/>
      <c r="E124" s="86"/>
      <c r="F124" s="84"/>
      <c r="G124" s="84">
        <v>28.8</v>
      </c>
      <c r="H124" s="84">
        <f>H2</f>
        <v>9.41</v>
      </c>
      <c r="I124" s="84">
        <f>S2</f>
        <v>1</v>
      </c>
      <c r="J124" s="84">
        <f>I124+H124+G124</f>
        <v>39.21</v>
      </c>
      <c r="K124" s="83">
        <f>U2</f>
        <v>0.8</v>
      </c>
      <c r="L124" s="64">
        <f>AF25</f>
        <v>1.296</v>
      </c>
      <c r="M124" s="84">
        <f>AH32</f>
        <v>0.75</v>
      </c>
      <c r="N124" s="84">
        <f t="shared" si="43"/>
        <v>42.055999999999997</v>
      </c>
      <c r="O124" s="84">
        <v>1</v>
      </c>
      <c r="P124" s="84">
        <f t="shared" si="44"/>
        <v>43.055999999999997</v>
      </c>
      <c r="Q124" s="84">
        <v>1.0609999999999999</v>
      </c>
      <c r="R124" s="64">
        <f t="shared" si="45"/>
        <v>45.682415999999996</v>
      </c>
      <c r="S124" s="64">
        <v>1.4</v>
      </c>
      <c r="T124" s="64">
        <f t="shared" si="46"/>
        <v>63.955382399999991</v>
      </c>
      <c r="U124" s="64">
        <f t="shared" si="47"/>
        <v>18.272966399999994</v>
      </c>
      <c r="V124" s="64">
        <v>27</v>
      </c>
      <c r="W124" s="62">
        <f t="shared" si="48"/>
        <v>2.3687178666666662</v>
      </c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1:38">
      <c r="A125" s="53" t="s">
        <v>130</v>
      </c>
      <c r="B125" s="22"/>
      <c r="C125" s="22"/>
      <c r="D125" s="22"/>
      <c r="E125" s="86"/>
      <c r="F125" s="84"/>
      <c r="G125" s="84">
        <v>47.1</v>
      </c>
      <c r="H125" s="84">
        <f>H2</f>
        <v>9.41</v>
      </c>
      <c r="I125" s="84">
        <f>S2</f>
        <v>1</v>
      </c>
      <c r="J125" s="84">
        <f>I125+H125+G125</f>
        <v>57.510000000000005</v>
      </c>
      <c r="K125" s="83">
        <f>U2</f>
        <v>0.8</v>
      </c>
      <c r="L125" s="64">
        <f>AH25</f>
        <v>1.4472000000000003</v>
      </c>
      <c r="M125" s="84">
        <f>AI33</f>
        <v>1.1099999999999999</v>
      </c>
      <c r="N125" s="84">
        <f t="shared" si="43"/>
        <v>60.867200000000004</v>
      </c>
      <c r="O125" s="84">
        <v>1</v>
      </c>
      <c r="P125" s="84">
        <f t="shared" si="44"/>
        <v>61.867200000000004</v>
      </c>
      <c r="Q125" s="84">
        <v>1.0609999999999999</v>
      </c>
      <c r="R125" s="64">
        <f t="shared" si="45"/>
        <v>65.641099199999999</v>
      </c>
      <c r="S125" s="64">
        <v>1.4</v>
      </c>
      <c r="T125" s="64">
        <f t="shared" si="46"/>
        <v>91.897538879999999</v>
      </c>
      <c r="U125" s="64">
        <f t="shared" si="47"/>
        <v>26.25643968</v>
      </c>
      <c r="V125" s="64">
        <v>27</v>
      </c>
      <c r="W125" s="62">
        <f t="shared" si="48"/>
        <v>3.4036125511111113</v>
      </c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1:38">
      <c r="A126" s="53" t="s">
        <v>131</v>
      </c>
      <c r="B126" s="22"/>
      <c r="C126" s="22"/>
      <c r="D126" s="22"/>
      <c r="E126" s="86"/>
      <c r="F126" s="84"/>
      <c r="G126" s="84">
        <v>58.4</v>
      </c>
      <c r="H126" s="84">
        <f>H2</f>
        <v>9.41</v>
      </c>
      <c r="I126" s="84">
        <f>S2</f>
        <v>1</v>
      </c>
      <c r="J126" s="84">
        <f>I126+H126+G126</f>
        <v>68.81</v>
      </c>
      <c r="K126" s="83">
        <f>U2</f>
        <v>0.8</v>
      </c>
      <c r="L126" s="64">
        <f>AJ25</f>
        <v>1.5768</v>
      </c>
      <c r="M126" s="84">
        <f>AI33</f>
        <v>1.1099999999999999</v>
      </c>
      <c r="N126" s="84">
        <f t="shared" si="43"/>
        <v>72.296800000000005</v>
      </c>
      <c r="O126" s="84">
        <v>1</v>
      </c>
      <c r="P126" s="84">
        <f t="shared" si="44"/>
        <v>73.296800000000005</v>
      </c>
      <c r="Q126" s="84">
        <v>1.0609999999999999</v>
      </c>
      <c r="R126" s="64">
        <f t="shared" si="45"/>
        <v>77.767904799999997</v>
      </c>
      <c r="S126" s="64">
        <v>1.4</v>
      </c>
      <c r="T126" s="64">
        <f t="shared" si="46"/>
        <v>108.87506671999999</v>
      </c>
      <c r="U126" s="64">
        <f t="shared" si="47"/>
        <v>31.107161919999996</v>
      </c>
      <c r="V126" s="64">
        <v>27</v>
      </c>
      <c r="W126" s="62">
        <f t="shared" si="48"/>
        <v>4.0324098785185178</v>
      </c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1:38">
      <c r="A127" s="50" t="s">
        <v>210</v>
      </c>
      <c r="B127" s="59"/>
      <c r="C127" s="59"/>
      <c r="D127" s="59"/>
      <c r="E127" s="86"/>
      <c r="F127" s="84">
        <v>10.199999999999999</v>
      </c>
      <c r="G127" s="84">
        <v>11.9</v>
      </c>
      <c r="H127" s="84">
        <f>J2</f>
        <v>8.09</v>
      </c>
      <c r="I127" s="84">
        <f>S2</f>
        <v>1</v>
      </c>
      <c r="J127" s="84">
        <f>I127+H127+G127+F127</f>
        <v>31.19</v>
      </c>
      <c r="K127" s="83">
        <f>U2</f>
        <v>0.8</v>
      </c>
      <c r="L127" s="64">
        <f>AF23</f>
        <v>0.87480000000000013</v>
      </c>
      <c r="M127" s="84">
        <f>AH32</f>
        <v>0.75</v>
      </c>
      <c r="N127" s="84">
        <f t="shared" si="43"/>
        <v>33.614800000000002</v>
      </c>
      <c r="O127" s="84">
        <v>1</v>
      </c>
      <c r="P127" s="84">
        <f t="shared" si="44"/>
        <v>34.614800000000002</v>
      </c>
      <c r="Q127" s="84">
        <v>1.0609999999999999</v>
      </c>
      <c r="R127" s="64">
        <f t="shared" si="45"/>
        <v>36.726302799999999</v>
      </c>
      <c r="S127" s="64">
        <v>1.4</v>
      </c>
      <c r="T127" s="64">
        <f t="shared" si="46"/>
        <v>51.416823919999999</v>
      </c>
      <c r="U127" s="64">
        <f t="shared" si="47"/>
        <v>14.69052112</v>
      </c>
      <c r="V127" s="64">
        <v>27</v>
      </c>
      <c r="W127" s="62">
        <f t="shared" si="48"/>
        <v>1.9043268118518517</v>
      </c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1:38">
      <c r="A128" s="50" t="s">
        <v>211</v>
      </c>
      <c r="B128" s="59"/>
      <c r="C128" s="59"/>
      <c r="D128" s="59"/>
      <c r="E128" s="86"/>
      <c r="F128" s="84">
        <v>14.4</v>
      </c>
      <c r="G128" s="84">
        <v>49.7</v>
      </c>
      <c r="H128" s="107">
        <f>H2</f>
        <v>9.41</v>
      </c>
      <c r="I128" s="84">
        <f>S2</f>
        <v>1</v>
      </c>
      <c r="J128" s="84">
        <f>I128+H128+G128+F128</f>
        <v>74.510000000000005</v>
      </c>
      <c r="K128" s="83">
        <f>U2</f>
        <v>0.8</v>
      </c>
      <c r="L128" s="64">
        <f>AJ24</f>
        <v>1.3176000000000001</v>
      </c>
      <c r="M128" s="84">
        <f>AI33</f>
        <v>1.1099999999999999</v>
      </c>
      <c r="N128" s="84">
        <f t="shared" si="43"/>
        <v>77.7376</v>
      </c>
      <c r="O128" s="84">
        <v>1</v>
      </c>
      <c r="P128" s="84">
        <f t="shared" si="44"/>
        <v>78.7376</v>
      </c>
      <c r="Q128" s="84">
        <v>1.0609999999999999</v>
      </c>
      <c r="R128" s="64">
        <f t="shared" si="45"/>
        <v>83.540593599999994</v>
      </c>
      <c r="S128" s="64">
        <v>1.4</v>
      </c>
      <c r="T128" s="64">
        <f t="shared" si="46"/>
        <v>116.95683103999998</v>
      </c>
      <c r="U128" s="64">
        <f t="shared" si="47"/>
        <v>33.416237439999989</v>
      </c>
      <c r="V128" s="64">
        <v>27</v>
      </c>
      <c r="W128" s="62">
        <f t="shared" si="48"/>
        <v>4.331734482962962</v>
      </c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1:38">
      <c r="A129" s="50" t="s">
        <v>212</v>
      </c>
      <c r="B129" s="59"/>
      <c r="C129" s="59"/>
      <c r="D129" s="59"/>
      <c r="E129" s="86"/>
      <c r="F129" s="84">
        <v>14.4</v>
      </c>
      <c r="G129" s="84">
        <v>76.599999999999994</v>
      </c>
      <c r="H129" s="84">
        <f>H2</f>
        <v>9.41</v>
      </c>
      <c r="I129" s="84">
        <f>S2</f>
        <v>1</v>
      </c>
      <c r="J129" s="84">
        <f>I129+H129+G129+F129</f>
        <v>101.41</v>
      </c>
      <c r="K129" s="83">
        <f>U2</f>
        <v>0.8</v>
      </c>
      <c r="L129" s="64">
        <f>AL25</f>
        <v>1.7064000000000001</v>
      </c>
      <c r="M129" s="84">
        <f>AI33</f>
        <v>1.1099999999999999</v>
      </c>
      <c r="N129" s="84">
        <f t="shared" si="43"/>
        <v>105.0264</v>
      </c>
      <c r="O129" s="84">
        <v>1</v>
      </c>
      <c r="P129" s="84">
        <f t="shared" si="44"/>
        <v>106.0264</v>
      </c>
      <c r="Q129" s="84">
        <v>1.0609999999999999</v>
      </c>
      <c r="R129" s="64">
        <f t="shared" si="45"/>
        <v>112.49401039999999</v>
      </c>
      <c r="S129" s="64">
        <v>1.4</v>
      </c>
      <c r="T129" s="64">
        <f t="shared" si="46"/>
        <v>157.49161455999999</v>
      </c>
      <c r="U129" s="64">
        <f t="shared" si="47"/>
        <v>44.997604159999995</v>
      </c>
      <c r="V129" s="64">
        <v>27</v>
      </c>
      <c r="W129" s="62">
        <f t="shared" si="48"/>
        <v>5.8330227614814811</v>
      </c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1:38">
      <c r="A130" s="49"/>
      <c r="B130" s="59"/>
      <c r="C130" s="59"/>
      <c r="D130" s="59"/>
      <c r="E130" s="86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64"/>
      <c r="S130" s="64"/>
      <c r="T130" s="64"/>
      <c r="U130" s="64"/>
      <c r="V130" s="64"/>
      <c r="W130" s="62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1:38">
      <c r="A131" s="35"/>
      <c r="B131" s="22"/>
      <c r="C131" s="22"/>
      <c r="D131" s="22"/>
      <c r="E131" s="86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64"/>
      <c r="S131" s="64"/>
      <c r="T131" s="64"/>
      <c r="U131" s="64"/>
      <c r="V131" s="64"/>
      <c r="W131" s="62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1:38" ht="19.5">
      <c r="A132" s="37" t="s">
        <v>132</v>
      </c>
      <c r="B132" s="22"/>
      <c r="C132" s="22"/>
      <c r="D132" s="22"/>
      <c r="E132" s="86"/>
      <c r="F132" s="84"/>
      <c r="G132" s="84" t="s">
        <v>76</v>
      </c>
      <c r="H132" s="84" t="s">
        <v>77</v>
      </c>
      <c r="I132" s="84" t="s">
        <v>81</v>
      </c>
      <c r="J132" s="84" t="s">
        <v>83</v>
      </c>
      <c r="K132" s="83" t="s">
        <v>268</v>
      </c>
      <c r="L132" s="84" t="s">
        <v>84</v>
      </c>
      <c r="M132" s="84" t="s">
        <v>85</v>
      </c>
      <c r="N132" s="95" t="s">
        <v>272</v>
      </c>
      <c r="O132" s="84" t="s">
        <v>107</v>
      </c>
      <c r="P132" s="95" t="s">
        <v>272</v>
      </c>
      <c r="Q132" s="84" t="s">
        <v>87</v>
      </c>
      <c r="R132" s="84" t="s">
        <v>105</v>
      </c>
      <c r="S132" s="84" t="s">
        <v>88</v>
      </c>
      <c r="T132" s="84" t="s">
        <v>106</v>
      </c>
      <c r="U132" s="84" t="s">
        <v>89</v>
      </c>
      <c r="V132" s="84" t="s">
        <v>125</v>
      </c>
      <c r="W132" s="82" t="s">
        <v>126</v>
      </c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1:38">
      <c r="A133" s="36" t="s">
        <v>133</v>
      </c>
      <c r="B133" s="22"/>
      <c r="C133" s="22"/>
      <c r="D133" s="22"/>
      <c r="E133" s="86"/>
      <c r="F133" s="84"/>
      <c r="G133" s="84">
        <v>25.3</v>
      </c>
      <c r="H133" s="84">
        <f>J2</f>
        <v>8.09</v>
      </c>
      <c r="I133" s="84">
        <f>S2</f>
        <v>1</v>
      </c>
      <c r="J133" s="84">
        <f>I133+H133+G133</f>
        <v>34.39</v>
      </c>
      <c r="K133" s="83">
        <f>U2</f>
        <v>0.8</v>
      </c>
      <c r="L133" s="64">
        <f>AE25</f>
        <v>1.2312000000000001</v>
      </c>
      <c r="M133" s="84">
        <f>AH33</f>
        <v>1.02</v>
      </c>
      <c r="N133" s="84">
        <f>M133+L133+K133+J133</f>
        <v>37.441200000000002</v>
      </c>
      <c r="O133" s="84">
        <v>1</v>
      </c>
      <c r="P133" s="84">
        <f>O133+N133</f>
        <v>38.441200000000002</v>
      </c>
      <c r="Q133" s="84">
        <v>1.0609999999999999</v>
      </c>
      <c r="R133" s="64">
        <f>Q133*P133</f>
        <v>40.786113200000003</v>
      </c>
      <c r="S133" s="64">
        <v>1.4</v>
      </c>
      <c r="T133" s="64">
        <f>S133*R133</f>
        <v>57.100558479999997</v>
      </c>
      <c r="U133" s="64">
        <f>T133-R133</f>
        <v>16.314445279999994</v>
      </c>
      <c r="V133" s="64">
        <v>27</v>
      </c>
      <c r="W133" s="62">
        <f>T133/V133</f>
        <v>2.1148354992592591</v>
      </c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1:38">
      <c r="A134" s="36" t="s">
        <v>134</v>
      </c>
      <c r="B134" s="22"/>
      <c r="C134" s="22"/>
      <c r="D134" s="22"/>
      <c r="E134" s="86"/>
      <c r="F134" s="84"/>
      <c r="G134" s="84">
        <v>24.7</v>
      </c>
      <c r="H134" s="84">
        <f>J2</f>
        <v>8.09</v>
      </c>
      <c r="I134" s="84">
        <f>S2</f>
        <v>1</v>
      </c>
      <c r="J134" s="84">
        <f>I134+H134+G134</f>
        <v>33.79</v>
      </c>
      <c r="K134" s="83">
        <f>U2</f>
        <v>0.8</v>
      </c>
      <c r="L134" s="64">
        <f>AE25</f>
        <v>1.2312000000000001</v>
      </c>
      <c r="M134" s="84">
        <f>AH33</f>
        <v>1.02</v>
      </c>
      <c r="N134" s="84">
        <f>M134+L134+K134+J134</f>
        <v>36.841200000000001</v>
      </c>
      <c r="O134" s="84">
        <v>1</v>
      </c>
      <c r="P134" s="84">
        <f>O134+N134</f>
        <v>37.841200000000001</v>
      </c>
      <c r="Q134" s="84">
        <v>1.0609999999999999</v>
      </c>
      <c r="R134" s="64">
        <f>Q134*P134</f>
        <v>40.149513200000001</v>
      </c>
      <c r="S134" s="64">
        <v>1.4</v>
      </c>
      <c r="T134" s="64">
        <f>S134*R134</f>
        <v>56.20931848</v>
      </c>
      <c r="U134" s="64">
        <f>T134-R134</f>
        <v>16.059805279999999</v>
      </c>
      <c r="V134" s="64">
        <v>27</v>
      </c>
      <c r="W134" s="62">
        <f>T134/V134</f>
        <v>2.0818266103703702</v>
      </c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1:38">
      <c r="A135" s="36" t="s">
        <v>135</v>
      </c>
      <c r="B135" s="22"/>
      <c r="C135" s="22"/>
      <c r="D135" s="22"/>
      <c r="E135" s="86"/>
      <c r="F135" s="84"/>
      <c r="G135" s="84">
        <v>23.9</v>
      </c>
      <c r="H135" s="84">
        <f>J2</f>
        <v>8.09</v>
      </c>
      <c r="I135" s="84">
        <f>S2</f>
        <v>1</v>
      </c>
      <c r="J135" s="84">
        <f>I135+H135+G135</f>
        <v>32.989999999999995</v>
      </c>
      <c r="K135" s="83">
        <f>U2</f>
        <v>0.8</v>
      </c>
      <c r="L135" s="64">
        <f>AE25</f>
        <v>1.2312000000000001</v>
      </c>
      <c r="M135" s="84">
        <f>AH33</f>
        <v>1.02</v>
      </c>
      <c r="N135" s="84">
        <f>M135+L135+K135+J135</f>
        <v>36.041199999999996</v>
      </c>
      <c r="O135" s="84">
        <v>1</v>
      </c>
      <c r="P135" s="84">
        <f>O135+N135</f>
        <v>37.041199999999996</v>
      </c>
      <c r="Q135" s="84">
        <v>1.0609999999999999</v>
      </c>
      <c r="R135" s="64">
        <f>Q135*P135</f>
        <v>39.300713199999997</v>
      </c>
      <c r="S135" s="64">
        <v>1.4</v>
      </c>
      <c r="T135" s="64">
        <f>S135*R135</f>
        <v>55.020998479999996</v>
      </c>
      <c r="U135" s="64">
        <f>T135-R135</f>
        <v>15.720285279999999</v>
      </c>
      <c r="V135" s="64">
        <v>27</v>
      </c>
      <c r="W135" s="62">
        <f>T135/V135</f>
        <v>2.0378147585185182</v>
      </c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1:38" s="108" customFormat="1">
      <c r="A136" s="49"/>
      <c r="E136" s="86"/>
      <c r="F136" s="84"/>
      <c r="G136" s="84"/>
      <c r="H136" s="84"/>
      <c r="I136" s="84"/>
      <c r="J136" s="84"/>
      <c r="K136" s="83"/>
      <c r="L136" s="64"/>
      <c r="M136" s="84"/>
      <c r="N136" s="84"/>
      <c r="O136" s="84"/>
      <c r="P136" s="84"/>
      <c r="Q136" s="84"/>
      <c r="R136" s="64"/>
      <c r="S136" s="64"/>
      <c r="T136" s="64"/>
      <c r="U136" s="64"/>
      <c r="V136" s="64"/>
      <c r="W136" s="62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1:38" s="108" customFormat="1">
      <c r="A137" s="49"/>
      <c r="E137" s="86"/>
      <c r="F137" s="84"/>
      <c r="G137" s="84"/>
      <c r="H137" s="84"/>
      <c r="I137" s="84"/>
      <c r="J137" s="84"/>
      <c r="K137" s="83"/>
      <c r="L137" s="64"/>
      <c r="M137" s="84"/>
      <c r="N137" s="84"/>
      <c r="O137" s="84"/>
      <c r="P137" s="84"/>
      <c r="Q137" s="84"/>
      <c r="R137" s="64"/>
      <c r="S137" s="64"/>
      <c r="T137" s="64"/>
      <c r="U137" s="64"/>
      <c r="V137" s="64"/>
      <c r="W137" s="62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1:38" s="108" customFormat="1" ht="21">
      <c r="A138" s="39" t="s">
        <v>287</v>
      </c>
      <c r="B138" s="86"/>
      <c r="C138" s="86"/>
      <c r="D138" s="86"/>
      <c r="E138" s="86"/>
      <c r="F138" s="83"/>
      <c r="G138" s="93" t="s">
        <v>243</v>
      </c>
      <c r="H138" s="83" t="s">
        <v>244</v>
      </c>
      <c r="I138" s="83" t="s">
        <v>245</v>
      </c>
      <c r="J138" s="83" t="s">
        <v>246</v>
      </c>
      <c r="K138" s="83" t="s">
        <v>292</v>
      </c>
      <c r="L138" s="83" t="s">
        <v>176</v>
      </c>
      <c r="M138" s="83" t="s">
        <v>177</v>
      </c>
      <c r="N138" s="83" t="s">
        <v>293</v>
      </c>
      <c r="O138" s="83" t="s">
        <v>117</v>
      </c>
      <c r="P138" s="83" t="s">
        <v>293</v>
      </c>
      <c r="Q138" s="83" t="s">
        <v>178</v>
      </c>
      <c r="R138" s="83" t="s">
        <v>247</v>
      </c>
      <c r="S138" s="83" t="s">
        <v>179</v>
      </c>
      <c r="T138" s="87" t="s">
        <v>248</v>
      </c>
      <c r="U138" s="87" t="s">
        <v>181</v>
      </c>
      <c r="V138" s="87" t="s">
        <v>180</v>
      </c>
      <c r="W138" s="96" t="s">
        <v>249</v>
      </c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</row>
    <row r="139" spans="1:38" s="108" customFormat="1">
      <c r="A139" s="53" t="s">
        <v>288</v>
      </c>
      <c r="B139" s="86"/>
      <c r="C139" s="86"/>
      <c r="D139" s="86"/>
      <c r="E139" s="86"/>
      <c r="F139" s="83"/>
      <c r="G139" s="93">
        <v>115</v>
      </c>
      <c r="H139" s="83">
        <f>H2</f>
        <v>9.41</v>
      </c>
      <c r="I139" s="83">
        <v>1.5</v>
      </c>
      <c r="J139" s="83">
        <f>I139+H139+G139</f>
        <v>125.91</v>
      </c>
      <c r="K139" s="83">
        <v>0.8</v>
      </c>
      <c r="L139" s="87">
        <f>AF24</f>
        <v>1.0476000000000001</v>
      </c>
      <c r="M139" s="83">
        <f>AG32</f>
        <v>0.57000000000000006</v>
      </c>
      <c r="N139" s="88">
        <f>M139+L139+K139+J139</f>
        <v>128.32759999999999</v>
      </c>
      <c r="O139" s="83">
        <v>1</v>
      </c>
      <c r="P139" s="87">
        <f>O139*N139</f>
        <v>128.32759999999999</v>
      </c>
      <c r="Q139" s="83">
        <v>1.0609999999999999</v>
      </c>
      <c r="R139" s="83">
        <f>Q139*P139</f>
        <v>136.15558359999997</v>
      </c>
      <c r="S139" s="83">
        <v>1.3</v>
      </c>
      <c r="T139" s="87">
        <f>S139*R139</f>
        <v>177.00225867999998</v>
      </c>
      <c r="U139" s="87">
        <f>T139-R139</f>
        <v>40.846675080000011</v>
      </c>
      <c r="V139" s="87">
        <v>27</v>
      </c>
      <c r="W139" s="96">
        <f>T139/V139</f>
        <v>6.5556392103703693</v>
      </c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</row>
    <row r="140" spans="1:38" s="108" customFormat="1">
      <c r="A140" s="53" t="s">
        <v>289</v>
      </c>
      <c r="B140" s="86"/>
      <c r="C140" s="86"/>
      <c r="D140" s="86"/>
      <c r="E140" s="86"/>
      <c r="F140" s="83"/>
      <c r="G140" s="93">
        <v>140</v>
      </c>
      <c r="H140" s="83">
        <f>H2</f>
        <v>9.41</v>
      </c>
      <c r="I140" s="83">
        <v>1.5</v>
      </c>
      <c r="J140" s="83">
        <f>I140+H140+G140</f>
        <v>150.91</v>
      </c>
      <c r="K140" s="83">
        <v>0.8</v>
      </c>
      <c r="L140" s="87">
        <f>AF24</f>
        <v>1.0476000000000001</v>
      </c>
      <c r="M140" s="83">
        <f>AG32</f>
        <v>0.57000000000000006</v>
      </c>
      <c r="N140" s="88">
        <f>M140+L140+K140+J140</f>
        <v>153.32759999999999</v>
      </c>
      <c r="O140" s="83">
        <v>1</v>
      </c>
      <c r="P140" s="87">
        <f>O140*N140</f>
        <v>153.32759999999999</v>
      </c>
      <c r="Q140" s="83">
        <v>1.0609999999999999</v>
      </c>
      <c r="R140" s="83">
        <f>Q140*P140</f>
        <v>162.68058359999998</v>
      </c>
      <c r="S140" s="83">
        <v>1.3</v>
      </c>
      <c r="T140" s="87">
        <f>S140*R140</f>
        <v>211.48475867999997</v>
      </c>
      <c r="U140" s="87">
        <f>T140-R140</f>
        <v>48.804175079999993</v>
      </c>
      <c r="V140" s="87">
        <v>27</v>
      </c>
      <c r="W140" s="96">
        <f>T140/V140</f>
        <v>7.8327688399999991</v>
      </c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</row>
    <row r="141" spans="1:38" s="108" customFormat="1">
      <c r="A141" s="53"/>
      <c r="B141" s="86"/>
      <c r="C141" s="86"/>
      <c r="D141" s="86"/>
      <c r="E141" s="86"/>
      <c r="F141" s="83"/>
      <c r="G141" s="93"/>
      <c r="H141" s="83"/>
      <c r="I141" s="83"/>
      <c r="J141" s="83"/>
      <c r="K141" s="83"/>
      <c r="L141" s="83"/>
      <c r="M141" s="83"/>
      <c r="N141" s="88"/>
      <c r="O141" s="83"/>
      <c r="P141" s="87"/>
      <c r="Q141" s="83"/>
      <c r="R141" s="83"/>
      <c r="S141" s="83"/>
      <c r="T141" s="87"/>
      <c r="U141" s="87"/>
      <c r="V141" s="87"/>
      <c r="W141" s="96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</row>
    <row r="142" spans="1:38" s="108" customFormat="1">
      <c r="A142" s="53" t="s">
        <v>290</v>
      </c>
      <c r="B142" s="86"/>
      <c r="C142" s="86"/>
      <c r="D142" s="86"/>
      <c r="E142" s="86"/>
      <c r="F142" s="83"/>
      <c r="G142" s="93">
        <v>145</v>
      </c>
      <c r="H142" s="83">
        <f>H2</f>
        <v>9.41</v>
      </c>
      <c r="I142" s="83">
        <v>1.5</v>
      </c>
      <c r="J142" s="83">
        <f>I142+H142+G142</f>
        <v>155.91</v>
      </c>
      <c r="K142" s="83">
        <v>0.8</v>
      </c>
      <c r="L142" s="87">
        <f>AG24</f>
        <v>1.1232000000000002</v>
      </c>
      <c r="M142" s="83">
        <f>AH32</f>
        <v>0.75</v>
      </c>
      <c r="N142" s="88">
        <f>M142+L142+K142+J142</f>
        <v>158.58320000000001</v>
      </c>
      <c r="O142" s="83">
        <v>1</v>
      </c>
      <c r="P142" s="87">
        <f>O142*N142</f>
        <v>158.58320000000001</v>
      </c>
      <c r="Q142" s="83">
        <v>1.0609999999999999</v>
      </c>
      <c r="R142" s="83">
        <f>Q142*P142</f>
        <v>168.25677519999999</v>
      </c>
      <c r="S142" s="83">
        <v>1.25</v>
      </c>
      <c r="T142" s="87">
        <f>S142*R142</f>
        <v>210.32096899999999</v>
      </c>
      <c r="U142" s="87">
        <f>T142-R142</f>
        <v>42.064193799999998</v>
      </c>
      <c r="V142" s="87">
        <v>27</v>
      </c>
      <c r="W142" s="96">
        <f>T142/V142</f>
        <v>7.7896655185185182</v>
      </c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</row>
    <row r="143" spans="1:38">
      <c r="A143" s="53" t="s">
        <v>291</v>
      </c>
      <c r="B143" s="86"/>
      <c r="C143" s="86"/>
      <c r="D143" s="86"/>
      <c r="E143" s="86"/>
      <c r="F143" s="83"/>
      <c r="G143" s="93">
        <v>175</v>
      </c>
      <c r="H143" s="83">
        <f>H2</f>
        <v>9.41</v>
      </c>
      <c r="I143" s="83">
        <v>1.5</v>
      </c>
      <c r="J143" s="83">
        <f>I143+H143+G143</f>
        <v>185.91</v>
      </c>
      <c r="K143" s="83">
        <v>0.8</v>
      </c>
      <c r="L143" s="87">
        <f>AG24</f>
        <v>1.1232000000000002</v>
      </c>
      <c r="M143" s="83">
        <f>AH32</f>
        <v>0.75</v>
      </c>
      <c r="N143" s="88">
        <f>M143+L143+K143+J143</f>
        <v>188.58320000000001</v>
      </c>
      <c r="O143" s="83">
        <v>1</v>
      </c>
      <c r="P143" s="87">
        <f>O143*N143</f>
        <v>188.58320000000001</v>
      </c>
      <c r="Q143" s="83">
        <v>1.0609999999999999</v>
      </c>
      <c r="R143" s="83">
        <f>Q143*P143</f>
        <v>200.08677520000001</v>
      </c>
      <c r="S143" s="83">
        <v>1.25</v>
      </c>
      <c r="T143" s="87">
        <f>S143*R143</f>
        <v>250.10846900000001</v>
      </c>
      <c r="U143" s="87">
        <f>T143-R143</f>
        <v>50.021693800000008</v>
      </c>
      <c r="V143" s="87">
        <v>27</v>
      </c>
      <c r="W143" s="96">
        <f>T143/V143</f>
        <v>9.2632766296296296</v>
      </c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</row>
    <row r="144" spans="1:38" s="108" customFormat="1">
      <c r="A144" s="49"/>
      <c r="B144" s="86"/>
      <c r="C144" s="86"/>
      <c r="D144" s="86"/>
      <c r="E144" s="86"/>
      <c r="F144" s="83"/>
      <c r="G144" s="93"/>
      <c r="H144" s="83"/>
      <c r="I144" s="83"/>
      <c r="J144" s="83"/>
      <c r="K144" s="83"/>
      <c r="L144" s="87"/>
      <c r="M144" s="83"/>
      <c r="N144" s="83"/>
      <c r="O144" s="83"/>
      <c r="P144" s="83"/>
      <c r="Q144" s="83"/>
      <c r="R144" s="83"/>
      <c r="S144" s="83"/>
      <c r="T144" s="87"/>
      <c r="U144" s="87"/>
      <c r="V144" s="87"/>
      <c r="W144" s="96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</row>
    <row r="145" spans="1:38" s="108" customFormat="1">
      <c r="A145" s="49"/>
      <c r="B145" s="86"/>
      <c r="C145" s="86"/>
      <c r="D145" s="86"/>
      <c r="E145" s="86"/>
      <c r="F145" s="83"/>
      <c r="G145" s="93"/>
      <c r="H145" s="83"/>
      <c r="I145" s="83"/>
      <c r="J145" s="83"/>
      <c r="K145" s="83"/>
      <c r="L145" s="87"/>
      <c r="M145" s="83"/>
      <c r="N145" s="83"/>
      <c r="O145" s="83"/>
      <c r="P145" s="83"/>
      <c r="Q145" s="83"/>
      <c r="R145" s="83"/>
      <c r="S145" s="83"/>
      <c r="T145" s="87"/>
      <c r="U145" s="87"/>
      <c r="V145" s="87"/>
      <c r="W145" s="96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</row>
    <row r="146" spans="1:38">
      <c r="A146" s="35"/>
      <c r="B146" s="22"/>
      <c r="C146" s="22"/>
      <c r="D146" s="22"/>
      <c r="E146" s="86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64"/>
      <c r="S146" s="64"/>
      <c r="T146" s="64"/>
      <c r="U146" s="64"/>
      <c r="V146" s="64"/>
      <c r="W146" s="62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</row>
    <row r="147" spans="1:38" ht="19.5">
      <c r="A147" s="37" t="s">
        <v>136</v>
      </c>
      <c r="B147" s="22"/>
      <c r="C147" s="22"/>
      <c r="D147" s="22"/>
      <c r="E147" s="86"/>
      <c r="F147" s="84"/>
      <c r="G147" s="84" t="s">
        <v>76</v>
      </c>
      <c r="H147" s="84" t="s">
        <v>77</v>
      </c>
      <c r="I147" s="84" t="s">
        <v>81</v>
      </c>
      <c r="J147" s="84" t="s">
        <v>83</v>
      </c>
      <c r="K147" s="83" t="s">
        <v>268</v>
      </c>
      <c r="L147" s="84" t="s">
        <v>84</v>
      </c>
      <c r="M147" s="84" t="s">
        <v>85</v>
      </c>
      <c r="N147" s="95" t="s">
        <v>272</v>
      </c>
      <c r="O147" s="84" t="s">
        <v>107</v>
      </c>
      <c r="P147" s="95" t="s">
        <v>272</v>
      </c>
      <c r="Q147" s="84" t="s">
        <v>87</v>
      </c>
      <c r="R147" s="84" t="s">
        <v>105</v>
      </c>
      <c r="S147" s="84" t="s">
        <v>88</v>
      </c>
      <c r="T147" s="84" t="s">
        <v>106</v>
      </c>
      <c r="U147" s="84" t="s">
        <v>89</v>
      </c>
      <c r="V147" s="84" t="s">
        <v>125</v>
      </c>
      <c r="W147" s="82" t="s">
        <v>126</v>
      </c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</row>
    <row r="148" spans="1:38">
      <c r="A148" s="36" t="s">
        <v>137</v>
      </c>
      <c r="B148" s="22"/>
      <c r="C148" s="22"/>
      <c r="D148" s="22"/>
      <c r="E148" s="86"/>
      <c r="F148" s="84"/>
      <c r="G148" s="84">
        <v>28.8</v>
      </c>
      <c r="H148" s="84">
        <f>H2</f>
        <v>9.41</v>
      </c>
      <c r="I148" s="84">
        <f>S2</f>
        <v>1</v>
      </c>
      <c r="J148" s="84">
        <f t="shared" ref="J148:J154" si="49">I148+H148+G148</f>
        <v>39.21</v>
      </c>
      <c r="K148" s="83">
        <f>U2</f>
        <v>0.8</v>
      </c>
      <c r="L148" s="64">
        <f>AE25</f>
        <v>1.2312000000000001</v>
      </c>
      <c r="M148" s="84">
        <f>AH33</f>
        <v>1.02</v>
      </c>
      <c r="N148" s="84">
        <f t="shared" ref="N148:N154" si="50">M148+L148+K148+J148</f>
        <v>42.261200000000002</v>
      </c>
      <c r="O148" s="84">
        <v>1</v>
      </c>
      <c r="P148" s="84">
        <f t="shared" ref="P148:P154" si="51">O148+N148</f>
        <v>43.261200000000002</v>
      </c>
      <c r="Q148" s="84">
        <v>1.0609999999999999</v>
      </c>
      <c r="R148" s="64">
        <f t="shared" ref="R148:R154" si="52">Q148*P148</f>
        <v>45.900133199999999</v>
      </c>
      <c r="S148" s="64">
        <v>1.3</v>
      </c>
      <c r="T148" s="64">
        <f t="shared" ref="T148:T154" si="53">S148*R148</f>
        <v>59.670173159999997</v>
      </c>
      <c r="U148" s="64">
        <f t="shared" ref="U148:U154" si="54">T148-R148</f>
        <v>13.770039959999998</v>
      </c>
      <c r="V148" s="64">
        <v>27</v>
      </c>
      <c r="W148" s="62">
        <f t="shared" ref="W148:W154" si="55">T148/V148</f>
        <v>2.2100064133333333</v>
      </c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</row>
    <row r="149" spans="1:38">
      <c r="A149" s="36" t="s">
        <v>138</v>
      </c>
      <c r="B149" s="22"/>
      <c r="C149" s="22"/>
      <c r="D149" s="22"/>
      <c r="E149" s="86"/>
      <c r="F149" s="84"/>
      <c r="G149" s="84">
        <v>17</v>
      </c>
      <c r="H149" s="84">
        <f>J2</f>
        <v>8.09</v>
      </c>
      <c r="I149" s="84">
        <f>S2</f>
        <v>1</v>
      </c>
      <c r="J149" s="84">
        <f t="shared" si="49"/>
        <v>26.09</v>
      </c>
      <c r="K149" s="83">
        <f>U2</f>
        <v>0.8</v>
      </c>
      <c r="L149" s="64">
        <f>AE24</f>
        <v>0.97200000000000009</v>
      </c>
      <c r="M149" s="84">
        <f>AH32</f>
        <v>0.75</v>
      </c>
      <c r="N149" s="84">
        <f t="shared" si="50"/>
        <v>28.612000000000002</v>
      </c>
      <c r="O149" s="84">
        <v>1</v>
      </c>
      <c r="P149" s="84">
        <f t="shared" si="51"/>
        <v>29.612000000000002</v>
      </c>
      <c r="Q149" s="84">
        <v>1.0609999999999999</v>
      </c>
      <c r="R149" s="64">
        <f t="shared" si="52"/>
        <v>31.418331999999999</v>
      </c>
      <c r="S149" s="64">
        <v>1.4</v>
      </c>
      <c r="T149" s="64">
        <f t="shared" si="53"/>
        <v>43.985664799999995</v>
      </c>
      <c r="U149" s="64">
        <f t="shared" si="54"/>
        <v>12.567332799999996</v>
      </c>
      <c r="V149" s="64">
        <v>27</v>
      </c>
      <c r="W149" s="62">
        <f t="shared" si="55"/>
        <v>1.6290986962962961</v>
      </c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</row>
    <row r="150" spans="1:38">
      <c r="A150" s="36" t="s">
        <v>139</v>
      </c>
      <c r="B150" s="22"/>
      <c r="C150" s="22"/>
      <c r="D150" s="22"/>
      <c r="E150" s="86"/>
      <c r="F150" s="84"/>
      <c r="G150" s="84">
        <v>17</v>
      </c>
      <c r="H150" s="84">
        <f>J2</f>
        <v>8.09</v>
      </c>
      <c r="I150" s="84">
        <f>S2</f>
        <v>1</v>
      </c>
      <c r="J150" s="84">
        <f t="shared" si="49"/>
        <v>26.09</v>
      </c>
      <c r="K150" s="83">
        <f>U2</f>
        <v>0.8</v>
      </c>
      <c r="L150" s="64">
        <f>AE24</f>
        <v>0.97200000000000009</v>
      </c>
      <c r="M150" s="84">
        <f>AH32</f>
        <v>0.75</v>
      </c>
      <c r="N150" s="84">
        <f t="shared" si="50"/>
        <v>28.612000000000002</v>
      </c>
      <c r="O150" s="84">
        <v>1</v>
      </c>
      <c r="P150" s="84">
        <f t="shared" si="51"/>
        <v>29.612000000000002</v>
      </c>
      <c r="Q150" s="84">
        <v>1.0609999999999999</v>
      </c>
      <c r="R150" s="64">
        <f t="shared" si="52"/>
        <v>31.418331999999999</v>
      </c>
      <c r="S150" s="64">
        <v>1.4</v>
      </c>
      <c r="T150" s="64">
        <f t="shared" si="53"/>
        <v>43.985664799999995</v>
      </c>
      <c r="U150" s="64">
        <f t="shared" si="54"/>
        <v>12.567332799999996</v>
      </c>
      <c r="V150" s="64">
        <v>27</v>
      </c>
      <c r="W150" s="62">
        <f t="shared" si="55"/>
        <v>1.6290986962962961</v>
      </c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</row>
    <row r="151" spans="1:38">
      <c r="A151" s="36" t="s">
        <v>140</v>
      </c>
      <c r="B151" s="22"/>
      <c r="C151" s="22"/>
      <c r="D151" s="22"/>
      <c r="E151" s="86"/>
      <c r="F151" s="84"/>
      <c r="G151" s="84">
        <v>73</v>
      </c>
      <c r="H151" s="84">
        <f>H2</f>
        <v>9.41</v>
      </c>
      <c r="I151" s="84">
        <f>S2</f>
        <v>1</v>
      </c>
      <c r="J151" s="84">
        <f t="shared" si="49"/>
        <v>83.41</v>
      </c>
      <c r="K151" s="83">
        <f>U2</f>
        <v>0.8</v>
      </c>
      <c r="L151" s="64">
        <f>AL25</f>
        <v>1.7064000000000001</v>
      </c>
      <c r="M151" s="84">
        <f>AI33</f>
        <v>1.1099999999999999</v>
      </c>
      <c r="N151" s="84">
        <f t="shared" si="50"/>
        <v>87.026399999999995</v>
      </c>
      <c r="O151" s="84">
        <v>1</v>
      </c>
      <c r="P151" s="84">
        <f t="shared" si="51"/>
        <v>88.026399999999995</v>
      </c>
      <c r="Q151" s="84">
        <v>1.0609999999999999</v>
      </c>
      <c r="R151" s="64">
        <f t="shared" si="52"/>
        <v>93.396010399999994</v>
      </c>
      <c r="S151" s="64">
        <v>1.4</v>
      </c>
      <c r="T151" s="64">
        <f t="shared" si="53"/>
        <v>130.75441455999999</v>
      </c>
      <c r="U151" s="64">
        <f t="shared" si="54"/>
        <v>37.358404159999992</v>
      </c>
      <c r="V151" s="64">
        <v>27</v>
      </c>
      <c r="W151" s="62">
        <f t="shared" si="55"/>
        <v>4.8427560948148143</v>
      </c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</row>
    <row r="152" spans="1:38">
      <c r="A152" s="36" t="s">
        <v>141</v>
      </c>
      <c r="B152" s="22"/>
      <c r="C152" s="22"/>
      <c r="D152" s="22"/>
      <c r="E152" s="86"/>
      <c r="F152" s="84"/>
      <c r="G152" s="84">
        <v>49</v>
      </c>
      <c r="H152" s="84">
        <f>J2</f>
        <v>8.09</v>
      </c>
      <c r="I152" s="84">
        <f>S2</f>
        <v>1</v>
      </c>
      <c r="J152" s="84">
        <f t="shared" si="49"/>
        <v>58.09</v>
      </c>
      <c r="K152" s="83">
        <f>U2</f>
        <v>0.8</v>
      </c>
      <c r="L152" s="64">
        <f>AL24</f>
        <v>1.4472000000000003</v>
      </c>
      <c r="M152" s="84">
        <f>AH33</f>
        <v>1.02</v>
      </c>
      <c r="N152" s="84">
        <f t="shared" si="50"/>
        <v>61.357200000000006</v>
      </c>
      <c r="O152" s="84">
        <v>1</v>
      </c>
      <c r="P152" s="84">
        <f t="shared" si="51"/>
        <v>62.357200000000006</v>
      </c>
      <c r="Q152" s="84">
        <v>1.0609999999999999</v>
      </c>
      <c r="R152" s="64">
        <f t="shared" si="52"/>
        <v>66.160989200000003</v>
      </c>
      <c r="S152" s="64">
        <v>1.5</v>
      </c>
      <c r="T152" s="64">
        <f t="shared" si="53"/>
        <v>99.241483799999997</v>
      </c>
      <c r="U152" s="64">
        <f t="shared" si="54"/>
        <v>33.080494599999994</v>
      </c>
      <c r="V152" s="64">
        <v>27</v>
      </c>
      <c r="W152" s="62">
        <f t="shared" si="55"/>
        <v>3.675610511111111</v>
      </c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</row>
    <row r="153" spans="1:38">
      <c r="A153" s="36" t="s">
        <v>142</v>
      </c>
      <c r="B153" s="22"/>
      <c r="C153" s="22"/>
      <c r="D153" s="22"/>
      <c r="E153" s="86"/>
      <c r="F153" s="84"/>
      <c r="G153" s="84">
        <v>49</v>
      </c>
      <c r="H153" s="84">
        <f>J2</f>
        <v>8.09</v>
      </c>
      <c r="I153" s="84">
        <f>S2</f>
        <v>1</v>
      </c>
      <c r="J153" s="84">
        <f t="shared" si="49"/>
        <v>58.09</v>
      </c>
      <c r="K153" s="83">
        <f>U2</f>
        <v>0.8</v>
      </c>
      <c r="L153" s="64">
        <f>AL24</f>
        <v>1.4472000000000003</v>
      </c>
      <c r="M153" s="84">
        <f>AH33</f>
        <v>1.02</v>
      </c>
      <c r="N153" s="84">
        <f t="shared" si="50"/>
        <v>61.357200000000006</v>
      </c>
      <c r="O153" s="84">
        <v>1</v>
      </c>
      <c r="P153" s="84">
        <f t="shared" si="51"/>
        <v>62.357200000000006</v>
      </c>
      <c r="Q153" s="84">
        <v>1.0609999999999999</v>
      </c>
      <c r="R153" s="64">
        <f t="shared" si="52"/>
        <v>66.160989200000003</v>
      </c>
      <c r="S153" s="64">
        <v>1.5</v>
      </c>
      <c r="T153" s="64">
        <f t="shared" si="53"/>
        <v>99.241483799999997</v>
      </c>
      <c r="U153" s="64">
        <f t="shared" si="54"/>
        <v>33.080494599999994</v>
      </c>
      <c r="V153" s="64">
        <v>27</v>
      </c>
      <c r="W153" s="62">
        <f t="shared" si="55"/>
        <v>3.675610511111111</v>
      </c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</row>
    <row r="154" spans="1:38">
      <c r="A154" s="36" t="s">
        <v>143</v>
      </c>
      <c r="B154" s="22"/>
      <c r="C154" s="22"/>
      <c r="D154" s="22"/>
      <c r="E154" s="86"/>
      <c r="F154" s="84"/>
      <c r="G154" s="84">
        <v>31</v>
      </c>
      <c r="H154" s="84">
        <f>H2</f>
        <v>9.41</v>
      </c>
      <c r="I154" s="84">
        <f>S2</f>
        <v>1</v>
      </c>
      <c r="J154" s="84">
        <f t="shared" si="49"/>
        <v>41.41</v>
      </c>
      <c r="K154" s="83">
        <f>U2</f>
        <v>0.8</v>
      </c>
      <c r="L154" s="64">
        <f>AF25</f>
        <v>1.296</v>
      </c>
      <c r="M154" s="84">
        <f>AH33</f>
        <v>1.02</v>
      </c>
      <c r="N154" s="84">
        <f t="shared" si="50"/>
        <v>44.525999999999996</v>
      </c>
      <c r="O154" s="84">
        <v>1</v>
      </c>
      <c r="P154" s="84">
        <f t="shared" si="51"/>
        <v>45.525999999999996</v>
      </c>
      <c r="Q154" s="84">
        <v>1.0609999999999999</v>
      </c>
      <c r="R154" s="64">
        <f t="shared" si="52"/>
        <v>48.303085999999993</v>
      </c>
      <c r="S154" s="64">
        <v>1.3</v>
      </c>
      <c r="T154" s="64">
        <f t="shared" si="53"/>
        <v>62.794011799999993</v>
      </c>
      <c r="U154" s="64">
        <f t="shared" si="54"/>
        <v>14.490925799999999</v>
      </c>
      <c r="V154" s="64">
        <v>27</v>
      </c>
      <c r="W154" s="62">
        <f t="shared" si="55"/>
        <v>2.3257041407407404</v>
      </c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</row>
    <row r="155" spans="1:38">
      <c r="A155" s="35"/>
      <c r="B155" s="22"/>
      <c r="C155" s="22"/>
      <c r="D155" s="22"/>
      <c r="E155" s="86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64"/>
      <c r="S155" s="64"/>
      <c r="T155" s="64"/>
      <c r="U155" s="64"/>
      <c r="V155" s="64"/>
      <c r="W155" s="62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</row>
    <row r="156" spans="1:38">
      <c r="A156" s="35"/>
      <c r="B156" s="22"/>
      <c r="C156" s="22"/>
      <c r="D156" s="22"/>
      <c r="E156" s="86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64"/>
      <c r="S156" s="64"/>
      <c r="T156" s="64"/>
      <c r="U156" s="64"/>
      <c r="V156" s="64"/>
      <c r="W156" s="62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</row>
    <row r="157" spans="1:38" ht="19.5">
      <c r="A157" s="37" t="s">
        <v>144</v>
      </c>
      <c r="B157" s="22"/>
      <c r="C157" s="22"/>
      <c r="D157" s="22"/>
      <c r="E157" s="86"/>
      <c r="F157" s="84"/>
      <c r="G157" s="84" t="s">
        <v>76</v>
      </c>
      <c r="H157" s="84" t="s">
        <v>77</v>
      </c>
      <c r="I157" s="84" t="s">
        <v>81</v>
      </c>
      <c r="J157" s="84" t="s">
        <v>83</v>
      </c>
      <c r="K157" s="83" t="s">
        <v>268</v>
      </c>
      <c r="L157" s="84" t="s">
        <v>84</v>
      </c>
      <c r="M157" s="84" t="s">
        <v>85</v>
      </c>
      <c r="N157" s="95" t="s">
        <v>272</v>
      </c>
      <c r="O157" s="84" t="s">
        <v>107</v>
      </c>
      <c r="P157" s="95" t="s">
        <v>272</v>
      </c>
      <c r="Q157" s="84" t="s">
        <v>87</v>
      </c>
      <c r="R157" s="84" t="s">
        <v>105</v>
      </c>
      <c r="S157" s="84" t="s">
        <v>88</v>
      </c>
      <c r="T157" s="84" t="s">
        <v>106</v>
      </c>
      <c r="U157" s="84" t="s">
        <v>89</v>
      </c>
      <c r="V157" s="84" t="s">
        <v>125</v>
      </c>
      <c r="W157" s="82" t="s">
        <v>126</v>
      </c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</row>
    <row r="158" spans="1:38">
      <c r="A158" s="36" t="s">
        <v>145</v>
      </c>
      <c r="B158" s="22"/>
      <c r="C158" s="22"/>
      <c r="D158" s="22"/>
      <c r="E158" s="86"/>
      <c r="F158" s="84"/>
      <c r="G158" s="84">
        <v>6.2</v>
      </c>
      <c r="H158" s="84">
        <f>L2</f>
        <v>6.17</v>
      </c>
      <c r="I158" s="84">
        <f>S2</f>
        <v>1</v>
      </c>
      <c r="J158" s="84">
        <f t="shared" ref="J158:J173" si="56">I158+H158+G158</f>
        <v>13.370000000000001</v>
      </c>
      <c r="K158" s="83">
        <f>U2</f>
        <v>0.8</v>
      </c>
      <c r="L158" s="64">
        <f>AC23</f>
        <v>0.75600000000000001</v>
      </c>
      <c r="M158" s="84">
        <f>AG31</f>
        <v>0.57000000000000006</v>
      </c>
      <c r="N158" s="84">
        <f t="shared" ref="N158:N173" si="57">M158+L158+K158+J158</f>
        <v>15.496000000000002</v>
      </c>
      <c r="O158" s="84">
        <v>1</v>
      </c>
      <c r="P158" s="84">
        <f t="shared" ref="P158:P166" si="58">O158+N158</f>
        <v>16.496000000000002</v>
      </c>
      <c r="Q158" s="84">
        <v>1.0609999999999999</v>
      </c>
      <c r="R158" s="64">
        <f t="shared" ref="R158:R166" si="59">Q158*P158</f>
        <v>17.502256000000003</v>
      </c>
      <c r="S158" s="64">
        <v>1.45</v>
      </c>
      <c r="T158" s="64">
        <f t="shared" ref="T158:T166" si="60">S158*R158</f>
        <v>25.378271200000004</v>
      </c>
      <c r="U158" s="64">
        <f t="shared" ref="U158:U166" si="61">T158-R158</f>
        <v>7.8760152000000012</v>
      </c>
      <c r="V158" s="64">
        <v>27</v>
      </c>
      <c r="W158" s="62">
        <f t="shared" ref="W158:W166" si="62">T158/V158</f>
        <v>0.93993597037037047</v>
      </c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</row>
    <row r="159" spans="1:38">
      <c r="A159" s="36" t="s">
        <v>146</v>
      </c>
      <c r="B159" s="22"/>
      <c r="C159" s="22"/>
      <c r="D159" s="22"/>
      <c r="E159" s="86"/>
      <c r="F159" s="84"/>
      <c r="G159" s="84">
        <v>6.2</v>
      </c>
      <c r="H159" s="84">
        <f>L2</f>
        <v>6.17</v>
      </c>
      <c r="I159" s="84">
        <f>S2</f>
        <v>1</v>
      </c>
      <c r="J159" s="84">
        <f t="shared" si="56"/>
        <v>13.370000000000001</v>
      </c>
      <c r="K159" s="83">
        <f>U2</f>
        <v>0.8</v>
      </c>
      <c r="L159" s="64">
        <f>AC23</f>
        <v>0.75600000000000001</v>
      </c>
      <c r="M159" s="84">
        <f>AG31</f>
        <v>0.57000000000000006</v>
      </c>
      <c r="N159" s="84">
        <f t="shared" si="57"/>
        <v>15.496000000000002</v>
      </c>
      <c r="O159" s="84">
        <v>1</v>
      </c>
      <c r="P159" s="84">
        <f t="shared" si="58"/>
        <v>16.496000000000002</v>
      </c>
      <c r="Q159" s="84">
        <v>1.0609999999999999</v>
      </c>
      <c r="R159" s="64">
        <f t="shared" si="59"/>
        <v>17.502256000000003</v>
      </c>
      <c r="S159" s="64">
        <v>1.45</v>
      </c>
      <c r="T159" s="64">
        <f t="shared" si="60"/>
        <v>25.378271200000004</v>
      </c>
      <c r="U159" s="64">
        <f t="shared" si="61"/>
        <v>7.8760152000000012</v>
      </c>
      <c r="V159" s="64">
        <v>27</v>
      </c>
      <c r="W159" s="62">
        <f t="shared" si="62"/>
        <v>0.93993597037037047</v>
      </c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</row>
    <row r="160" spans="1:38">
      <c r="A160" s="36" t="s">
        <v>147</v>
      </c>
      <c r="B160" s="22"/>
      <c r="C160" s="22"/>
      <c r="D160" s="22"/>
      <c r="E160" s="86"/>
      <c r="F160" s="84"/>
      <c r="G160" s="84">
        <v>6.2</v>
      </c>
      <c r="H160" s="84">
        <f>L2</f>
        <v>6.17</v>
      </c>
      <c r="I160" s="84">
        <f>S2</f>
        <v>1</v>
      </c>
      <c r="J160" s="84">
        <f t="shared" si="56"/>
        <v>13.370000000000001</v>
      </c>
      <c r="K160" s="83">
        <f>U2</f>
        <v>0.8</v>
      </c>
      <c r="L160" s="64">
        <f>AC23</f>
        <v>0.75600000000000001</v>
      </c>
      <c r="M160" s="84">
        <f>AG31</f>
        <v>0.57000000000000006</v>
      </c>
      <c r="N160" s="84">
        <f t="shared" si="57"/>
        <v>15.496000000000002</v>
      </c>
      <c r="O160" s="84">
        <v>1</v>
      </c>
      <c r="P160" s="84">
        <f t="shared" si="58"/>
        <v>16.496000000000002</v>
      </c>
      <c r="Q160" s="84">
        <v>1.0609999999999999</v>
      </c>
      <c r="R160" s="64">
        <f t="shared" si="59"/>
        <v>17.502256000000003</v>
      </c>
      <c r="S160" s="64">
        <v>1.45</v>
      </c>
      <c r="T160" s="64">
        <f t="shared" si="60"/>
        <v>25.378271200000004</v>
      </c>
      <c r="U160" s="64">
        <f t="shared" si="61"/>
        <v>7.8760152000000012</v>
      </c>
      <c r="V160" s="64">
        <v>27</v>
      </c>
      <c r="W160" s="62">
        <f t="shared" si="62"/>
        <v>0.93993597037037047</v>
      </c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</row>
    <row r="161" spans="1:155">
      <c r="A161" s="36" t="s">
        <v>148</v>
      </c>
      <c r="B161" s="22"/>
      <c r="C161" s="22"/>
      <c r="D161" s="22"/>
      <c r="E161" s="86"/>
      <c r="F161" s="84"/>
      <c r="G161" s="84">
        <v>6.2</v>
      </c>
      <c r="H161" s="84">
        <f>L2</f>
        <v>6.17</v>
      </c>
      <c r="I161" s="84">
        <f>S2</f>
        <v>1</v>
      </c>
      <c r="J161" s="84">
        <f t="shared" si="56"/>
        <v>13.370000000000001</v>
      </c>
      <c r="K161" s="83">
        <f>U2</f>
        <v>0.8</v>
      </c>
      <c r="L161" s="64">
        <f>AC23</f>
        <v>0.75600000000000001</v>
      </c>
      <c r="M161" s="84">
        <f>AG31</f>
        <v>0.57000000000000006</v>
      </c>
      <c r="N161" s="84">
        <f t="shared" si="57"/>
        <v>15.496000000000002</v>
      </c>
      <c r="O161" s="84">
        <v>1</v>
      </c>
      <c r="P161" s="84">
        <f t="shared" si="58"/>
        <v>16.496000000000002</v>
      </c>
      <c r="Q161" s="84">
        <v>1.0609999999999999</v>
      </c>
      <c r="R161" s="64">
        <f t="shared" si="59"/>
        <v>17.502256000000003</v>
      </c>
      <c r="S161" s="64">
        <v>1.45</v>
      </c>
      <c r="T161" s="64">
        <f t="shared" si="60"/>
        <v>25.378271200000004</v>
      </c>
      <c r="U161" s="64">
        <f t="shared" si="61"/>
        <v>7.8760152000000012</v>
      </c>
      <c r="V161" s="64">
        <v>27</v>
      </c>
      <c r="W161" s="62">
        <f t="shared" si="62"/>
        <v>0.93993597037037047</v>
      </c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</row>
    <row r="162" spans="1:155">
      <c r="A162" s="36" t="s">
        <v>149</v>
      </c>
      <c r="B162" s="22"/>
      <c r="C162" s="22"/>
      <c r="D162" s="22"/>
      <c r="E162" s="86"/>
      <c r="F162" s="84"/>
      <c r="G162" s="84">
        <v>14</v>
      </c>
      <c r="H162" s="84">
        <f>J2</f>
        <v>8.09</v>
      </c>
      <c r="I162" s="84">
        <f>S2</f>
        <v>1</v>
      </c>
      <c r="J162" s="84">
        <f t="shared" si="56"/>
        <v>23.09</v>
      </c>
      <c r="K162" s="83">
        <f>U2</f>
        <v>0.8</v>
      </c>
      <c r="L162" s="64">
        <f>AD24</f>
        <v>0.90720000000000001</v>
      </c>
      <c r="M162" s="84">
        <f>AG32</f>
        <v>0.57000000000000006</v>
      </c>
      <c r="N162" s="84">
        <f t="shared" si="57"/>
        <v>25.3672</v>
      </c>
      <c r="O162" s="84">
        <v>1</v>
      </c>
      <c r="P162" s="84">
        <f t="shared" si="58"/>
        <v>26.3672</v>
      </c>
      <c r="Q162" s="84">
        <v>1.0609999999999999</v>
      </c>
      <c r="R162" s="64">
        <f t="shared" si="59"/>
        <v>27.975599199999998</v>
      </c>
      <c r="S162" s="64">
        <v>1.45</v>
      </c>
      <c r="T162" s="64">
        <f t="shared" si="60"/>
        <v>40.564618839999994</v>
      </c>
      <c r="U162" s="64">
        <f t="shared" si="61"/>
        <v>12.589019639999997</v>
      </c>
      <c r="V162" s="64">
        <v>27</v>
      </c>
      <c r="W162" s="62">
        <f t="shared" si="62"/>
        <v>1.5023932903703701</v>
      </c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</row>
    <row r="163" spans="1:155">
      <c r="A163" s="36" t="s">
        <v>150</v>
      </c>
      <c r="B163" s="22"/>
      <c r="C163" s="22"/>
      <c r="D163" s="22"/>
      <c r="E163" s="86"/>
      <c r="F163" s="84"/>
      <c r="G163" s="84">
        <v>14</v>
      </c>
      <c r="H163" s="84">
        <f>J2</f>
        <v>8.09</v>
      </c>
      <c r="I163" s="84">
        <f>S2</f>
        <v>1</v>
      </c>
      <c r="J163" s="84">
        <f t="shared" si="56"/>
        <v>23.09</v>
      </c>
      <c r="K163" s="83">
        <f>U2</f>
        <v>0.8</v>
      </c>
      <c r="L163" s="64">
        <f>AD24</f>
        <v>0.90720000000000001</v>
      </c>
      <c r="M163" s="84">
        <f>AG32</f>
        <v>0.57000000000000006</v>
      </c>
      <c r="N163" s="84">
        <f t="shared" si="57"/>
        <v>25.3672</v>
      </c>
      <c r="O163" s="84">
        <v>1</v>
      </c>
      <c r="P163" s="84">
        <f t="shared" si="58"/>
        <v>26.3672</v>
      </c>
      <c r="Q163" s="84">
        <v>1.0609999999999999</v>
      </c>
      <c r="R163" s="64">
        <f t="shared" si="59"/>
        <v>27.975599199999998</v>
      </c>
      <c r="S163" s="64">
        <v>1.45</v>
      </c>
      <c r="T163" s="64">
        <f t="shared" si="60"/>
        <v>40.564618839999994</v>
      </c>
      <c r="U163" s="64">
        <f t="shared" si="61"/>
        <v>12.589019639999997</v>
      </c>
      <c r="V163" s="64">
        <v>27</v>
      </c>
      <c r="W163" s="62">
        <f t="shared" si="62"/>
        <v>1.5023932903703701</v>
      </c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</row>
    <row r="164" spans="1:155">
      <c r="A164" s="36" t="s">
        <v>151</v>
      </c>
      <c r="B164" s="22"/>
      <c r="C164" s="22"/>
      <c r="D164" s="22"/>
      <c r="E164" s="86"/>
      <c r="F164" s="84"/>
      <c r="G164" s="84">
        <v>14</v>
      </c>
      <c r="H164" s="84">
        <f>J2</f>
        <v>8.09</v>
      </c>
      <c r="I164" s="84">
        <f>S2</f>
        <v>1</v>
      </c>
      <c r="J164" s="84">
        <f t="shared" si="56"/>
        <v>23.09</v>
      </c>
      <c r="K164" s="83">
        <f>U2</f>
        <v>0.8</v>
      </c>
      <c r="L164" s="64">
        <f>AD24</f>
        <v>0.90720000000000001</v>
      </c>
      <c r="M164" s="84">
        <f>AG32</f>
        <v>0.57000000000000006</v>
      </c>
      <c r="N164" s="84">
        <f t="shared" si="57"/>
        <v>25.3672</v>
      </c>
      <c r="O164" s="84">
        <v>1</v>
      </c>
      <c r="P164" s="84">
        <f t="shared" si="58"/>
        <v>26.3672</v>
      </c>
      <c r="Q164" s="84">
        <v>1.0609999999999999</v>
      </c>
      <c r="R164" s="64">
        <f t="shared" si="59"/>
        <v>27.975599199999998</v>
      </c>
      <c r="S164" s="64">
        <v>1.45</v>
      </c>
      <c r="T164" s="64">
        <f t="shared" si="60"/>
        <v>40.564618839999994</v>
      </c>
      <c r="U164" s="64">
        <f t="shared" si="61"/>
        <v>12.589019639999997</v>
      </c>
      <c r="V164" s="64">
        <v>27</v>
      </c>
      <c r="W164" s="62">
        <f t="shared" si="62"/>
        <v>1.5023932903703701</v>
      </c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</row>
    <row r="165" spans="1:155">
      <c r="A165" s="36" t="s">
        <v>152</v>
      </c>
      <c r="B165" s="22"/>
      <c r="C165" s="22"/>
      <c r="D165" s="22"/>
      <c r="E165" s="86"/>
      <c r="F165" s="84"/>
      <c r="G165" s="84">
        <v>14</v>
      </c>
      <c r="H165" s="84">
        <f>J2</f>
        <v>8.09</v>
      </c>
      <c r="I165" s="84">
        <f>S2</f>
        <v>1</v>
      </c>
      <c r="J165" s="84">
        <f t="shared" si="56"/>
        <v>23.09</v>
      </c>
      <c r="K165" s="83">
        <f>U2</f>
        <v>0.8</v>
      </c>
      <c r="L165" s="64">
        <f>AD24</f>
        <v>0.90720000000000001</v>
      </c>
      <c r="M165" s="84">
        <f>AG32</f>
        <v>0.57000000000000006</v>
      </c>
      <c r="N165" s="84">
        <f t="shared" si="57"/>
        <v>25.3672</v>
      </c>
      <c r="O165" s="84">
        <v>1</v>
      </c>
      <c r="P165" s="84">
        <f t="shared" si="58"/>
        <v>26.3672</v>
      </c>
      <c r="Q165" s="84">
        <v>1.0609999999999999</v>
      </c>
      <c r="R165" s="64">
        <f t="shared" si="59"/>
        <v>27.975599199999998</v>
      </c>
      <c r="S165" s="64">
        <v>1.45</v>
      </c>
      <c r="T165" s="64">
        <f t="shared" si="60"/>
        <v>40.564618839999994</v>
      </c>
      <c r="U165" s="64">
        <f t="shared" si="61"/>
        <v>12.589019639999997</v>
      </c>
      <c r="V165" s="64">
        <v>27</v>
      </c>
      <c r="W165" s="62">
        <f t="shared" si="62"/>
        <v>1.5023932903703701</v>
      </c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</row>
    <row r="166" spans="1:155">
      <c r="A166" s="36" t="s">
        <v>153</v>
      </c>
      <c r="B166" s="22"/>
      <c r="C166" s="22"/>
      <c r="D166" s="22"/>
      <c r="E166" s="86"/>
      <c r="F166" s="84"/>
      <c r="G166" s="84">
        <v>13</v>
      </c>
      <c r="H166" s="84">
        <f>J2</f>
        <v>8.09</v>
      </c>
      <c r="I166" s="84">
        <f>S2</f>
        <v>1</v>
      </c>
      <c r="J166" s="84">
        <f t="shared" si="56"/>
        <v>22.09</v>
      </c>
      <c r="K166" s="83">
        <f>U2</f>
        <v>0.8</v>
      </c>
      <c r="L166" s="64">
        <f>AD24</f>
        <v>0.90720000000000001</v>
      </c>
      <c r="M166" s="84">
        <f>AG32</f>
        <v>0.57000000000000006</v>
      </c>
      <c r="N166" s="84">
        <f t="shared" si="57"/>
        <v>24.3672</v>
      </c>
      <c r="O166" s="84">
        <v>1</v>
      </c>
      <c r="P166" s="84">
        <f t="shared" si="58"/>
        <v>25.3672</v>
      </c>
      <c r="Q166" s="84">
        <v>1.0609999999999999</v>
      </c>
      <c r="R166" s="64">
        <f t="shared" si="59"/>
        <v>26.914599199999998</v>
      </c>
      <c r="S166" s="64">
        <v>1.45</v>
      </c>
      <c r="T166" s="64">
        <f t="shared" si="60"/>
        <v>39.026168839999997</v>
      </c>
      <c r="U166" s="64">
        <f t="shared" si="61"/>
        <v>12.111569639999999</v>
      </c>
      <c r="V166" s="64">
        <v>27</v>
      </c>
      <c r="W166" s="62">
        <f t="shared" si="62"/>
        <v>1.4454136607407406</v>
      </c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</row>
    <row r="167" spans="1:155" s="90" customFormat="1">
      <c r="A167" s="49"/>
      <c r="E167" s="86"/>
      <c r="F167" s="84"/>
      <c r="G167" s="84"/>
      <c r="H167" s="84"/>
      <c r="I167" s="84"/>
      <c r="J167" s="84"/>
      <c r="K167" s="83"/>
      <c r="L167" s="64"/>
      <c r="M167" s="84"/>
      <c r="N167" s="84"/>
      <c r="O167" s="84"/>
      <c r="P167" s="84"/>
      <c r="Q167" s="84"/>
      <c r="R167" s="64"/>
      <c r="S167" s="64"/>
      <c r="T167" s="64"/>
      <c r="U167" s="64"/>
      <c r="V167" s="64"/>
      <c r="W167" s="62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1:155" s="90" customFormat="1" ht="18.75">
      <c r="A168" s="109" t="s">
        <v>281</v>
      </c>
      <c r="E168" s="86"/>
      <c r="F168" s="84"/>
      <c r="G168" s="84">
        <v>20.100000000000001</v>
      </c>
      <c r="H168" s="84">
        <f>J2</f>
        <v>8.09</v>
      </c>
      <c r="I168" s="84">
        <f>S2</f>
        <v>1</v>
      </c>
      <c r="J168" s="84">
        <f t="shared" si="56"/>
        <v>29.19</v>
      </c>
      <c r="K168" s="83">
        <f>U2</f>
        <v>0.8</v>
      </c>
      <c r="L168" s="64">
        <f>AF24</f>
        <v>1.0476000000000001</v>
      </c>
      <c r="M168" s="84">
        <f>AG32</f>
        <v>0.57000000000000006</v>
      </c>
      <c r="N168" s="84">
        <f t="shared" si="57"/>
        <v>31.607600000000001</v>
      </c>
      <c r="O168" s="84">
        <v>1</v>
      </c>
      <c r="P168" s="84">
        <f t="shared" ref="P168:P173" si="63">O168+N168</f>
        <v>32.607600000000005</v>
      </c>
      <c r="Q168" s="84">
        <v>1.0609999999999999</v>
      </c>
      <c r="R168" s="64">
        <f t="shared" ref="R168:R173" si="64">Q168*P168</f>
        <v>34.596663600000007</v>
      </c>
      <c r="S168" s="64">
        <v>1.45</v>
      </c>
      <c r="T168" s="64">
        <f t="shared" ref="T168:T173" si="65">S168*R168</f>
        <v>50.165162220000006</v>
      </c>
      <c r="U168" s="64">
        <f t="shared" ref="U168:U173" si="66">T168-R168</f>
        <v>15.56849862</v>
      </c>
      <c r="V168" s="64">
        <v>27</v>
      </c>
      <c r="W168" s="62">
        <f t="shared" ref="W168:W173" si="67">T168/V168</f>
        <v>1.8579689711111114</v>
      </c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1:155" s="90" customFormat="1" ht="18.75">
      <c r="A169" s="109" t="s">
        <v>282</v>
      </c>
      <c r="E169" s="86"/>
      <c r="F169" s="84"/>
      <c r="G169" s="84">
        <v>20.3</v>
      </c>
      <c r="H169" s="84">
        <f>J2</f>
        <v>8.09</v>
      </c>
      <c r="I169" s="84">
        <f>S2</f>
        <v>1</v>
      </c>
      <c r="J169" s="84">
        <f t="shared" si="56"/>
        <v>29.39</v>
      </c>
      <c r="K169" s="83">
        <f>U2</f>
        <v>0.8</v>
      </c>
      <c r="L169" s="64">
        <f>AF24</f>
        <v>1.0476000000000001</v>
      </c>
      <c r="M169" s="84">
        <f>AG32</f>
        <v>0.57000000000000006</v>
      </c>
      <c r="N169" s="84">
        <f t="shared" si="57"/>
        <v>31.807600000000001</v>
      </c>
      <c r="O169" s="84">
        <v>1</v>
      </c>
      <c r="P169" s="84">
        <f t="shared" si="63"/>
        <v>32.807600000000001</v>
      </c>
      <c r="Q169" s="84">
        <v>1.0609999999999999</v>
      </c>
      <c r="R169" s="64">
        <f t="shared" si="64"/>
        <v>34.808863600000002</v>
      </c>
      <c r="S169" s="64">
        <v>1.45</v>
      </c>
      <c r="T169" s="64">
        <f t="shared" si="65"/>
        <v>50.47285222</v>
      </c>
      <c r="U169" s="64">
        <f t="shared" si="66"/>
        <v>15.663988619999998</v>
      </c>
      <c r="V169" s="64">
        <v>27</v>
      </c>
      <c r="W169" s="62">
        <f t="shared" si="67"/>
        <v>1.8693648970370371</v>
      </c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EY169" s="83">
        <f>AH31</f>
        <v>0.75</v>
      </c>
    </row>
    <row r="170" spans="1:155" s="90" customFormat="1" ht="18.75">
      <c r="A170" s="109" t="s">
        <v>283</v>
      </c>
      <c r="E170" s="86"/>
      <c r="F170" s="84"/>
      <c r="G170" s="84">
        <v>20.6</v>
      </c>
      <c r="H170" s="84">
        <f>J2</f>
        <v>8.09</v>
      </c>
      <c r="I170" s="84">
        <f>S2</f>
        <v>1</v>
      </c>
      <c r="J170" s="84">
        <f t="shared" si="56"/>
        <v>29.69</v>
      </c>
      <c r="K170" s="83">
        <f>U2</f>
        <v>0.8</v>
      </c>
      <c r="L170" s="64">
        <f>AF24</f>
        <v>1.0476000000000001</v>
      </c>
      <c r="M170" s="84">
        <f>AG32</f>
        <v>0.57000000000000006</v>
      </c>
      <c r="N170" s="84">
        <f t="shared" si="57"/>
        <v>32.107600000000005</v>
      </c>
      <c r="O170" s="84">
        <v>1</v>
      </c>
      <c r="P170" s="84">
        <f t="shared" si="63"/>
        <v>33.107600000000005</v>
      </c>
      <c r="Q170" s="84">
        <v>1.0609999999999999</v>
      </c>
      <c r="R170" s="64">
        <f t="shared" si="64"/>
        <v>35.127163600000003</v>
      </c>
      <c r="S170" s="64">
        <v>1.45</v>
      </c>
      <c r="T170" s="64">
        <f t="shared" si="65"/>
        <v>50.934387220000005</v>
      </c>
      <c r="U170" s="64">
        <f t="shared" si="66"/>
        <v>15.807223620000002</v>
      </c>
      <c r="V170" s="64">
        <v>27</v>
      </c>
      <c r="W170" s="62">
        <f t="shared" si="67"/>
        <v>1.8864587859259261</v>
      </c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1:155" s="90" customFormat="1" ht="18.75">
      <c r="A171" s="109" t="s">
        <v>284</v>
      </c>
      <c r="E171" s="86"/>
      <c r="F171" s="84"/>
      <c r="G171" s="84">
        <v>19.899999999999999</v>
      </c>
      <c r="H171" s="84">
        <f>J2</f>
        <v>8.09</v>
      </c>
      <c r="I171" s="84">
        <f>S2</f>
        <v>1</v>
      </c>
      <c r="J171" s="84">
        <f t="shared" si="56"/>
        <v>28.99</v>
      </c>
      <c r="K171" s="83">
        <f>U2</f>
        <v>0.8</v>
      </c>
      <c r="L171" s="64">
        <f>AF24</f>
        <v>1.0476000000000001</v>
      </c>
      <c r="M171" s="84">
        <f>AG32</f>
        <v>0.57000000000000006</v>
      </c>
      <c r="N171" s="84">
        <f t="shared" si="57"/>
        <v>31.407599999999999</v>
      </c>
      <c r="O171" s="84">
        <v>1</v>
      </c>
      <c r="P171" s="84">
        <f t="shared" si="63"/>
        <v>32.407600000000002</v>
      </c>
      <c r="Q171" s="84">
        <v>1.0609999999999999</v>
      </c>
      <c r="R171" s="64">
        <f t="shared" si="64"/>
        <v>34.384463600000004</v>
      </c>
      <c r="S171" s="64">
        <v>1.45</v>
      </c>
      <c r="T171" s="64">
        <f t="shared" si="65"/>
        <v>49.857472220000005</v>
      </c>
      <c r="U171" s="64">
        <f t="shared" si="66"/>
        <v>15.473008620000002</v>
      </c>
      <c r="V171" s="64">
        <v>27</v>
      </c>
      <c r="W171" s="62">
        <f t="shared" si="67"/>
        <v>1.8465730451851854</v>
      </c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1:155" s="108" customFormat="1" ht="18.75">
      <c r="A172" s="110" t="s">
        <v>285</v>
      </c>
      <c r="E172" s="86"/>
      <c r="F172" s="84"/>
      <c r="G172" s="84">
        <v>38.1</v>
      </c>
      <c r="H172" s="84">
        <f>H2</f>
        <v>9.41</v>
      </c>
      <c r="I172" s="84">
        <f>S2</f>
        <v>1</v>
      </c>
      <c r="J172" s="84">
        <f t="shared" si="56"/>
        <v>48.510000000000005</v>
      </c>
      <c r="K172" s="83">
        <f>U2</f>
        <v>0.8</v>
      </c>
      <c r="L172" s="64">
        <f>AH25</f>
        <v>1.4472000000000003</v>
      </c>
      <c r="M172" s="84">
        <f>AH33</f>
        <v>1.02</v>
      </c>
      <c r="N172" s="84">
        <f t="shared" si="57"/>
        <v>51.777200000000008</v>
      </c>
      <c r="O172" s="84">
        <v>1</v>
      </c>
      <c r="P172" s="84">
        <f t="shared" si="63"/>
        <v>52.777200000000008</v>
      </c>
      <c r="Q172" s="84">
        <v>1.0609999999999999</v>
      </c>
      <c r="R172" s="64">
        <f t="shared" si="64"/>
        <v>55.996609200000002</v>
      </c>
      <c r="S172" s="64">
        <v>1.4</v>
      </c>
      <c r="T172" s="64">
        <f t="shared" si="65"/>
        <v>78.395252880000001</v>
      </c>
      <c r="U172" s="64">
        <f t="shared" si="66"/>
        <v>22.398643679999999</v>
      </c>
      <c r="V172" s="64">
        <v>27</v>
      </c>
      <c r="W172" s="62">
        <f t="shared" si="67"/>
        <v>2.9035278844444443</v>
      </c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1:155" s="90" customFormat="1" ht="18.75">
      <c r="A173" s="110" t="s">
        <v>286</v>
      </c>
      <c r="E173" s="86"/>
      <c r="F173" s="84"/>
      <c r="G173" s="84">
        <v>20.8</v>
      </c>
      <c r="H173" s="84">
        <f>J2</f>
        <v>8.09</v>
      </c>
      <c r="I173" s="84">
        <f>S2</f>
        <v>1</v>
      </c>
      <c r="J173" s="84">
        <f t="shared" si="56"/>
        <v>29.89</v>
      </c>
      <c r="K173" s="83">
        <f>U2</f>
        <v>0.8</v>
      </c>
      <c r="L173" s="64">
        <f>AF24</f>
        <v>1.0476000000000001</v>
      </c>
      <c r="M173" s="84">
        <f>AG32</f>
        <v>0.57000000000000006</v>
      </c>
      <c r="N173" s="84">
        <f t="shared" si="57"/>
        <v>32.307600000000001</v>
      </c>
      <c r="O173" s="84">
        <v>1</v>
      </c>
      <c r="P173" s="84">
        <f t="shared" si="63"/>
        <v>33.307600000000001</v>
      </c>
      <c r="Q173" s="84">
        <v>1.0609999999999999</v>
      </c>
      <c r="R173" s="64">
        <f t="shared" si="64"/>
        <v>35.339363599999999</v>
      </c>
      <c r="S173" s="64">
        <v>1.45</v>
      </c>
      <c r="T173" s="64">
        <f t="shared" si="65"/>
        <v>51.242077219999999</v>
      </c>
      <c r="U173" s="64">
        <f t="shared" si="66"/>
        <v>15.90271362</v>
      </c>
      <c r="V173" s="64">
        <v>27</v>
      </c>
      <c r="W173" s="62">
        <f t="shared" si="67"/>
        <v>1.8978547118518518</v>
      </c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1:155">
      <c r="A174" s="35"/>
      <c r="B174" s="51"/>
      <c r="C174" s="51"/>
      <c r="D174" s="51"/>
      <c r="E174" s="86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64"/>
      <c r="S174" s="64"/>
      <c r="T174" s="64"/>
      <c r="U174" s="64"/>
      <c r="V174" s="64"/>
      <c r="W174" s="62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</row>
    <row r="175" spans="1:155">
      <c r="A175" s="35"/>
      <c r="B175" s="51"/>
      <c r="C175" s="51"/>
      <c r="D175" s="51"/>
      <c r="E175" s="86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64"/>
      <c r="S175" s="64"/>
      <c r="T175" s="64"/>
      <c r="U175" s="64"/>
      <c r="V175" s="64"/>
      <c r="W175" s="62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</row>
    <row r="176" spans="1:155" ht="21">
      <c r="A176" s="39" t="s">
        <v>154</v>
      </c>
      <c r="B176" s="51"/>
      <c r="C176" s="51"/>
      <c r="D176" s="51"/>
      <c r="E176" s="86"/>
      <c r="F176" s="84"/>
      <c r="G176" s="84" t="s">
        <v>76</v>
      </c>
      <c r="H176" s="84" t="s">
        <v>77</v>
      </c>
      <c r="I176" s="84" t="s">
        <v>81</v>
      </c>
      <c r="J176" s="84" t="s">
        <v>83</v>
      </c>
      <c r="K176" s="83" t="s">
        <v>254</v>
      </c>
      <c r="L176" s="84" t="s">
        <v>84</v>
      </c>
      <c r="M176" s="84" t="s">
        <v>85</v>
      </c>
      <c r="N176" s="95" t="s">
        <v>272</v>
      </c>
      <c r="O176" s="84" t="s">
        <v>107</v>
      </c>
      <c r="P176" s="95" t="s">
        <v>272</v>
      </c>
      <c r="Q176" s="84" t="s">
        <v>87</v>
      </c>
      <c r="R176" s="84" t="s">
        <v>105</v>
      </c>
      <c r="S176" s="84" t="s">
        <v>88</v>
      </c>
      <c r="T176" s="84" t="s">
        <v>106</v>
      </c>
      <c r="U176" s="84" t="s">
        <v>89</v>
      </c>
      <c r="V176" s="84" t="s">
        <v>125</v>
      </c>
      <c r="W176" s="82" t="s">
        <v>126</v>
      </c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2"/>
      <c r="AN176" s="22"/>
    </row>
    <row r="177" spans="1:40">
      <c r="A177" s="40" t="s">
        <v>155</v>
      </c>
      <c r="B177" s="51"/>
      <c r="C177" s="51"/>
      <c r="D177" s="51"/>
      <c r="E177" s="86"/>
      <c r="F177" s="84"/>
      <c r="G177" s="84">
        <v>30.42</v>
      </c>
      <c r="H177" s="84">
        <f>J2</f>
        <v>8.09</v>
      </c>
      <c r="I177" s="84">
        <f>S2</f>
        <v>1</v>
      </c>
      <c r="J177" s="84">
        <f t="shared" ref="J177:J182" si="68">I177+H177+G177</f>
        <v>39.510000000000005</v>
      </c>
      <c r="K177" s="83">
        <f>U2</f>
        <v>0.8</v>
      </c>
      <c r="L177" s="64">
        <f>AF24</f>
        <v>1.0476000000000001</v>
      </c>
      <c r="M177" s="84">
        <f>AH33</f>
        <v>1.02</v>
      </c>
      <c r="N177" s="84">
        <f t="shared" ref="N177:N182" si="69">M177+L177+K177+J177</f>
        <v>42.377600000000008</v>
      </c>
      <c r="O177" s="84">
        <v>1</v>
      </c>
      <c r="P177" s="84">
        <f t="shared" ref="P177:P182" si="70">O177+N177</f>
        <v>43.377600000000008</v>
      </c>
      <c r="Q177" s="84">
        <v>1.0609999999999999</v>
      </c>
      <c r="R177" s="64">
        <f t="shared" ref="R177:R182" si="71">Q177*P177</f>
        <v>46.023633600000004</v>
      </c>
      <c r="S177" s="64">
        <v>1.5</v>
      </c>
      <c r="T177" s="64">
        <f t="shared" ref="T177:T182" si="72">S177*R177</f>
        <v>69.035450400000002</v>
      </c>
      <c r="U177" s="64">
        <f t="shared" ref="U177:U182" si="73">T177-R177</f>
        <v>23.011816799999998</v>
      </c>
      <c r="V177" s="64">
        <v>27</v>
      </c>
      <c r="W177" s="62">
        <f t="shared" ref="W177:W182" si="74">T177/V177</f>
        <v>2.5568685333333332</v>
      </c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</row>
    <row r="178" spans="1:40">
      <c r="A178" s="40" t="s">
        <v>156</v>
      </c>
      <c r="B178" s="51"/>
      <c r="C178" s="51"/>
      <c r="D178" s="51"/>
      <c r="E178" s="86"/>
      <c r="F178" s="84"/>
      <c r="G178" s="84">
        <v>25.28</v>
      </c>
      <c r="H178" s="84">
        <f>J2</f>
        <v>8.09</v>
      </c>
      <c r="I178" s="84">
        <f>S2</f>
        <v>1</v>
      </c>
      <c r="J178" s="84">
        <f t="shared" si="68"/>
        <v>34.370000000000005</v>
      </c>
      <c r="K178" s="83">
        <f>U2</f>
        <v>0.8</v>
      </c>
      <c r="L178" s="64">
        <f>AF24</f>
        <v>1.0476000000000001</v>
      </c>
      <c r="M178" s="84">
        <f>AH33</f>
        <v>1.02</v>
      </c>
      <c r="N178" s="84">
        <f t="shared" si="69"/>
        <v>37.237600000000008</v>
      </c>
      <c r="O178" s="84">
        <v>1</v>
      </c>
      <c r="P178" s="84">
        <f t="shared" si="70"/>
        <v>38.237600000000008</v>
      </c>
      <c r="Q178" s="84">
        <v>1.0609999999999999</v>
      </c>
      <c r="R178" s="64">
        <f t="shared" si="71"/>
        <v>40.570093600000007</v>
      </c>
      <c r="S178" s="64">
        <v>1.5</v>
      </c>
      <c r="T178" s="64">
        <f t="shared" si="72"/>
        <v>60.85514040000001</v>
      </c>
      <c r="U178" s="64">
        <f t="shared" si="73"/>
        <v>20.285046800000003</v>
      </c>
      <c r="V178" s="64">
        <v>27</v>
      </c>
      <c r="W178" s="62">
        <f t="shared" si="74"/>
        <v>2.2538940888888894</v>
      </c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</row>
    <row r="179" spans="1:40" s="22" customFormat="1">
      <c r="A179" s="40" t="s">
        <v>157</v>
      </c>
      <c r="B179" s="51"/>
      <c r="C179" s="51"/>
      <c r="D179" s="51"/>
      <c r="E179" s="86"/>
      <c r="F179" s="84"/>
      <c r="G179" s="84">
        <v>23.38</v>
      </c>
      <c r="H179" s="84">
        <f>J2</f>
        <v>8.09</v>
      </c>
      <c r="I179" s="84">
        <f>S2</f>
        <v>1</v>
      </c>
      <c r="J179" s="84">
        <f t="shared" si="68"/>
        <v>32.47</v>
      </c>
      <c r="K179" s="83">
        <f>U2</f>
        <v>0.8</v>
      </c>
      <c r="L179" s="64">
        <f>AF24</f>
        <v>1.0476000000000001</v>
      </c>
      <c r="M179" s="84">
        <f>AH33</f>
        <v>1.02</v>
      </c>
      <c r="N179" s="84">
        <f t="shared" si="69"/>
        <v>35.337600000000002</v>
      </c>
      <c r="O179" s="84">
        <v>1</v>
      </c>
      <c r="P179" s="84">
        <f t="shared" si="70"/>
        <v>36.337600000000002</v>
      </c>
      <c r="Q179" s="84">
        <v>1.0609999999999999</v>
      </c>
      <c r="R179" s="64">
        <f t="shared" si="71"/>
        <v>38.554193599999998</v>
      </c>
      <c r="S179" s="64">
        <v>1.5</v>
      </c>
      <c r="T179" s="64">
        <f t="shared" si="72"/>
        <v>57.8312904</v>
      </c>
      <c r="U179" s="64">
        <f t="shared" si="73"/>
        <v>19.277096800000002</v>
      </c>
      <c r="V179" s="64">
        <v>27</v>
      </c>
      <c r="W179" s="62">
        <f t="shared" si="74"/>
        <v>2.1418996444444445</v>
      </c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/>
      <c r="AN179"/>
    </row>
    <row r="180" spans="1:40">
      <c r="A180" s="40" t="s">
        <v>158</v>
      </c>
      <c r="B180" s="22"/>
      <c r="C180" s="22"/>
      <c r="D180" s="22"/>
      <c r="E180" s="86"/>
      <c r="F180" s="84"/>
      <c r="G180" s="84">
        <v>34.76</v>
      </c>
      <c r="H180" s="84">
        <f>J2</f>
        <v>8.09</v>
      </c>
      <c r="I180" s="84">
        <f>S2</f>
        <v>1</v>
      </c>
      <c r="J180" s="84">
        <f t="shared" si="68"/>
        <v>43.849999999999994</v>
      </c>
      <c r="K180" s="83">
        <f>U2</f>
        <v>0.8</v>
      </c>
      <c r="L180" s="64">
        <f>AF24</f>
        <v>1.0476000000000001</v>
      </c>
      <c r="M180" s="84">
        <f>AH33</f>
        <v>1.02</v>
      </c>
      <c r="N180" s="84">
        <f t="shared" si="69"/>
        <v>46.717599999999997</v>
      </c>
      <c r="O180" s="84">
        <v>1</v>
      </c>
      <c r="P180" s="84">
        <f t="shared" si="70"/>
        <v>47.717599999999997</v>
      </c>
      <c r="Q180" s="84">
        <v>1.0609999999999999</v>
      </c>
      <c r="R180" s="64">
        <f t="shared" si="71"/>
        <v>50.628373599999996</v>
      </c>
      <c r="S180" s="64">
        <v>1.5</v>
      </c>
      <c r="T180" s="64">
        <f t="shared" si="72"/>
        <v>75.942560399999991</v>
      </c>
      <c r="U180" s="64">
        <f t="shared" si="73"/>
        <v>25.314186799999995</v>
      </c>
      <c r="V180" s="64">
        <v>27</v>
      </c>
      <c r="W180" s="62">
        <f t="shared" si="74"/>
        <v>2.812687422222222</v>
      </c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</row>
    <row r="181" spans="1:40">
      <c r="A181" s="43" t="s">
        <v>159</v>
      </c>
      <c r="B181" s="22"/>
      <c r="C181" s="22"/>
      <c r="D181" s="22"/>
      <c r="E181" s="86"/>
      <c r="F181" s="84"/>
      <c r="G181" s="84">
        <v>27.68</v>
      </c>
      <c r="H181" s="84">
        <f>J2</f>
        <v>8.09</v>
      </c>
      <c r="I181" s="84">
        <f>S2</f>
        <v>1</v>
      </c>
      <c r="J181" s="84">
        <f t="shared" si="68"/>
        <v>36.769999999999996</v>
      </c>
      <c r="K181" s="83">
        <f>U2</f>
        <v>0.8</v>
      </c>
      <c r="L181" s="64">
        <f>AF24</f>
        <v>1.0476000000000001</v>
      </c>
      <c r="M181" s="84">
        <f>AH33</f>
        <v>1.02</v>
      </c>
      <c r="N181" s="84">
        <f t="shared" si="69"/>
        <v>39.637599999999999</v>
      </c>
      <c r="O181" s="84">
        <v>1</v>
      </c>
      <c r="P181" s="84">
        <f t="shared" si="70"/>
        <v>40.637599999999999</v>
      </c>
      <c r="Q181" s="84">
        <v>1.0609999999999999</v>
      </c>
      <c r="R181" s="64">
        <f t="shared" si="71"/>
        <v>43.116493599999998</v>
      </c>
      <c r="S181" s="64">
        <v>1.5</v>
      </c>
      <c r="T181" s="64">
        <f t="shared" si="72"/>
        <v>64.67474039999999</v>
      </c>
      <c r="U181" s="64">
        <f t="shared" si="73"/>
        <v>21.558246799999992</v>
      </c>
      <c r="V181" s="64">
        <v>27</v>
      </c>
      <c r="W181" s="62">
        <f t="shared" si="74"/>
        <v>2.3953607555555552</v>
      </c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</row>
    <row r="182" spans="1:40">
      <c r="A182" s="40" t="s">
        <v>186</v>
      </c>
      <c r="B182" s="22"/>
      <c r="C182" s="22"/>
      <c r="D182" s="22"/>
      <c r="E182" s="86"/>
      <c r="F182" s="84"/>
      <c r="G182" s="84">
        <v>8</v>
      </c>
      <c r="H182" s="84">
        <f>L2</f>
        <v>6.17</v>
      </c>
      <c r="I182" s="84">
        <f>S2</f>
        <v>1</v>
      </c>
      <c r="J182" s="84">
        <f t="shared" si="68"/>
        <v>15.17</v>
      </c>
      <c r="K182" s="83">
        <f>U2</f>
        <v>0.8</v>
      </c>
      <c r="L182" s="64">
        <f>AE23</f>
        <v>0.83160000000000012</v>
      </c>
      <c r="M182" s="84">
        <v>0.8</v>
      </c>
      <c r="N182" s="84">
        <f t="shared" si="69"/>
        <v>17.601600000000001</v>
      </c>
      <c r="O182" s="84">
        <v>1</v>
      </c>
      <c r="P182" s="84">
        <f t="shared" si="70"/>
        <v>18.601600000000001</v>
      </c>
      <c r="Q182" s="84">
        <v>1.0609999999999999</v>
      </c>
      <c r="R182" s="64">
        <f t="shared" si="71"/>
        <v>19.7362976</v>
      </c>
      <c r="S182" s="64">
        <v>1.5</v>
      </c>
      <c r="T182" s="64">
        <f t="shared" si="72"/>
        <v>29.6044464</v>
      </c>
      <c r="U182" s="64">
        <f t="shared" si="73"/>
        <v>9.8681488000000002</v>
      </c>
      <c r="V182" s="64">
        <v>27</v>
      </c>
      <c r="W182" s="62">
        <f t="shared" si="74"/>
        <v>1.0964609777777778</v>
      </c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</row>
    <row r="183" spans="1:40">
      <c r="A183" s="42"/>
      <c r="B183" s="22"/>
      <c r="C183" s="22"/>
      <c r="D183" s="22"/>
      <c r="E183" s="86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64"/>
      <c r="S183" s="64"/>
      <c r="T183" s="64"/>
      <c r="U183" s="64"/>
      <c r="V183" s="64"/>
      <c r="W183" s="62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</row>
    <row r="184" spans="1:40">
      <c r="A184" s="42"/>
      <c r="B184" s="51"/>
      <c r="C184" s="51"/>
      <c r="D184" s="51"/>
      <c r="E184" s="86"/>
      <c r="F184" s="93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64"/>
      <c r="S184" s="64"/>
      <c r="T184" s="64"/>
      <c r="U184" s="64"/>
      <c r="V184" s="64"/>
      <c r="W184" s="62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</row>
    <row r="185" spans="1:40" ht="21">
      <c r="A185" s="46" t="s">
        <v>160</v>
      </c>
      <c r="B185" s="51"/>
      <c r="C185" s="51"/>
      <c r="D185" s="51"/>
      <c r="E185" s="86"/>
      <c r="F185" s="93"/>
      <c r="G185" s="84" t="s">
        <v>76</v>
      </c>
      <c r="H185" s="84" t="s">
        <v>77</v>
      </c>
      <c r="I185" s="84" t="s">
        <v>81</v>
      </c>
      <c r="J185" s="84" t="s">
        <v>83</v>
      </c>
      <c r="K185" s="83" t="s">
        <v>268</v>
      </c>
      <c r="L185" s="84" t="s">
        <v>84</v>
      </c>
      <c r="M185" s="84" t="s">
        <v>85</v>
      </c>
      <c r="N185" s="95" t="s">
        <v>272</v>
      </c>
      <c r="O185" s="84" t="s">
        <v>107</v>
      </c>
      <c r="P185" s="95" t="s">
        <v>272</v>
      </c>
      <c r="Q185" s="84" t="s">
        <v>87</v>
      </c>
      <c r="R185" s="84" t="s">
        <v>105</v>
      </c>
      <c r="S185" s="84" t="s">
        <v>88</v>
      </c>
      <c r="T185" s="84" t="s">
        <v>106</v>
      </c>
      <c r="U185" s="84" t="s">
        <v>89</v>
      </c>
      <c r="V185" s="84" t="s">
        <v>125</v>
      </c>
      <c r="W185" s="82" t="s">
        <v>126</v>
      </c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</row>
    <row r="186" spans="1:40">
      <c r="A186" s="81" t="s">
        <v>222</v>
      </c>
      <c r="B186" s="51"/>
      <c r="C186" s="51"/>
      <c r="D186" s="51"/>
      <c r="E186" s="86"/>
      <c r="F186" s="84" t="s">
        <v>69</v>
      </c>
      <c r="G186" s="84">
        <v>16</v>
      </c>
      <c r="H186" s="84">
        <f>P2</f>
        <v>7.59</v>
      </c>
      <c r="I186" s="84">
        <f>S2</f>
        <v>1</v>
      </c>
      <c r="J186" s="84">
        <f>I186+H186+G186</f>
        <v>24.59</v>
      </c>
      <c r="K186" s="83">
        <f>U2</f>
        <v>0.8</v>
      </c>
      <c r="L186" s="84">
        <f>AA14</f>
        <v>0.78</v>
      </c>
      <c r="M186" s="84">
        <f>AF29</f>
        <v>0.51</v>
      </c>
      <c r="N186" s="84">
        <f>M186+L186+K186+J186</f>
        <v>26.68</v>
      </c>
      <c r="O186" s="84">
        <v>1</v>
      </c>
      <c r="P186" s="84">
        <f>O186+N186</f>
        <v>27.68</v>
      </c>
      <c r="Q186" s="84">
        <v>1.0609999999999999</v>
      </c>
      <c r="R186" s="64">
        <f>Q186*P186</f>
        <v>29.368479999999998</v>
      </c>
      <c r="S186" s="64">
        <v>1.3</v>
      </c>
      <c r="T186" s="64">
        <f>S186*R186</f>
        <v>38.179023999999998</v>
      </c>
      <c r="U186" s="64">
        <f>T186-R186</f>
        <v>8.8105440000000002</v>
      </c>
      <c r="V186" s="64">
        <v>27</v>
      </c>
      <c r="W186" s="62">
        <f>T186/V186</f>
        <v>1.4140379259259259</v>
      </c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</row>
    <row r="187" spans="1:40">
      <c r="A187" s="81" t="s">
        <v>223</v>
      </c>
      <c r="B187" s="51"/>
      <c r="C187" s="51"/>
      <c r="D187" s="51"/>
      <c r="E187" s="86"/>
      <c r="F187" s="84" t="s">
        <v>115</v>
      </c>
      <c r="G187" s="84">
        <v>38</v>
      </c>
      <c r="H187" s="84">
        <f>J2</f>
        <v>8.09</v>
      </c>
      <c r="I187" s="84">
        <f>S2</f>
        <v>1</v>
      </c>
      <c r="J187" s="84">
        <f>I187+H187+G187</f>
        <v>47.09</v>
      </c>
      <c r="K187" s="83">
        <f>U2</f>
        <v>0.8</v>
      </c>
      <c r="L187" s="64">
        <f>AC16</f>
        <v>0.7</v>
      </c>
      <c r="M187" s="84">
        <f>AG32</f>
        <v>0.57000000000000006</v>
      </c>
      <c r="N187" s="84">
        <f>M187+L187+K187+J187</f>
        <v>49.160000000000004</v>
      </c>
      <c r="O187" s="84">
        <v>1</v>
      </c>
      <c r="P187" s="84">
        <f>O187+N187</f>
        <v>50.160000000000004</v>
      </c>
      <c r="Q187" s="84">
        <v>1.0609999999999999</v>
      </c>
      <c r="R187" s="64">
        <f>Q187*P187</f>
        <v>53.219760000000001</v>
      </c>
      <c r="S187" s="64">
        <v>1.3</v>
      </c>
      <c r="T187" s="64">
        <f>S187*R187</f>
        <v>69.185687999999999</v>
      </c>
      <c r="U187" s="64">
        <f>T187-R187</f>
        <v>15.965927999999998</v>
      </c>
      <c r="V187" s="64">
        <v>27</v>
      </c>
      <c r="W187" s="62">
        <f>T187/V187</f>
        <v>2.562432888888889</v>
      </c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</row>
    <row r="188" spans="1:40">
      <c r="A188" s="42"/>
      <c r="B188" s="80"/>
      <c r="C188" s="80"/>
      <c r="D188" s="80"/>
      <c r="E188" s="86"/>
      <c r="F188" s="93"/>
      <c r="G188" s="84"/>
      <c r="H188" s="84"/>
      <c r="I188" s="84"/>
      <c r="J188" s="84"/>
      <c r="K188" s="83"/>
      <c r="L188" s="84"/>
      <c r="M188" s="84"/>
      <c r="N188" s="84"/>
      <c r="O188" s="84"/>
      <c r="P188" s="84"/>
      <c r="Q188" s="84"/>
      <c r="R188" s="64"/>
      <c r="S188" s="64"/>
      <c r="T188" s="64"/>
      <c r="U188" s="64"/>
      <c r="V188" s="64"/>
      <c r="W188" s="62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55"/>
      <c r="AN188" s="55"/>
    </row>
    <row r="189" spans="1:40">
      <c r="A189" s="42"/>
      <c r="B189" s="51"/>
      <c r="C189" s="51"/>
      <c r="D189" s="51"/>
      <c r="E189" s="86"/>
      <c r="F189" s="93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64"/>
      <c r="S189" s="64"/>
      <c r="T189" s="64"/>
      <c r="U189" s="64"/>
      <c r="V189" s="64"/>
      <c r="W189" s="62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47"/>
      <c r="AN189" s="47"/>
    </row>
    <row r="190" spans="1:40" s="55" customFormat="1" ht="19.5">
      <c r="A190" s="45" t="s">
        <v>162</v>
      </c>
      <c r="B190" s="51"/>
      <c r="C190" s="51"/>
      <c r="D190" s="51"/>
      <c r="E190" s="86"/>
      <c r="F190" s="93"/>
      <c r="G190" s="84" t="s">
        <v>76</v>
      </c>
      <c r="H190" s="84" t="s">
        <v>77</v>
      </c>
      <c r="I190" s="84" t="s">
        <v>81</v>
      </c>
      <c r="J190" s="84" t="s">
        <v>83</v>
      </c>
      <c r="K190" s="83" t="s">
        <v>268</v>
      </c>
      <c r="L190" s="84" t="s">
        <v>84</v>
      </c>
      <c r="M190" s="84" t="s">
        <v>85</v>
      </c>
      <c r="N190" s="95" t="s">
        <v>272</v>
      </c>
      <c r="O190" s="84" t="s">
        <v>107</v>
      </c>
      <c r="P190" s="95" t="s">
        <v>272</v>
      </c>
      <c r="Q190" s="84" t="s">
        <v>87</v>
      </c>
      <c r="R190" s="84" t="s">
        <v>105</v>
      </c>
      <c r="S190" s="84" t="s">
        <v>88</v>
      </c>
      <c r="T190" s="84" t="s">
        <v>106</v>
      </c>
      <c r="U190" s="84" t="s">
        <v>89</v>
      </c>
      <c r="V190" s="84" t="s">
        <v>125</v>
      </c>
      <c r="W190" s="82" t="s">
        <v>126</v>
      </c>
      <c r="X190" s="56"/>
      <c r="Y190" s="56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/>
      <c r="AN190"/>
    </row>
    <row r="191" spans="1:40" s="51" customFormat="1">
      <c r="A191" s="44" t="s">
        <v>163</v>
      </c>
      <c r="E191" s="86"/>
      <c r="F191" s="93"/>
      <c r="G191" s="84">
        <v>80</v>
      </c>
      <c r="H191" s="84">
        <f>H2</f>
        <v>9.41</v>
      </c>
      <c r="I191" s="84">
        <f>S2</f>
        <v>1</v>
      </c>
      <c r="J191" s="84">
        <f>I191+H191+G191</f>
        <v>90.41</v>
      </c>
      <c r="K191" s="83">
        <f>U2</f>
        <v>0.8</v>
      </c>
      <c r="L191" s="64">
        <f>AE25</f>
        <v>1.2312000000000001</v>
      </c>
      <c r="M191" s="84">
        <f>AH33</f>
        <v>1.02</v>
      </c>
      <c r="N191" s="84">
        <f>M191+L191+K191+J191</f>
        <v>93.461199999999991</v>
      </c>
      <c r="O191" s="84">
        <v>1</v>
      </c>
      <c r="P191" s="84">
        <f>O191+N191</f>
        <v>94.461199999999991</v>
      </c>
      <c r="Q191" s="84">
        <v>1.0609999999999999</v>
      </c>
      <c r="R191" s="64">
        <f>Q191*P191</f>
        <v>100.22333319999998</v>
      </c>
      <c r="S191" s="64">
        <v>1.4</v>
      </c>
      <c r="T191" s="64">
        <f>S191*R191</f>
        <v>140.31266647999996</v>
      </c>
      <c r="U191" s="64">
        <f>T191-R191</f>
        <v>40.089333279999977</v>
      </c>
      <c r="V191" s="64">
        <v>27</v>
      </c>
      <c r="W191" s="62">
        <f>T191/V191</f>
        <v>5.196765425185184</v>
      </c>
      <c r="X191" s="52"/>
      <c r="Y191" s="52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</row>
    <row r="192" spans="1:40" s="47" customFormat="1">
      <c r="A192" s="42"/>
      <c r="B192" s="51"/>
      <c r="C192" s="51"/>
      <c r="D192" s="51"/>
      <c r="E192" s="86"/>
      <c r="F192" s="93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64"/>
      <c r="S192" s="64"/>
      <c r="T192" s="64"/>
      <c r="U192" s="64"/>
      <c r="V192" s="64"/>
      <c r="W192" s="62"/>
      <c r="X192" s="48"/>
      <c r="Y192" s="48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51"/>
      <c r="AN192" s="51"/>
    </row>
    <row r="193" spans="1:48">
      <c r="A193" s="38"/>
      <c r="B193" s="51"/>
      <c r="C193" s="51"/>
      <c r="D193" s="51"/>
      <c r="E193" s="86"/>
      <c r="F193" s="93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64"/>
      <c r="S193" s="64"/>
      <c r="T193" s="64"/>
      <c r="U193" s="64"/>
      <c r="V193" s="64"/>
      <c r="W193" s="62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51"/>
      <c r="AN193" s="51"/>
    </row>
    <row r="194" spans="1:48" s="51" customFormat="1" ht="19.5">
      <c r="A194" s="37" t="s">
        <v>164</v>
      </c>
      <c r="E194" s="86"/>
      <c r="F194" s="93"/>
      <c r="G194" s="84" t="s">
        <v>76</v>
      </c>
      <c r="H194" s="84" t="s">
        <v>77</v>
      </c>
      <c r="I194" s="84" t="s">
        <v>81</v>
      </c>
      <c r="J194" s="84" t="s">
        <v>83</v>
      </c>
      <c r="K194" s="83" t="s">
        <v>268</v>
      </c>
      <c r="L194" s="84" t="s">
        <v>84</v>
      </c>
      <c r="M194" s="84" t="s">
        <v>85</v>
      </c>
      <c r="N194" s="95" t="s">
        <v>272</v>
      </c>
      <c r="O194" s="84" t="s">
        <v>107</v>
      </c>
      <c r="P194" s="95" t="s">
        <v>272</v>
      </c>
      <c r="Q194" s="84" t="s">
        <v>87</v>
      </c>
      <c r="R194" s="84" t="s">
        <v>105</v>
      </c>
      <c r="S194" s="84" t="s">
        <v>88</v>
      </c>
      <c r="T194" s="84" t="s">
        <v>106</v>
      </c>
      <c r="U194" s="84" t="s">
        <v>89</v>
      </c>
      <c r="V194" s="84" t="s">
        <v>125</v>
      </c>
      <c r="W194" s="82" t="s">
        <v>126</v>
      </c>
      <c r="X194" s="52"/>
      <c r="Y194" s="52"/>
      <c r="Z194" s="23"/>
      <c r="AA194" s="23"/>
      <c r="AB194" s="23"/>
      <c r="AC194" s="23"/>
      <c r="AD194" s="23"/>
      <c r="AE194" s="23"/>
      <c r="AF194" s="23"/>
      <c r="AG194" s="23"/>
      <c r="AH194" s="23"/>
      <c r="AI194" s="56"/>
      <c r="AJ194" s="56"/>
      <c r="AK194" s="56"/>
      <c r="AL194" s="56"/>
    </row>
    <row r="195" spans="1:48" s="51" customFormat="1">
      <c r="A195" s="41" t="s">
        <v>165</v>
      </c>
      <c r="E195" s="86"/>
      <c r="F195" s="93"/>
      <c r="G195" s="84">
        <v>80</v>
      </c>
      <c r="H195" s="84">
        <f>J2</f>
        <v>8.09</v>
      </c>
      <c r="I195" s="84">
        <f>S2</f>
        <v>1</v>
      </c>
      <c r="J195" s="84">
        <f>I195+H195+G195</f>
        <v>89.09</v>
      </c>
      <c r="K195" s="83">
        <f>U2</f>
        <v>0.8</v>
      </c>
      <c r="L195" s="64">
        <f>AL24</f>
        <v>1.4472000000000003</v>
      </c>
      <c r="M195" s="84">
        <f>AI33</f>
        <v>1.1099999999999999</v>
      </c>
      <c r="N195" s="84">
        <f>M195+L195+K195+J195</f>
        <v>92.447200000000009</v>
      </c>
      <c r="O195" s="84">
        <v>1</v>
      </c>
      <c r="P195" s="84">
        <f>O195+N195</f>
        <v>93.447200000000009</v>
      </c>
      <c r="Q195" s="84">
        <v>1.0609999999999999</v>
      </c>
      <c r="R195" s="64">
        <f>Q195*P195</f>
        <v>99.147479200000006</v>
      </c>
      <c r="S195" s="64">
        <v>1.3</v>
      </c>
      <c r="T195" s="64">
        <f>S195*R195</f>
        <v>128.89172296000001</v>
      </c>
      <c r="U195" s="64">
        <f>T195-R195</f>
        <v>29.744243760000003</v>
      </c>
      <c r="V195" s="64">
        <v>27</v>
      </c>
      <c r="W195" s="62">
        <f>T195/V195</f>
        <v>4.7737675170370375</v>
      </c>
      <c r="X195" s="52"/>
      <c r="Y195" s="52"/>
      <c r="Z195" s="56"/>
      <c r="AA195" s="56"/>
      <c r="AB195" s="56"/>
      <c r="AC195" s="56"/>
      <c r="AD195" s="56"/>
      <c r="AE195" s="56"/>
      <c r="AF195" s="56"/>
      <c r="AG195" s="56"/>
      <c r="AH195" s="56"/>
      <c r="AI195" s="52"/>
      <c r="AJ195" s="52"/>
      <c r="AK195" s="52"/>
      <c r="AL195" s="52"/>
    </row>
    <row r="196" spans="1:48" s="90" customFormat="1">
      <c r="A196" s="35"/>
      <c r="B196" s="51"/>
      <c r="C196" s="51"/>
      <c r="D196" s="51"/>
      <c r="E196" s="86"/>
      <c r="F196" s="93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64"/>
      <c r="S196" s="64"/>
      <c r="T196" s="64"/>
      <c r="U196" s="64"/>
      <c r="V196" s="64"/>
      <c r="W196" s="62"/>
      <c r="X196" s="91"/>
      <c r="Y196" s="91"/>
      <c r="Z196" s="52"/>
      <c r="AA196" s="52"/>
      <c r="AB196" s="52"/>
      <c r="AC196" s="52"/>
      <c r="AD196" s="52"/>
      <c r="AE196" s="52"/>
      <c r="AF196" s="52"/>
      <c r="AG196" s="52"/>
      <c r="AH196" s="52"/>
      <c r="AI196" s="91"/>
      <c r="AJ196" s="91"/>
      <c r="AK196" s="91"/>
      <c r="AL196" s="91"/>
    </row>
    <row r="197" spans="1:48" s="90" customFormat="1">
      <c r="A197" s="35"/>
      <c r="B197" s="51"/>
      <c r="C197" s="51"/>
      <c r="D197" s="51"/>
      <c r="E197" s="86"/>
      <c r="F197" s="93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64"/>
      <c r="S197" s="64"/>
      <c r="T197" s="64"/>
      <c r="U197" s="64"/>
      <c r="V197" s="64"/>
      <c r="W197" s="62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</row>
    <row r="198" spans="1:48" s="90" customFormat="1" ht="19.5">
      <c r="A198" s="37" t="s">
        <v>166</v>
      </c>
      <c r="B198" s="51"/>
      <c r="C198" s="51"/>
      <c r="D198" s="51"/>
      <c r="E198" s="86"/>
      <c r="F198" s="93"/>
      <c r="G198" s="84" t="s">
        <v>76</v>
      </c>
      <c r="H198" s="84" t="s">
        <v>77</v>
      </c>
      <c r="I198" s="84" t="s">
        <v>81</v>
      </c>
      <c r="J198" s="84" t="s">
        <v>83</v>
      </c>
      <c r="K198" s="83" t="s">
        <v>268</v>
      </c>
      <c r="L198" s="84" t="s">
        <v>84</v>
      </c>
      <c r="M198" s="84" t="s">
        <v>85</v>
      </c>
      <c r="N198" s="95" t="s">
        <v>272</v>
      </c>
      <c r="O198" s="84" t="s">
        <v>107</v>
      </c>
      <c r="P198" s="95" t="s">
        <v>272</v>
      </c>
      <c r="Q198" s="84" t="s">
        <v>87</v>
      </c>
      <c r="R198" s="84" t="s">
        <v>105</v>
      </c>
      <c r="S198" s="84" t="s">
        <v>88</v>
      </c>
      <c r="T198" s="84" t="s">
        <v>106</v>
      </c>
      <c r="U198" s="84" t="s">
        <v>89</v>
      </c>
      <c r="V198" s="84" t="s">
        <v>125</v>
      </c>
      <c r="W198" s="82" t="s">
        <v>126</v>
      </c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</row>
    <row r="199" spans="1:48" s="90" customFormat="1">
      <c r="A199" s="36" t="s">
        <v>167</v>
      </c>
      <c r="B199" s="51"/>
      <c r="C199" s="51"/>
      <c r="D199" s="51"/>
      <c r="E199" s="86"/>
      <c r="F199" s="93"/>
      <c r="G199" s="84">
        <v>38</v>
      </c>
      <c r="H199" s="84">
        <f>H2</f>
        <v>9.41</v>
      </c>
      <c r="I199" s="84">
        <f>S2</f>
        <v>1</v>
      </c>
      <c r="J199" s="84">
        <f t="shared" ref="J199:J207" si="75">I199+H199+G199</f>
        <v>48.41</v>
      </c>
      <c r="K199" s="83">
        <f>U2</f>
        <v>0.8</v>
      </c>
      <c r="L199" s="64">
        <f>AL24</f>
        <v>1.4472000000000003</v>
      </c>
      <c r="M199" s="84">
        <f>AI33</f>
        <v>1.1099999999999999</v>
      </c>
      <c r="N199" s="84">
        <f t="shared" ref="N199:N207" si="76">M199+L199+K199+J199</f>
        <v>51.767199999999995</v>
      </c>
      <c r="O199" s="84">
        <v>1</v>
      </c>
      <c r="P199" s="84">
        <f t="shared" ref="P199:P207" si="77">O199+N199</f>
        <v>52.767199999999995</v>
      </c>
      <c r="Q199" s="84">
        <v>1.0609999999999999</v>
      </c>
      <c r="R199" s="64">
        <f t="shared" ref="R199:R207" si="78">Q199*P199</f>
        <v>55.985999199999995</v>
      </c>
      <c r="S199" s="64">
        <v>1.4</v>
      </c>
      <c r="T199" s="64">
        <f t="shared" ref="T199:T207" si="79">S199*R199</f>
        <v>78.380398879999987</v>
      </c>
      <c r="U199" s="64">
        <f t="shared" ref="U199:U207" si="80">T199-R199</f>
        <v>22.394399679999992</v>
      </c>
      <c r="V199" s="64">
        <v>27</v>
      </c>
      <c r="W199" s="62">
        <f t="shared" ref="W199:W207" si="81">T199/V199</f>
        <v>2.9029777362962959</v>
      </c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</row>
    <row r="200" spans="1:48" s="90" customFormat="1">
      <c r="A200" s="36" t="s">
        <v>168</v>
      </c>
      <c r="B200" s="51"/>
      <c r="C200" s="51"/>
      <c r="D200" s="51"/>
      <c r="E200" s="86"/>
      <c r="F200" s="93"/>
      <c r="G200" s="84">
        <v>38</v>
      </c>
      <c r="H200" s="84">
        <f>H2</f>
        <v>9.41</v>
      </c>
      <c r="I200" s="84">
        <f>S2</f>
        <v>1</v>
      </c>
      <c r="J200" s="84">
        <f t="shared" si="75"/>
        <v>48.41</v>
      </c>
      <c r="K200" s="83">
        <f>U2</f>
        <v>0.8</v>
      </c>
      <c r="L200" s="64">
        <f>AL24</f>
        <v>1.4472000000000003</v>
      </c>
      <c r="M200" s="84">
        <f>AI33</f>
        <v>1.1099999999999999</v>
      </c>
      <c r="N200" s="84">
        <f t="shared" si="76"/>
        <v>51.767199999999995</v>
      </c>
      <c r="O200" s="84">
        <v>1</v>
      </c>
      <c r="P200" s="84">
        <f t="shared" si="77"/>
        <v>52.767199999999995</v>
      </c>
      <c r="Q200" s="84">
        <v>1.0609999999999999</v>
      </c>
      <c r="R200" s="64">
        <f t="shared" si="78"/>
        <v>55.985999199999995</v>
      </c>
      <c r="S200" s="64">
        <v>1.4</v>
      </c>
      <c r="T200" s="64">
        <f t="shared" si="79"/>
        <v>78.380398879999987</v>
      </c>
      <c r="U200" s="64">
        <f t="shared" si="80"/>
        <v>22.394399679999992</v>
      </c>
      <c r="V200" s="64">
        <v>27</v>
      </c>
      <c r="W200" s="62">
        <f t="shared" si="81"/>
        <v>2.9029777362962959</v>
      </c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</row>
    <row r="201" spans="1:48" s="90" customFormat="1">
      <c r="A201" s="36" t="s">
        <v>169</v>
      </c>
      <c r="B201" s="51"/>
      <c r="C201" s="51"/>
      <c r="D201" s="51"/>
      <c r="E201" s="86"/>
      <c r="F201" s="93"/>
      <c r="G201" s="84">
        <v>39</v>
      </c>
      <c r="H201" s="84">
        <f>H2</f>
        <v>9.41</v>
      </c>
      <c r="I201" s="84">
        <f>S2</f>
        <v>1</v>
      </c>
      <c r="J201" s="84">
        <f t="shared" si="75"/>
        <v>49.41</v>
      </c>
      <c r="K201" s="83">
        <f>U2</f>
        <v>0.8</v>
      </c>
      <c r="L201" s="64">
        <f>AL24</f>
        <v>1.4472000000000003</v>
      </c>
      <c r="M201" s="84">
        <f>AI33</f>
        <v>1.1099999999999999</v>
      </c>
      <c r="N201" s="84">
        <f t="shared" si="76"/>
        <v>52.767199999999995</v>
      </c>
      <c r="O201" s="84">
        <v>1</v>
      </c>
      <c r="P201" s="84">
        <f t="shared" si="77"/>
        <v>53.767199999999995</v>
      </c>
      <c r="Q201" s="84">
        <v>1.0609999999999999</v>
      </c>
      <c r="R201" s="64">
        <f t="shared" si="78"/>
        <v>57.046999199999995</v>
      </c>
      <c r="S201" s="64">
        <v>1.4</v>
      </c>
      <c r="T201" s="64">
        <f t="shared" si="79"/>
        <v>79.865798879999986</v>
      </c>
      <c r="U201" s="64">
        <f t="shared" si="80"/>
        <v>22.818799679999991</v>
      </c>
      <c r="V201" s="64">
        <v>27</v>
      </c>
      <c r="W201" s="62">
        <f t="shared" si="81"/>
        <v>2.9579925511111105</v>
      </c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</row>
    <row r="202" spans="1:48" s="90" customFormat="1">
      <c r="A202" s="36" t="s">
        <v>170</v>
      </c>
      <c r="B202" s="51"/>
      <c r="C202" s="51"/>
      <c r="D202" s="51"/>
      <c r="E202" s="86"/>
      <c r="F202" s="93"/>
      <c r="G202" s="84">
        <v>41</v>
      </c>
      <c r="H202" s="84">
        <f>H2</f>
        <v>9.41</v>
      </c>
      <c r="I202" s="84">
        <f>S2</f>
        <v>1</v>
      </c>
      <c r="J202" s="84">
        <f t="shared" si="75"/>
        <v>51.41</v>
      </c>
      <c r="K202" s="83">
        <f>U2</f>
        <v>0.8</v>
      </c>
      <c r="L202" s="64">
        <f>AL24</f>
        <v>1.4472000000000003</v>
      </c>
      <c r="M202" s="84">
        <f>AI33</f>
        <v>1.1099999999999999</v>
      </c>
      <c r="N202" s="84">
        <f t="shared" si="76"/>
        <v>54.767199999999995</v>
      </c>
      <c r="O202" s="84">
        <v>1</v>
      </c>
      <c r="P202" s="84">
        <f t="shared" si="77"/>
        <v>55.767199999999995</v>
      </c>
      <c r="Q202" s="84">
        <v>1.0609999999999999</v>
      </c>
      <c r="R202" s="64">
        <f t="shared" si="78"/>
        <v>59.168999199999995</v>
      </c>
      <c r="S202" s="64">
        <v>1.4</v>
      </c>
      <c r="T202" s="64">
        <f t="shared" si="79"/>
        <v>82.836598879999983</v>
      </c>
      <c r="U202" s="64">
        <f t="shared" si="80"/>
        <v>23.667599679999988</v>
      </c>
      <c r="V202" s="64">
        <v>27</v>
      </c>
      <c r="W202" s="62">
        <f t="shared" si="81"/>
        <v>3.0680221807407402</v>
      </c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</row>
    <row r="203" spans="1:48" s="90" customFormat="1">
      <c r="A203" s="36" t="s">
        <v>171</v>
      </c>
      <c r="B203" s="51"/>
      <c r="C203" s="51"/>
      <c r="D203" s="51"/>
      <c r="E203" s="86"/>
      <c r="F203" s="93"/>
      <c r="G203" s="84">
        <v>41.5</v>
      </c>
      <c r="H203" s="84">
        <f>H2</f>
        <v>9.41</v>
      </c>
      <c r="I203" s="84">
        <f>S2</f>
        <v>1</v>
      </c>
      <c r="J203" s="84">
        <f t="shared" si="75"/>
        <v>51.91</v>
      </c>
      <c r="K203" s="83">
        <f>U2</f>
        <v>0.8</v>
      </c>
      <c r="L203" s="64">
        <f>AL24</f>
        <v>1.4472000000000003</v>
      </c>
      <c r="M203" s="84">
        <f>AI33</f>
        <v>1.1099999999999999</v>
      </c>
      <c r="N203" s="84">
        <f t="shared" si="76"/>
        <v>55.267199999999995</v>
      </c>
      <c r="O203" s="84">
        <v>1</v>
      </c>
      <c r="P203" s="84">
        <f t="shared" si="77"/>
        <v>56.267199999999995</v>
      </c>
      <c r="Q203" s="84">
        <v>1.0609999999999999</v>
      </c>
      <c r="R203" s="64">
        <f t="shared" si="78"/>
        <v>59.699499199999991</v>
      </c>
      <c r="S203" s="64">
        <v>1.4</v>
      </c>
      <c r="T203" s="64">
        <f t="shared" si="79"/>
        <v>83.579298879999982</v>
      </c>
      <c r="U203" s="64">
        <f t="shared" si="80"/>
        <v>23.879799679999991</v>
      </c>
      <c r="V203" s="64">
        <v>27</v>
      </c>
      <c r="W203" s="62">
        <f t="shared" si="81"/>
        <v>3.0955295881481475</v>
      </c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</row>
    <row r="204" spans="1:48" s="90" customFormat="1">
      <c r="A204" s="36" t="s">
        <v>172</v>
      </c>
      <c r="B204" s="51"/>
      <c r="C204" s="51"/>
      <c r="D204" s="51"/>
      <c r="E204" s="86"/>
      <c r="F204" s="93"/>
      <c r="G204" s="84">
        <v>42.5</v>
      </c>
      <c r="H204" s="84">
        <f>H2</f>
        <v>9.41</v>
      </c>
      <c r="I204" s="84">
        <f>S2</f>
        <v>1</v>
      </c>
      <c r="J204" s="84">
        <f t="shared" si="75"/>
        <v>52.91</v>
      </c>
      <c r="K204" s="83">
        <f>U2</f>
        <v>0.8</v>
      </c>
      <c r="L204" s="64">
        <f>AL24</f>
        <v>1.4472000000000003</v>
      </c>
      <c r="M204" s="84">
        <f>AI33</f>
        <v>1.1099999999999999</v>
      </c>
      <c r="N204" s="84">
        <f t="shared" si="76"/>
        <v>56.267199999999995</v>
      </c>
      <c r="O204" s="84">
        <v>1</v>
      </c>
      <c r="P204" s="84">
        <f t="shared" si="77"/>
        <v>57.267199999999995</v>
      </c>
      <c r="Q204" s="84">
        <v>1.0609999999999999</v>
      </c>
      <c r="R204" s="64">
        <f t="shared" si="78"/>
        <v>60.760499199999991</v>
      </c>
      <c r="S204" s="64">
        <v>1.4</v>
      </c>
      <c r="T204" s="64">
        <f t="shared" si="79"/>
        <v>85.06469887999998</v>
      </c>
      <c r="U204" s="64">
        <f t="shared" si="80"/>
        <v>24.304199679999989</v>
      </c>
      <c r="V204" s="64">
        <v>27</v>
      </c>
      <c r="W204" s="62">
        <f t="shared" si="81"/>
        <v>3.1505444029629621</v>
      </c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</row>
    <row r="205" spans="1:48" s="90" customFormat="1">
      <c r="A205" s="36" t="s">
        <v>173</v>
      </c>
      <c r="B205" s="51"/>
      <c r="C205" s="51"/>
      <c r="D205" s="51"/>
      <c r="E205" s="86"/>
      <c r="F205" s="93"/>
      <c r="G205" s="84">
        <v>44.5</v>
      </c>
      <c r="H205" s="84">
        <f>H2</f>
        <v>9.41</v>
      </c>
      <c r="I205" s="84">
        <f>S2</f>
        <v>1</v>
      </c>
      <c r="J205" s="84">
        <f t="shared" si="75"/>
        <v>54.91</v>
      </c>
      <c r="K205" s="83">
        <f>U2</f>
        <v>0.8</v>
      </c>
      <c r="L205" s="64">
        <f>AL24</f>
        <v>1.4472000000000003</v>
      </c>
      <c r="M205" s="84">
        <f>AI33</f>
        <v>1.1099999999999999</v>
      </c>
      <c r="N205" s="84">
        <f t="shared" si="76"/>
        <v>58.267199999999995</v>
      </c>
      <c r="O205" s="84">
        <v>1</v>
      </c>
      <c r="P205" s="84">
        <f t="shared" si="77"/>
        <v>59.267199999999995</v>
      </c>
      <c r="Q205" s="84">
        <v>1.0609999999999999</v>
      </c>
      <c r="R205" s="64">
        <f t="shared" si="78"/>
        <v>62.882499199999991</v>
      </c>
      <c r="S205" s="64">
        <v>1.4</v>
      </c>
      <c r="T205" s="64">
        <f t="shared" si="79"/>
        <v>88.035498879999977</v>
      </c>
      <c r="U205" s="64">
        <f t="shared" si="80"/>
        <v>25.152999679999986</v>
      </c>
      <c r="V205" s="64">
        <v>27</v>
      </c>
      <c r="W205" s="62">
        <f t="shared" si="81"/>
        <v>3.2605740325925918</v>
      </c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</row>
    <row r="206" spans="1:48" s="90" customFormat="1">
      <c r="A206" s="36" t="s">
        <v>174</v>
      </c>
      <c r="B206" s="51"/>
      <c r="C206" s="51"/>
      <c r="D206" s="51"/>
      <c r="E206" s="86"/>
      <c r="F206" s="93"/>
      <c r="G206" s="84">
        <v>41</v>
      </c>
      <c r="H206" s="84">
        <f>H2</f>
        <v>9.41</v>
      </c>
      <c r="I206" s="84">
        <f>S2</f>
        <v>1</v>
      </c>
      <c r="J206" s="84">
        <f t="shared" si="75"/>
        <v>51.41</v>
      </c>
      <c r="K206" s="83">
        <f>U2</f>
        <v>0.8</v>
      </c>
      <c r="L206" s="64">
        <f>AL24</f>
        <v>1.4472000000000003</v>
      </c>
      <c r="M206" s="84">
        <f>AI33</f>
        <v>1.1099999999999999</v>
      </c>
      <c r="N206" s="84">
        <f t="shared" si="76"/>
        <v>54.767199999999995</v>
      </c>
      <c r="O206" s="84">
        <v>1</v>
      </c>
      <c r="P206" s="84">
        <f t="shared" si="77"/>
        <v>55.767199999999995</v>
      </c>
      <c r="Q206" s="84">
        <v>1.0609999999999999</v>
      </c>
      <c r="R206" s="64">
        <f t="shared" si="78"/>
        <v>59.168999199999995</v>
      </c>
      <c r="S206" s="64">
        <v>1.35</v>
      </c>
      <c r="T206" s="64">
        <f t="shared" si="79"/>
        <v>79.878148920000001</v>
      </c>
      <c r="U206" s="64">
        <f t="shared" si="80"/>
        <v>20.709149720000006</v>
      </c>
      <c r="V206" s="64">
        <v>27</v>
      </c>
      <c r="W206" s="62">
        <f t="shared" si="81"/>
        <v>2.9584499599999998</v>
      </c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</row>
    <row r="207" spans="1:48" s="90" customFormat="1">
      <c r="A207" s="36" t="s">
        <v>175</v>
      </c>
      <c r="B207" s="22"/>
      <c r="C207" s="22"/>
      <c r="D207" s="22"/>
      <c r="E207" s="86"/>
      <c r="F207" s="84"/>
      <c r="G207" s="84">
        <v>43</v>
      </c>
      <c r="H207" s="84">
        <f>H2</f>
        <v>9.41</v>
      </c>
      <c r="I207" s="84">
        <f>S2</f>
        <v>1</v>
      </c>
      <c r="J207" s="84">
        <f t="shared" si="75"/>
        <v>53.41</v>
      </c>
      <c r="K207" s="83">
        <f>U2</f>
        <v>0.8</v>
      </c>
      <c r="L207" s="64">
        <f>AL24</f>
        <v>1.4472000000000003</v>
      </c>
      <c r="M207" s="84">
        <f>AI33</f>
        <v>1.1099999999999999</v>
      </c>
      <c r="N207" s="84">
        <f t="shared" si="76"/>
        <v>56.767199999999995</v>
      </c>
      <c r="O207" s="84">
        <v>1</v>
      </c>
      <c r="P207" s="84">
        <f t="shared" si="77"/>
        <v>57.767199999999995</v>
      </c>
      <c r="Q207" s="84">
        <v>1.0609999999999999</v>
      </c>
      <c r="R207" s="64">
        <f t="shared" si="78"/>
        <v>61.290999199999995</v>
      </c>
      <c r="S207" s="64">
        <v>1.35</v>
      </c>
      <c r="T207" s="64">
        <f t="shared" si="79"/>
        <v>82.74284892</v>
      </c>
      <c r="U207" s="64">
        <f t="shared" si="80"/>
        <v>21.451849720000006</v>
      </c>
      <c r="V207" s="64">
        <v>27</v>
      </c>
      <c r="W207" s="62">
        <f t="shared" si="81"/>
        <v>3.0645499599999999</v>
      </c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</row>
    <row r="208" spans="1:48">
      <c r="A208" s="22"/>
      <c r="B208" s="22"/>
      <c r="C208" s="22"/>
      <c r="D208" s="22"/>
      <c r="E208" s="86"/>
      <c r="F208" s="84"/>
      <c r="G208" s="84"/>
      <c r="H208" s="84"/>
      <c r="I208" s="84"/>
      <c r="J208" s="84"/>
      <c r="K208" s="83"/>
      <c r="L208" s="84"/>
      <c r="M208" s="84"/>
      <c r="N208" s="84"/>
      <c r="O208" s="84"/>
      <c r="P208" s="84"/>
      <c r="Q208" s="84"/>
      <c r="R208" s="64"/>
      <c r="S208" s="64"/>
      <c r="T208" s="64"/>
      <c r="U208" s="64"/>
      <c r="V208" s="64"/>
      <c r="W208" s="62"/>
      <c r="X208" s="62"/>
      <c r="Y208" s="62"/>
      <c r="Z208" s="62"/>
      <c r="AA208" s="62"/>
      <c r="AB208" s="6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  <c r="AM208" s="82"/>
      <c r="AN208" s="82"/>
      <c r="AO208" s="82"/>
      <c r="AP208" s="82"/>
      <c r="AQ208" s="82"/>
      <c r="AR208" s="49"/>
      <c r="AS208" s="49"/>
      <c r="AT208" s="49"/>
      <c r="AU208" s="49"/>
      <c r="AV208" s="49"/>
    </row>
    <row r="209" spans="1:49">
      <c r="A209" s="59"/>
      <c r="B209" s="59"/>
      <c r="C209" s="59"/>
      <c r="D209" s="59"/>
      <c r="E209" s="86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64"/>
      <c r="S209" s="64"/>
      <c r="T209" s="64"/>
      <c r="U209" s="64"/>
      <c r="V209" s="64"/>
      <c r="W209" s="62"/>
      <c r="X209" s="62"/>
      <c r="Y209" s="62"/>
      <c r="Z209" s="62"/>
      <c r="AA209" s="62"/>
      <c r="AB209" s="6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  <c r="AM209" s="82"/>
      <c r="AN209" s="82"/>
      <c r="AO209" s="82"/>
      <c r="AP209" s="82"/>
      <c r="AQ209" s="82"/>
      <c r="AR209" s="49"/>
      <c r="AS209" s="49"/>
      <c r="AT209" s="49"/>
      <c r="AU209" s="49"/>
      <c r="AV209" s="49"/>
    </row>
    <row r="210" spans="1:49">
      <c r="A210" s="59"/>
      <c r="B210" s="59"/>
      <c r="C210" s="59"/>
      <c r="D210" s="59"/>
      <c r="E210" s="86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64"/>
      <c r="S210" s="64"/>
      <c r="T210" s="64"/>
      <c r="U210" s="64"/>
      <c r="V210" s="64"/>
      <c r="W210" s="62"/>
      <c r="X210" s="62"/>
      <c r="Y210" s="62"/>
      <c r="Z210" s="62"/>
      <c r="AA210" s="62"/>
      <c r="AB210" s="6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49"/>
      <c r="AS210" s="49"/>
      <c r="AT210" s="49"/>
      <c r="AU210" s="49"/>
      <c r="AV210" s="49"/>
    </row>
    <row r="211" spans="1:49">
      <c r="A211" s="108"/>
      <c r="B211" s="59"/>
      <c r="C211" s="59"/>
      <c r="D211" s="59"/>
      <c r="E211" s="86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64"/>
      <c r="S211" s="64"/>
      <c r="T211" s="64"/>
      <c r="U211" s="64"/>
      <c r="V211" s="64"/>
      <c r="W211" s="62"/>
      <c r="X211" s="62"/>
      <c r="Y211" s="62"/>
      <c r="Z211" s="62"/>
      <c r="AA211" s="62"/>
      <c r="AB211" s="6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49"/>
      <c r="AS211" s="49"/>
      <c r="AT211" s="49"/>
      <c r="AU211" s="49"/>
      <c r="AV211" s="49"/>
    </row>
    <row r="212" spans="1:49">
      <c r="A212" s="108"/>
      <c r="E212" s="86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49"/>
      <c r="X212" s="62"/>
      <c r="Y212" s="62"/>
      <c r="Z212" s="62"/>
      <c r="AA212" s="62"/>
      <c r="AB212" s="6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  <c r="AR212" s="49"/>
      <c r="AS212" s="49"/>
      <c r="AT212" s="49"/>
      <c r="AU212" s="49"/>
      <c r="AV212" s="49"/>
    </row>
    <row r="213" spans="1:49">
      <c r="A213" s="59"/>
      <c r="E213" s="86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92"/>
      <c r="Y213" s="62"/>
      <c r="Z213" s="62"/>
      <c r="AA213" s="62"/>
      <c r="AB213" s="62"/>
      <c r="AC213" s="62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82"/>
      <c r="AQ213" s="82"/>
      <c r="AR213" s="82"/>
      <c r="AS213" s="49"/>
      <c r="AT213" s="49"/>
      <c r="AU213" s="49"/>
      <c r="AV213" s="49"/>
      <c r="AW213" s="49"/>
    </row>
    <row r="214" spans="1:49" ht="19.5">
      <c r="A214" s="111" t="s">
        <v>294</v>
      </c>
      <c r="E214" s="86"/>
      <c r="F214" s="84"/>
      <c r="G214" s="84"/>
      <c r="H214" s="84" t="s">
        <v>295</v>
      </c>
      <c r="I214" s="84" t="s">
        <v>296</v>
      </c>
      <c r="J214" s="84" t="s">
        <v>297</v>
      </c>
      <c r="K214" s="84" t="s">
        <v>187</v>
      </c>
      <c r="L214" s="84" t="s">
        <v>298</v>
      </c>
      <c r="M214" s="84" t="s">
        <v>268</v>
      </c>
      <c r="N214" s="84" t="s">
        <v>84</v>
      </c>
      <c r="O214" s="84" t="s">
        <v>85</v>
      </c>
      <c r="P214" s="84" t="s">
        <v>299</v>
      </c>
      <c r="Q214" s="84"/>
      <c r="R214" s="84" t="s">
        <v>300</v>
      </c>
      <c r="S214" s="84" t="s">
        <v>88</v>
      </c>
      <c r="T214" s="84" t="s">
        <v>301</v>
      </c>
      <c r="U214" s="84" t="s">
        <v>89</v>
      </c>
      <c r="V214" s="84" t="s">
        <v>125</v>
      </c>
      <c r="W214" s="84" t="s">
        <v>126</v>
      </c>
      <c r="X214" s="92"/>
      <c r="Y214" s="62"/>
      <c r="Z214" s="62"/>
      <c r="AA214" s="62"/>
      <c r="AB214" s="62"/>
      <c r="AC214" s="6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  <c r="AS214" s="49"/>
      <c r="AT214" s="49"/>
      <c r="AU214" s="49"/>
      <c r="AV214" s="49"/>
      <c r="AW214" s="49"/>
    </row>
    <row r="215" spans="1:49">
      <c r="A215" t="s">
        <v>208</v>
      </c>
      <c r="E215" s="86"/>
      <c r="F215" s="84"/>
      <c r="G215" s="84"/>
      <c r="H215" s="112">
        <f>J11</f>
        <v>10.99</v>
      </c>
      <c r="I215" s="84">
        <v>40</v>
      </c>
      <c r="J215" s="84">
        <v>17</v>
      </c>
      <c r="K215" s="84">
        <v>3</v>
      </c>
      <c r="L215" s="84">
        <v>3</v>
      </c>
      <c r="M215" s="84">
        <v>8</v>
      </c>
      <c r="N215" s="84">
        <v>4</v>
      </c>
      <c r="O215" s="84">
        <v>5</v>
      </c>
      <c r="P215" s="112">
        <f>O215+N215+M215+L215+K215+J215+I215+H215+H216+H217+H218+H219+H220+H221</f>
        <v>174.08</v>
      </c>
      <c r="Q215" s="84"/>
      <c r="R215" s="64">
        <f>P215*1.061</f>
        <v>184.69888</v>
      </c>
      <c r="S215" s="84">
        <v>1.5</v>
      </c>
      <c r="T215" s="64">
        <f>S215*R215</f>
        <v>277.04831999999999</v>
      </c>
      <c r="U215" s="64">
        <f>T215-R215</f>
        <v>92.349439999999987</v>
      </c>
      <c r="V215" s="84">
        <v>29.5</v>
      </c>
      <c r="W215" s="62">
        <f>T215/V215</f>
        <v>9.3914684745762713</v>
      </c>
      <c r="X215" s="62"/>
      <c r="Y215" s="62"/>
      <c r="Z215" s="62"/>
      <c r="AA215" s="62"/>
      <c r="AB215" s="6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  <c r="AR215" s="49"/>
      <c r="AS215" s="49"/>
      <c r="AT215" s="49"/>
      <c r="AU215" s="49"/>
      <c r="AV215" s="49"/>
    </row>
    <row r="216" spans="1:49">
      <c r="A216" t="s">
        <v>302</v>
      </c>
      <c r="E216" s="86"/>
      <c r="F216" s="84"/>
      <c r="G216" s="84"/>
      <c r="H216" s="112">
        <f>J16</f>
        <v>12.27</v>
      </c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92"/>
      <c r="X216" s="62"/>
      <c r="Y216" s="62"/>
      <c r="Z216" s="62"/>
      <c r="AA216" s="62"/>
      <c r="AB216" s="6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  <c r="AR216" s="49"/>
      <c r="AS216" s="49"/>
      <c r="AT216" s="49"/>
      <c r="AU216" s="49"/>
      <c r="AV216" s="49"/>
    </row>
    <row r="217" spans="1:49">
      <c r="A217" t="s">
        <v>303</v>
      </c>
      <c r="E217" s="86"/>
      <c r="F217" s="84"/>
      <c r="G217" s="84"/>
      <c r="H217" s="112">
        <f>J20</f>
        <v>15.76</v>
      </c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92"/>
      <c r="X217" s="62"/>
      <c r="Y217" s="62"/>
      <c r="Z217" s="62"/>
      <c r="AA217" s="62"/>
      <c r="AB217" s="6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  <c r="AR217" s="49"/>
      <c r="AS217" s="49"/>
      <c r="AT217" s="49"/>
      <c r="AU217" s="49"/>
      <c r="AV217" s="49"/>
    </row>
    <row r="218" spans="1:49">
      <c r="A218" t="s">
        <v>304</v>
      </c>
      <c r="E218" s="86"/>
      <c r="F218" s="84"/>
      <c r="G218" s="84"/>
      <c r="H218" s="112">
        <f>J37</f>
        <v>11.280000000000001</v>
      </c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92"/>
      <c r="X218" s="62"/>
      <c r="Y218" s="62"/>
      <c r="Z218" s="62"/>
      <c r="AA218" s="62"/>
      <c r="AB218" s="6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49"/>
      <c r="AS218" s="49"/>
      <c r="AT218" s="49"/>
      <c r="AU218" s="49"/>
      <c r="AV218" s="49"/>
    </row>
    <row r="219" spans="1:49">
      <c r="A219" t="s">
        <v>305</v>
      </c>
      <c r="E219" s="86"/>
      <c r="F219" s="84"/>
      <c r="G219" s="84"/>
      <c r="H219" s="112">
        <f>J42</f>
        <v>11.98</v>
      </c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92"/>
      <c r="X219" s="62"/>
      <c r="Y219" s="62"/>
      <c r="Z219" s="62"/>
      <c r="AA219" s="62"/>
      <c r="AB219" s="6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  <c r="AR219" s="49"/>
      <c r="AS219" s="49"/>
      <c r="AT219" s="49"/>
      <c r="AU219" s="49"/>
      <c r="AV219" s="49"/>
    </row>
    <row r="220" spans="1:49">
      <c r="A220" t="s">
        <v>306</v>
      </c>
      <c r="E220" s="86"/>
      <c r="F220" s="84"/>
      <c r="G220" s="84"/>
      <c r="H220" s="112">
        <f>J47</f>
        <v>14.05</v>
      </c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92"/>
      <c r="X220" s="62"/>
      <c r="Y220" s="62"/>
      <c r="Z220" s="62"/>
      <c r="AA220" s="62"/>
      <c r="AB220" s="6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  <c r="AM220" s="82"/>
      <c r="AN220" s="82"/>
      <c r="AO220" s="82"/>
      <c r="AP220" s="82"/>
      <c r="AQ220" s="82"/>
      <c r="AR220" s="49"/>
      <c r="AS220" s="49"/>
      <c r="AT220" s="49"/>
      <c r="AU220" s="49"/>
      <c r="AV220" s="49"/>
    </row>
    <row r="221" spans="1:49">
      <c r="A221" t="s">
        <v>307</v>
      </c>
      <c r="E221" s="86"/>
      <c r="F221" s="84"/>
      <c r="G221" s="84"/>
      <c r="H221" s="112">
        <f>J53</f>
        <v>17.75</v>
      </c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92"/>
      <c r="X221" s="62"/>
      <c r="Y221" s="62"/>
      <c r="Z221" s="62"/>
      <c r="AA221" s="62"/>
      <c r="AB221" s="6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  <c r="AM221" s="82"/>
      <c r="AN221" s="82"/>
      <c r="AO221" s="82"/>
      <c r="AP221" s="82"/>
      <c r="AQ221" s="82"/>
      <c r="AR221" s="49"/>
      <c r="AS221" s="49"/>
      <c r="AT221" s="49"/>
      <c r="AU221" s="49"/>
      <c r="AV221" s="49"/>
    </row>
    <row r="222" spans="1:49">
      <c r="E222" s="86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92"/>
      <c r="X222" s="62"/>
      <c r="Y222" s="62"/>
      <c r="Z222" s="62"/>
      <c r="AA222" s="62"/>
      <c r="AB222" s="6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  <c r="AM222" s="82"/>
      <c r="AN222" s="82"/>
      <c r="AO222" s="82"/>
      <c r="AP222" s="82"/>
      <c r="AQ222" s="82"/>
      <c r="AR222" s="49"/>
      <c r="AS222" s="49"/>
      <c r="AT222" s="49"/>
      <c r="AU222" s="49"/>
      <c r="AV222" s="49"/>
    </row>
    <row r="223" spans="1:49">
      <c r="E223" s="86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92"/>
      <c r="X223" s="62"/>
      <c r="Y223" s="62"/>
      <c r="Z223" s="62"/>
      <c r="AA223" s="62"/>
      <c r="AB223" s="6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  <c r="AM223" s="82"/>
      <c r="AN223" s="82"/>
      <c r="AO223" s="82"/>
      <c r="AP223" s="82"/>
      <c r="AQ223" s="82"/>
      <c r="AR223" s="49"/>
      <c r="AS223" s="49"/>
      <c r="AT223" s="49"/>
      <c r="AU223" s="49"/>
      <c r="AV223" s="49"/>
    </row>
    <row r="224" spans="1:49" ht="19.5">
      <c r="A224" s="111" t="s">
        <v>308</v>
      </c>
      <c r="E224" s="86"/>
      <c r="F224" s="84"/>
      <c r="G224" s="84"/>
      <c r="H224" s="84" t="s">
        <v>295</v>
      </c>
      <c r="I224" s="84" t="s">
        <v>311</v>
      </c>
      <c r="J224" s="84"/>
      <c r="K224" s="84" t="s">
        <v>187</v>
      </c>
      <c r="L224" s="84" t="s">
        <v>298</v>
      </c>
      <c r="M224" s="84" t="s">
        <v>268</v>
      </c>
      <c r="N224" s="84" t="s">
        <v>84</v>
      </c>
      <c r="O224" s="84" t="s">
        <v>85</v>
      </c>
      <c r="P224" s="84" t="s">
        <v>299</v>
      </c>
      <c r="Q224" s="84"/>
      <c r="R224" s="84" t="s">
        <v>300</v>
      </c>
      <c r="S224" s="84" t="s">
        <v>88</v>
      </c>
      <c r="T224" s="84" t="s">
        <v>301</v>
      </c>
      <c r="U224" s="84" t="s">
        <v>89</v>
      </c>
      <c r="V224" s="84" t="s">
        <v>125</v>
      </c>
      <c r="W224" s="84" t="s">
        <v>126</v>
      </c>
      <c r="X224" s="62"/>
      <c r="Y224" s="62"/>
      <c r="Z224" s="62"/>
      <c r="AA224" s="62"/>
      <c r="AB224" s="6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  <c r="AM224" s="82"/>
      <c r="AN224" s="82"/>
      <c r="AO224" s="82"/>
      <c r="AP224" s="82"/>
      <c r="AQ224" s="82"/>
      <c r="AR224" s="49"/>
      <c r="AS224" s="49"/>
      <c r="AT224" s="49"/>
      <c r="AU224" s="49"/>
      <c r="AV224" s="49"/>
    </row>
    <row r="225" spans="1:48">
      <c r="A225" t="s">
        <v>208</v>
      </c>
      <c r="E225" s="86"/>
      <c r="F225" s="84"/>
      <c r="G225" s="84"/>
      <c r="H225" s="113">
        <f>J95</f>
        <v>11.02</v>
      </c>
      <c r="I225" s="84">
        <v>41</v>
      </c>
      <c r="J225" s="84"/>
      <c r="K225" s="84">
        <v>3</v>
      </c>
      <c r="L225" s="84">
        <v>3</v>
      </c>
      <c r="M225" s="84">
        <v>8</v>
      </c>
      <c r="N225" s="84">
        <v>6</v>
      </c>
      <c r="O225" s="84">
        <v>6</v>
      </c>
      <c r="P225" s="112">
        <f>O225+N225+M225+L225+K225+J225+I225+H225+H226+H227+H228+H229+H230+H231</f>
        <v>169.78</v>
      </c>
      <c r="Q225" s="84"/>
      <c r="R225" s="64">
        <f>P225*1.061</f>
        <v>180.13657999999998</v>
      </c>
      <c r="S225" s="84">
        <v>1.5</v>
      </c>
      <c r="T225" s="64">
        <f>S225*R225</f>
        <v>270.20486999999997</v>
      </c>
      <c r="U225" s="64">
        <f>T225-R225</f>
        <v>90.06828999999999</v>
      </c>
      <c r="V225" s="84">
        <v>29.5</v>
      </c>
      <c r="W225" s="62">
        <f>T225/V225</f>
        <v>9.1594871186440674</v>
      </c>
      <c r="X225" s="62"/>
      <c r="Y225" s="62"/>
      <c r="Z225" s="62"/>
      <c r="AA225" s="62"/>
      <c r="AB225" s="6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  <c r="AM225" s="82"/>
      <c r="AN225" s="82"/>
      <c r="AO225" s="82"/>
      <c r="AP225" s="82"/>
      <c r="AQ225" s="82"/>
      <c r="AR225" s="49"/>
      <c r="AS225" s="49"/>
      <c r="AT225" s="49"/>
      <c r="AU225" s="49"/>
      <c r="AV225" s="49"/>
    </row>
    <row r="226" spans="1:48">
      <c r="A226" t="s">
        <v>302</v>
      </c>
      <c r="E226" s="86"/>
      <c r="F226" s="84"/>
      <c r="G226" s="84"/>
      <c r="H226" s="113">
        <f>J96</f>
        <v>14.12</v>
      </c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92"/>
      <c r="X226" s="62"/>
      <c r="Y226" s="62"/>
      <c r="Z226" s="62"/>
      <c r="AA226" s="62"/>
      <c r="AB226" s="6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  <c r="AN226" s="82"/>
      <c r="AO226" s="82"/>
      <c r="AP226" s="82"/>
      <c r="AQ226" s="82"/>
      <c r="AR226" s="49"/>
      <c r="AS226" s="49"/>
      <c r="AT226" s="49"/>
      <c r="AU226" s="49"/>
      <c r="AV226" s="49"/>
    </row>
    <row r="227" spans="1:48">
      <c r="A227" t="s">
        <v>303</v>
      </c>
      <c r="E227" s="86"/>
      <c r="F227" s="84"/>
      <c r="G227" s="84"/>
      <c r="H227" s="113">
        <f>J97</f>
        <v>16.66</v>
      </c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92"/>
      <c r="X227" s="62"/>
      <c r="Y227" s="62"/>
      <c r="Z227" s="62"/>
      <c r="AA227" s="62"/>
      <c r="AB227" s="6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  <c r="AN227" s="82"/>
      <c r="AO227" s="82"/>
      <c r="AP227" s="82"/>
      <c r="AQ227" s="82"/>
      <c r="AR227" s="49"/>
      <c r="AS227" s="49"/>
      <c r="AT227" s="49"/>
      <c r="AU227" s="49"/>
      <c r="AV227" s="49"/>
    </row>
    <row r="228" spans="1:48">
      <c r="A228" t="s">
        <v>203</v>
      </c>
      <c r="E228" s="86"/>
      <c r="F228" s="84"/>
      <c r="G228" s="84"/>
      <c r="H228" s="113">
        <f>J101</f>
        <v>13.04</v>
      </c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92"/>
      <c r="X228" s="62"/>
      <c r="Y228" s="62"/>
      <c r="Z228" s="62"/>
      <c r="AA228" s="62"/>
      <c r="AB228" s="6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  <c r="AM228" s="82"/>
      <c r="AN228" s="82"/>
      <c r="AO228" s="82"/>
      <c r="AP228" s="82"/>
      <c r="AQ228" s="82"/>
      <c r="AR228" s="49"/>
      <c r="AS228" s="49"/>
      <c r="AT228" s="49"/>
      <c r="AU228" s="49"/>
      <c r="AV228" s="49"/>
    </row>
    <row r="229" spans="1:48">
      <c r="A229" t="s">
        <v>309</v>
      </c>
      <c r="E229" s="86"/>
      <c r="F229" s="84"/>
      <c r="G229" s="84"/>
      <c r="H229" s="113">
        <f>J102</f>
        <v>14.969999999999999</v>
      </c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92"/>
      <c r="X229" s="62"/>
      <c r="Y229" s="62"/>
      <c r="Z229" s="62"/>
      <c r="AA229" s="62"/>
      <c r="AB229" s="6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  <c r="AM229" s="82"/>
      <c r="AN229" s="82"/>
      <c r="AO229" s="82"/>
      <c r="AP229" s="82"/>
      <c r="AQ229" s="82"/>
      <c r="AR229" s="49"/>
      <c r="AS229" s="49"/>
      <c r="AT229" s="49"/>
      <c r="AU229" s="49"/>
      <c r="AV229" s="49"/>
    </row>
    <row r="230" spans="1:48">
      <c r="A230" t="s">
        <v>307</v>
      </c>
      <c r="E230" s="86"/>
      <c r="F230" s="84"/>
      <c r="G230" s="84"/>
      <c r="H230" s="113">
        <f>J103</f>
        <v>17.97</v>
      </c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92"/>
      <c r="X230" s="62"/>
      <c r="Y230" s="62"/>
      <c r="Z230" s="62"/>
      <c r="AA230" s="62"/>
      <c r="AB230" s="6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  <c r="AM230" s="82"/>
      <c r="AN230" s="82"/>
      <c r="AO230" s="82"/>
      <c r="AP230" s="82"/>
      <c r="AQ230" s="82"/>
      <c r="AR230" s="49"/>
      <c r="AS230" s="49"/>
      <c r="AT230" s="49"/>
      <c r="AU230" s="49"/>
      <c r="AV230" s="49"/>
    </row>
    <row r="231" spans="1:48">
      <c r="A231" t="s">
        <v>310</v>
      </c>
      <c r="E231" s="86"/>
      <c r="F231" s="84"/>
      <c r="G231" s="84"/>
      <c r="H231" s="84">
        <f>J105</f>
        <v>15</v>
      </c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92"/>
      <c r="X231" s="62"/>
      <c r="Y231" s="62"/>
      <c r="Z231" s="62"/>
      <c r="AA231" s="62"/>
      <c r="AB231" s="6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  <c r="AM231" s="82"/>
      <c r="AN231" s="82"/>
      <c r="AO231" s="82"/>
      <c r="AP231" s="82"/>
      <c r="AQ231" s="82"/>
      <c r="AR231" s="49"/>
      <c r="AS231" s="49"/>
      <c r="AT231" s="49"/>
      <c r="AU231" s="49"/>
      <c r="AV231" s="49"/>
    </row>
    <row r="232" spans="1:48">
      <c r="E232" s="86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92"/>
      <c r="X232" s="62"/>
      <c r="Y232" s="62"/>
      <c r="Z232" s="62"/>
      <c r="AA232" s="62"/>
      <c r="AB232" s="6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  <c r="AM232" s="82"/>
      <c r="AN232" s="82"/>
      <c r="AO232" s="82"/>
      <c r="AP232" s="82"/>
      <c r="AQ232" s="82"/>
      <c r="AR232" s="49"/>
      <c r="AS232" s="49"/>
      <c r="AT232" s="49"/>
      <c r="AU232" s="49"/>
      <c r="AV232" s="49"/>
    </row>
    <row r="233" spans="1:48">
      <c r="E233" s="86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92"/>
      <c r="X233" s="62"/>
      <c r="Y233" s="62"/>
      <c r="Z233" s="62"/>
      <c r="AA233" s="62"/>
      <c r="AB233" s="6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  <c r="AM233" s="82"/>
      <c r="AN233" s="82"/>
      <c r="AO233" s="82"/>
      <c r="AP233" s="82"/>
      <c r="AQ233" s="82"/>
      <c r="AR233" s="49"/>
      <c r="AS233" s="49"/>
      <c r="AT233" s="49"/>
      <c r="AU233" s="49"/>
      <c r="AV233" s="49"/>
    </row>
    <row r="234" spans="1:48" ht="19.5">
      <c r="A234" s="111" t="s">
        <v>312</v>
      </c>
      <c r="E234" s="86"/>
      <c r="F234" s="84"/>
      <c r="G234" s="84"/>
      <c r="H234" s="84" t="s">
        <v>295</v>
      </c>
      <c r="I234" s="84" t="s">
        <v>297</v>
      </c>
      <c r="J234" s="84"/>
      <c r="K234" s="84" t="s">
        <v>187</v>
      </c>
      <c r="L234" s="84" t="s">
        <v>298</v>
      </c>
      <c r="M234" s="84" t="s">
        <v>268</v>
      </c>
      <c r="N234" s="84" t="s">
        <v>84</v>
      </c>
      <c r="O234" s="84" t="s">
        <v>85</v>
      </c>
      <c r="P234" s="84" t="s">
        <v>299</v>
      </c>
      <c r="Q234" s="84"/>
      <c r="R234" s="84" t="s">
        <v>300</v>
      </c>
      <c r="S234" s="84" t="s">
        <v>88</v>
      </c>
      <c r="T234" s="84" t="s">
        <v>301</v>
      </c>
      <c r="U234" s="84" t="s">
        <v>89</v>
      </c>
      <c r="V234" s="84" t="s">
        <v>125</v>
      </c>
      <c r="W234" s="84" t="s">
        <v>126</v>
      </c>
      <c r="X234" s="62"/>
      <c r="Y234" s="62"/>
      <c r="Z234" s="62"/>
      <c r="AA234" s="62"/>
      <c r="AB234" s="6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  <c r="AM234" s="82"/>
      <c r="AN234" s="82"/>
      <c r="AO234" s="82"/>
      <c r="AP234" s="82"/>
      <c r="AQ234" s="82"/>
      <c r="AR234" s="49"/>
      <c r="AS234" s="49"/>
      <c r="AT234" s="49"/>
      <c r="AU234" s="49"/>
      <c r="AV234" s="49"/>
    </row>
    <row r="235" spans="1:48">
      <c r="A235" t="s">
        <v>199</v>
      </c>
      <c r="E235" s="86"/>
      <c r="F235" s="84"/>
      <c r="G235" s="84"/>
      <c r="H235" s="112">
        <f>J16</f>
        <v>12.27</v>
      </c>
      <c r="I235" s="84">
        <v>17</v>
      </c>
      <c r="J235" s="84"/>
      <c r="K235" s="84">
        <v>0</v>
      </c>
      <c r="L235" s="84">
        <v>3</v>
      </c>
      <c r="M235" s="84">
        <v>7</v>
      </c>
      <c r="N235" s="84">
        <v>4</v>
      </c>
      <c r="O235" s="84">
        <v>5</v>
      </c>
      <c r="P235" s="112">
        <f>O235+N235+M235+L235+K235+J235+I235+H235+H236+H237+H238+H239+H240+H241</f>
        <v>122.22999999999999</v>
      </c>
      <c r="Q235" s="84"/>
      <c r="R235" s="64">
        <f>P235*1.061</f>
        <v>129.68602999999999</v>
      </c>
      <c r="S235" s="84">
        <v>1.5</v>
      </c>
      <c r="T235" s="64">
        <f>S235*R235</f>
        <v>194.529045</v>
      </c>
      <c r="U235" s="64">
        <f>T235-R235</f>
        <v>64.843015000000008</v>
      </c>
      <c r="V235" s="84">
        <v>29.5</v>
      </c>
      <c r="W235" s="62">
        <f>T235/V235</f>
        <v>6.5942049152542372</v>
      </c>
      <c r="X235" s="62"/>
      <c r="Y235" s="62"/>
      <c r="Z235" s="62"/>
      <c r="AA235" s="62"/>
      <c r="AB235" s="6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  <c r="AM235" s="82"/>
      <c r="AN235" s="82"/>
      <c r="AO235" s="82"/>
      <c r="AP235" s="82"/>
      <c r="AQ235" s="82"/>
      <c r="AR235" s="49"/>
      <c r="AS235" s="49"/>
      <c r="AT235" s="49"/>
      <c r="AU235" s="49"/>
      <c r="AV235" s="49"/>
    </row>
    <row r="236" spans="1:48">
      <c r="A236" t="s">
        <v>303</v>
      </c>
      <c r="E236" s="86"/>
      <c r="F236" s="84"/>
      <c r="G236" s="84"/>
      <c r="H236" s="112">
        <f>J20</f>
        <v>15.76</v>
      </c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92"/>
      <c r="X236" s="62"/>
      <c r="Y236" s="62"/>
      <c r="Z236" s="62"/>
      <c r="AA236" s="62"/>
      <c r="AB236" s="6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  <c r="AN236" s="82"/>
      <c r="AO236" s="82"/>
      <c r="AP236" s="82"/>
      <c r="AQ236" s="82"/>
      <c r="AR236" s="49"/>
      <c r="AS236" s="49"/>
      <c r="AT236" s="49"/>
      <c r="AU236" s="49"/>
      <c r="AV236" s="49"/>
    </row>
    <row r="237" spans="1:48">
      <c r="A237" t="s">
        <v>313</v>
      </c>
      <c r="E237" s="86"/>
      <c r="F237" s="84"/>
      <c r="G237" s="84"/>
      <c r="H237" s="112">
        <f>J39</f>
        <v>12.54</v>
      </c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92"/>
      <c r="X237" s="62"/>
      <c r="Y237" s="62"/>
      <c r="Z237" s="62"/>
      <c r="AA237" s="62"/>
      <c r="AB237" s="6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  <c r="AM237" s="82"/>
      <c r="AN237" s="82"/>
      <c r="AO237" s="82"/>
      <c r="AP237" s="82"/>
      <c r="AQ237" s="82"/>
      <c r="AR237" s="49"/>
      <c r="AS237" s="49"/>
      <c r="AT237" s="49"/>
      <c r="AU237" s="49"/>
      <c r="AV237" s="49"/>
    </row>
    <row r="238" spans="1:48">
      <c r="A238" t="s">
        <v>314</v>
      </c>
      <c r="E238" s="86"/>
      <c r="F238" s="84"/>
      <c r="G238" s="84"/>
      <c r="H238" s="112">
        <f>J43</f>
        <v>13.86</v>
      </c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92"/>
      <c r="X238" s="62"/>
      <c r="Y238" s="62"/>
      <c r="Z238" s="62"/>
      <c r="AA238" s="62"/>
      <c r="AB238" s="6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  <c r="AM238" s="82"/>
      <c r="AN238" s="82"/>
      <c r="AO238" s="82"/>
      <c r="AP238" s="82"/>
      <c r="AQ238" s="82"/>
      <c r="AR238" s="49"/>
      <c r="AS238" s="49"/>
      <c r="AT238" s="49"/>
      <c r="AU238" s="49"/>
      <c r="AV238" s="49"/>
    </row>
    <row r="239" spans="1:48">
      <c r="A239" t="s">
        <v>309</v>
      </c>
      <c r="E239" s="86"/>
      <c r="F239" s="84"/>
      <c r="G239" s="84"/>
      <c r="H239" s="112">
        <f>J47</f>
        <v>14.05</v>
      </c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92"/>
      <c r="X239" s="62"/>
      <c r="Y239" s="62"/>
      <c r="Z239" s="62"/>
      <c r="AA239" s="62"/>
      <c r="AB239" s="6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  <c r="AM239" s="82"/>
      <c r="AN239" s="82"/>
      <c r="AO239" s="82"/>
      <c r="AP239" s="82"/>
      <c r="AQ239" s="82"/>
      <c r="AR239" s="49"/>
      <c r="AS239" s="49"/>
      <c r="AT239" s="49"/>
      <c r="AU239" s="49"/>
      <c r="AV239" s="49"/>
    </row>
    <row r="240" spans="1:48">
      <c r="A240" t="s">
        <v>307</v>
      </c>
      <c r="E240" s="86"/>
      <c r="F240" s="84"/>
      <c r="G240" s="84"/>
      <c r="H240" s="112">
        <f>J53</f>
        <v>17.75</v>
      </c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92"/>
      <c r="X240" s="62"/>
      <c r="Y240" s="62"/>
      <c r="Z240" s="62"/>
      <c r="AA240" s="62"/>
      <c r="AB240" s="6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  <c r="AM240" s="82"/>
      <c r="AN240" s="82"/>
      <c r="AO240" s="82"/>
      <c r="AP240" s="82"/>
      <c r="AQ240" s="82"/>
      <c r="AR240" s="49"/>
      <c r="AS240" s="49"/>
      <c r="AT240" s="49"/>
      <c r="AU240" s="49"/>
      <c r="AV240" s="49"/>
    </row>
    <row r="241" spans="5:48">
      <c r="E241" s="86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92"/>
      <c r="X241" s="92"/>
      <c r="Y241" s="92"/>
      <c r="Z241" s="62"/>
      <c r="AA241" s="62"/>
      <c r="AB241" s="6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  <c r="AM241" s="82"/>
      <c r="AN241" s="82"/>
      <c r="AO241" s="82"/>
      <c r="AP241" s="82"/>
      <c r="AQ241" s="82"/>
      <c r="AR241" s="49"/>
      <c r="AS241" s="49"/>
      <c r="AT241" s="49"/>
      <c r="AU241" s="49"/>
      <c r="AV241" s="49"/>
    </row>
    <row r="242" spans="5:48">
      <c r="E242" s="86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92"/>
      <c r="X242" s="92"/>
      <c r="Y242" s="92"/>
      <c r="Z242" s="62"/>
      <c r="AA242" s="62"/>
      <c r="AB242" s="6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  <c r="AM242" s="82"/>
      <c r="AN242" s="82"/>
      <c r="AO242" s="82"/>
      <c r="AP242" s="82"/>
      <c r="AQ242" s="82"/>
      <c r="AR242" s="49"/>
      <c r="AS242" s="49"/>
      <c r="AT242" s="49"/>
      <c r="AU242" s="49"/>
      <c r="AV242" s="49"/>
    </row>
    <row r="243" spans="5:48">
      <c r="E243" s="86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92"/>
      <c r="X243" s="92"/>
      <c r="Y243" s="92"/>
      <c r="Z243" s="62"/>
      <c r="AA243" s="62"/>
      <c r="AB243" s="6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  <c r="AM243" s="82"/>
      <c r="AN243" s="82"/>
      <c r="AO243" s="82"/>
      <c r="AP243" s="82"/>
      <c r="AQ243" s="82"/>
      <c r="AR243" s="49"/>
      <c r="AS243" s="49"/>
      <c r="AT243" s="49"/>
      <c r="AU243" s="49"/>
      <c r="AV243" s="49"/>
    </row>
    <row r="244" spans="5:48">
      <c r="E244" s="86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92"/>
      <c r="X244" s="92"/>
      <c r="Y244" s="92"/>
      <c r="Z244" s="62"/>
      <c r="AA244" s="62"/>
      <c r="AB244" s="6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  <c r="AM244" s="82"/>
      <c r="AN244" s="82"/>
      <c r="AO244" s="82"/>
      <c r="AP244" s="82"/>
      <c r="AQ244" s="82"/>
      <c r="AR244" s="49"/>
      <c r="AS244" s="49"/>
      <c r="AT244" s="49"/>
      <c r="AU244" s="49"/>
      <c r="AV244" s="49"/>
    </row>
    <row r="245" spans="5:48">
      <c r="E245" s="86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92"/>
      <c r="X245" s="92"/>
      <c r="Y245" s="92"/>
      <c r="Z245" s="62"/>
      <c r="AA245" s="62"/>
      <c r="AB245" s="6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  <c r="AM245" s="82"/>
      <c r="AN245" s="82"/>
      <c r="AO245" s="82"/>
      <c r="AP245" s="82"/>
      <c r="AQ245" s="82"/>
      <c r="AR245" s="49"/>
      <c r="AS245" s="49"/>
      <c r="AT245" s="49"/>
      <c r="AU245" s="49"/>
      <c r="AV245" s="49"/>
    </row>
    <row r="246" spans="5:48">
      <c r="E246" s="86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92"/>
      <c r="X246" s="92"/>
      <c r="Y246" s="92"/>
      <c r="Z246" s="92"/>
      <c r="AA246" s="9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  <c r="AM246" s="82"/>
      <c r="AN246" s="82"/>
      <c r="AO246" s="82"/>
      <c r="AP246" s="82"/>
      <c r="AQ246" s="82"/>
      <c r="AR246" s="49"/>
      <c r="AS246" s="49"/>
      <c r="AT246" s="49"/>
      <c r="AU246" s="49"/>
      <c r="AV246" s="49"/>
    </row>
    <row r="247" spans="5:48">
      <c r="E247" s="86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92"/>
      <c r="X247" s="92"/>
      <c r="Y247" s="92"/>
      <c r="Z247" s="92"/>
      <c r="AA247" s="9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  <c r="AM247" s="82"/>
      <c r="AN247" s="82"/>
      <c r="AO247" s="82"/>
      <c r="AP247" s="82"/>
      <c r="AQ247" s="82"/>
      <c r="AR247" s="49"/>
      <c r="AS247" s="49"/>
      <c r="AT247" s="49"/>
      <c r="AU247" s="49"/>
      <c r="AV247" s="49"/>
    </row>
    <row r="248" spans="5:48">
      <c r="E248" s="86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92"/>
      <c r="X248" s="92"/>
      <c r="Y248" s="92"/>
      <c r="Z248" s="92"/>
      <c r="AA248" s="9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  <c r="AM248" s="82"/>
      <c r="AN248" s="82"/>
      <c r="AO248" s="82"/>
      <c r="AP248" s="82"/>
      <c r="AQ248" s="82"/>
      <c r="AR248" s="49"/>
      <c r="AS248" s="49"/>
      <c r="AT248" s="49"/>
      <c r="AU248" s="49"/>
      <c r="AV248" s="49"/>
    </row>
    <row r="249" spans="5:48">
      <c r="E249" s="86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92"/>
      <c r="X249" s="92"/>
      <c r="Y249" s="92"/>
      <c r="Z249" s="92"/>
      <c r="AA249" s="9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  <c r="AM249" s="82"/>
      <c r="AN249" s="82"/>
      <c r="AO249" s="82"/>
      <c r="AP249" s="82"/>
      <c r="AQ249" s="82"/>
      <c r="AR249" s="49"/>
      <c r="AS249" s="49"/>
      <c r="AT249" s="49"/>
      <c r="AU249" s="49"/>
      <c r="AV249" s="49"/>
    </row>
    <row r="250" spans="5:48">
      <c r="E250" s="86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49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  <c r="AM250" s="82"/>
      <c r="AN250" s="82"/>
      <c r="AO250" s="82"/>
      <c r="AP250" s="82"/>
      <c r="AQ250" s="82"/>
      <c r="AR250" s="49"/>
      <c r="AS250" s="49"/>
      <c r="AT250" s="49"/>
      <c r="AU250" s="49"/>
      <c r="AV250" s="49"/>
    </row>
    <row r="251" spans="5:48">
      <c r="E251" s="86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49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  <c r="AR251" s="49"/>
      <c r="AS251" s="49"/>
      <c r="AT251" s="49"/>
      <c r="AU251" s="49"/>
      <c r="AV251" s="49"/>
    </row>
    <row r="252" spans="5:48">
      <c r="E252" s="86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49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49"/>
      <c r="AN252" s="49"/>
      <c r="AO252" s="82"/>
      <c r="AP252" s="82"/>
      <c r="AQ252" s="82"/>
      <c r="AR252" s="49"/>
      <c r="AS252" s="49"/>
      <c r="AT252" s="49"/>
      <c r="AU252" s="49"/>
      <c r="AV252" s="49"/>
    </row>
    <row r="253" spans="5:48">
      <c r="E253" s="86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49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49"/>
      <c r="AN253" s="49"/>
      <c r="AO253" s="82"/>
      <c r="AP253" s="82"/>
      <c r="AQ253" s="82"/>
      <c r="AR253" s="49"/>
      <c r="AS253" s="49"/>
      <c r="AT253" s="49"/>
      <c r="AU253" s="49"/>
      <c r="AV253" s="49"/>
    </row>
    <row r="254" spans="5:48">
      <c r="E254" s="86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49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  <c r="AM254" s="49"/>
      <c r="AN254" s="49"/>
      <c r="AO254" s="82"/>
      <c r="AP254" s="82"/>
      <c r="AQ254" s="49"/>
      <c r="AR254" s="49"/>
      <c r="AS254" s="49"/>
      <c r="AT254" s="49"/>
      <c r="AU254" s="49"/>
      <c r="AV254" s="49"/>
    </row>
    <row r="255" spans="5:48">
      <c r="E255" s="86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49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</row>
    <row r="256" spans="5:48">
      <c r="E256" s="86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49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</row>
    <row r="257" spans="5:48">
      <c r="E257" s="86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49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</row>
    <row r="258" spans="5:48">
      <c r="E258" s="86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49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</row>
    <row r="259" spans="5:48">
      <c r="E259" s="86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49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</row>
    <row r="260" spans="5:48">
      <c r="E260" s="86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49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</row>
    <row r="261" spans="5:48">
      <c r="E261" s="86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49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</row>
    <row r="262" spans="5:48">
      <c r="E262" s="86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49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</row>
    <row r="263" spans="5:48">
      <c r="E263" s="86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49"/>
      <c r="X263" s="49"/>
      <c r="Y263" s="49"/>
      <c r="Z263" s="82"/>
      <c r="AA263" s="82"/>
      <c r="AB263" s="82"/>
      <c r="AC263" s="82"/>
      <c r="AD263" s="82"/>
      <c r="AE263" s="82"/>
      <c r="AF263" s="82"/>
      <c r="AG263" s="82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</row>
    <row r="264" spans="5:48">
      <c r="E264" s="86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49"/>
      <c r="X264" s="49"/>
      <c r="Y264" s="49"/>
      <c r="Z264" s="82"/>
      <c r="AA264" s="82"/>
      <c r="AB264" s="82"/>
      <c r="AC264" s="82"/>
      <c r="AD264" s="82"/>
      <c r="AE264" s="82"/>
      <c r="AF264" s="82"/>
      <c r="AG264" s="82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</row>
    <row r="265" spans="5:48">
      <c r="E265" s="86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49"/>
      <c r="X265" s="49"/>
      <c r="Y265" s="49"/>
      <c r="Z265" s="82"/>
      <c r="AA265" s="82"/>
      <c r="AB265" s="82"/>
      <c r="AC265" s="82"/>
      <c r="AD265" s="82"/>
      <c r="AE265" s="82"/>
      <c r="AF265" s="82"/>
      <c r="AG265" s="82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</row>
    <row r="266" spans="5:48">
      <c r="E266" s="86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49"/>
      <c r="X266" s="82"/>
      <c r="Y266" s="49"/>
      <c r="Z266" s="82"/>
      <c r="AA266" s="82"/>
      <c r="AB266" s="82"/>
      <c r="AC266" s="82"/>
      <c r="AD266" s="82"/>
      <c r="AE266" s="82"/>
      <c r="AF266" s="82"/>
      <c r="AG266" s="82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</row>
    <row r="267" spans="5:48">
      <c r="E267" s="86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49"/>
      <c r="X267" s="82"/>
      <c r="Y267" s="82"/>
      <c r="Z267" s="82"/>
      <c r="AA267" s="82"/>
      <c r="AB267" s="82"/>
      <c r="AC267" s="49"/>
      <c r="AD267" s="82"/>
      <c r="AE267" s="82"/>
      <c r="AF267" s="82"/>
      <c r="AG267" s="82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</row>
    <row r="268" spans="5:48">
      <c r="E268" s="86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</row>
    <row r="269" spans="5:48">
      <c r="E269" s="86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</row>
    <row r="270" spans="5:48">
      <c r="E270" s="86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</row>
    <row r="271" spans="5:48">
      <c r="E271" s="86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</row>
    <row r="272" spans="5:48">
      <c r="E272" s="86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</row>
    <row r="273" spans="5:48">
      <c r="E273" s="86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</row>
    <row r="274" spans="5:48">
      <c r="E274" s="86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</row>
    <row r="275" spans="5:48">
      <c r="E275" s="86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</row>
    <row r="276" spans="5:48">
      <c r="E276" s="86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</row>
    <row r="277" spans="5:48">
      <c r="E277" s="86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</row>
    <row r="278" spans="5:48">
      <c r="E278" s="86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</row>
    <row r="279" spans="5:48">
      <c r="E279" s="86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</row>
    <row r="280" spans="5:48">
      <c r="E280" s="86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</row>
    <row r="281" spans="5:48">
      <c r="E281" s="86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</row>
    <row r="282" spans="5:48">
      <c r="E282" s="86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</row>
    <row r="283" spans="5:48">
      <c r="E283" s="86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</row>
    <row r="284" spans="5:48">
      <c r="E284" s="86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</row>
    <row r="285" spans="5:48">
      <c r="E285" s="86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</row>
    <row r="286" spans="5:48">
      <c r="E286" s="86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</row>
    <row r="287" spans="5:48">
      <c r="E287" s="86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</row>
    <row r="288" spans="5:48">
      <c r="E288" s="86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</row>
    <row r="289" spans="5:48">
      <c r="E289" s="86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</row>
    <row r="290" spans="5:48">
      <c r="E290" s="86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</row>
    <row r="291" spans="5:48">
      <c r="E291" s="86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</row>
    <row r="292" spans="5:48">
      <c r="E292" s="86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</row>
    <row r="293" spans="5:48">
      <c r="E293" s="86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</row>
    <row r="294" spans="5:48">
      <c r="E294" s="86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</row>
    <row r="295" spans="5:48">
      <c r="E295" s="86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</row>
    <row r="296" spans="5:48">
      <c r="E296" s="86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</row>
    <row r="297" spans="5:48">
      <c r="E297" s="86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</row>
    <row r="298" spans="5:48">
      <c r="E298" s="86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</row>
    <row r="299" spans="5:48">
      <c r="E299" s="86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</row>
    <row r="300" spans="5:48">
      <c r="E300" s="86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</row>
    <row r="301" spans="5:48">
      <c r="E301" s="86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</row>
    <row r="302" spans="5:48">
      <c r="E302" s="86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</row>
    <row r="303" spans="5:48">
      <c r="E303" s="86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</row>
    <row r="304" spans="5:48">
      <c r="E304" s="86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</row>
    <row r="305" spans="5:48">
      <c r="E305" s="86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</row>
    <row r="306" spans="5:48">
      <c r="E306" s="86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</row>
    <row r="307" spans="5:48">
      <c r="E307" s="86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</row>
    <row r="308" spans="5:48">
      <c r="E308" s="86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</row>
    <row r="309" spans="5:48">
      <c r="E309" s="86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</row>
    <row r="310" spans="5:48">
      <c r="E310" s="86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</row>
    <row r="311" spans="5:48">
      <c r="E311" s="86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</row>
    <row r="312" spans="5:48">
      <c r="E312" s="86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</row>
    <row r="313" spans="5:48">
      <c r="E313" s="86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</row>
    <row r="314" spans="5:48">
      <c r="E314" s="86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</row>
    <row r="315" spans="5:48">
      <c r="E315" s="86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</row>
    <row r="316" spans="5:48">
      <c r="E316" s="86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</row>
    <row r="317" spans="5:48">
      <c r="E317" s="86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</row>
    <row r="318" spans="5:48">
      <c r="E318" s="86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</row>
    <row r="319" spans="5:48">
      <c r="E319" s="86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</row>
    <row r="320" spans="5:48">
      <c r="E320" s="86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</row>
    <row r="321" spans="5:48">
      <c r="E321" s="86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</row>
    <row r="322" spans="5:48">
      <c r="E322" s="86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</row>
    <row r="323" spans="5:48">
      <c r="E323" s="86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</row>
    <row r="324" spans="5:48">
      <c r="E324" s="86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</row>
    <row r="325" spans="5:48">
      <c r="E325" s="86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</row>
    <row r="326" spans="5:48">
      <c r="E326" s="86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</row>
    <row r="327" spans="5:48">
      <c r="E327" s="86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</row>
    <row r="328" spans="5:48">
      <c r="E328" s="86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</row>
    <row r="329" spans="5:48">
      <c r="E329" s="86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</row>
    <row r="330" spans="5:48">
      <c r="E330" s="86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</row>
    <row r="331" spans="5:48">
      <c r="E331" s="86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</row>
    <row r="332" spans="5:48">
      <c r="E332" s="86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</row>
    <row r="333" spans="5:48">
      <c r="E333" s="86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</row>
    <row r="334" spans="5:48">
      <c r="E334" s="86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</row>
    <row r="335" spans="5:48">
      <c r="E335" s="86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</row>
    <row r="336" spans="5:48">
      <c r="E336" s="86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</row>
    <row r="337" spans="5:48">
      <c r="E337" s="86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</row>
    <row r="338" spans="5:48">
      <c r="E338" s="86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</row>
    <row r="339" spans="5:48">
      <c r="E339" s="86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</row>
    <row r="340" spans="5:48">
      <c r="E340" s="86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</row>
    <row r="341" spans="5:48">
      <c r="E341" s="86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</row>
    <row r="342" spans="5:48">
      <c r="E342" s="86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</row>
    <row r="343" spans="5:48">
      <c r="E343" s="86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</row>
    <row r="344" spans="5:48">
      <c r="E344" s="86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</row>
    <row r="345" spans="5:48">
      <c r="E345" s="86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</row>
    <row r="346" spans="5:48">
      <c r="E346" s="86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</row>
    <row r="347" spans="5:48">
      <c r="E347" s="86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</row>
    <row r="348" spans="5:48">
      <c r="E348" s="86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</row>
    <row r="349" spans="5:48">
      <c r="E349" s="86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</row>
    <row r="350" spans="5:48">
      <c r="E350" s="86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</row>
    <row r="351" spans="5:48">
      <c r="E351" s="86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</row>
    <row r="352" spans="5:48">
      <c r="E352" s="86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</row>
    <row r="353" spans="5:50">
      <c r="E353" s="86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</row>
    <row r="354" spans="5:50">
      <c r="E354" s="86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</row>
    <row r="355" spans="5:50">
      <c r="E355" s="86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</row>
    <row r="356" spans="5:50">
      <c r="E356" s="86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</row>
    <row r="357" spans="5:50">
      <c r="E357" s="86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</row>
    <row r="358" spans="5:50">
      <c r="E358" s="86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</row>
    <row r="359" spans="5:50">
      <c r="E359" s="86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</row>
    <row r="360" spans="5:50">
      <c r="E360" s="86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</row>
    <row r="361" spans="5:50">
      <c r="E361" s="86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</row>
    <row r="362" spans="5:50">
      <c r="E362" s="86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</row>
    <row r="363" spans="5:50">
      <c r="E363" s="86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</row>
    <row r="364" spans="5:50">
      <c r="E364" s="86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</row>
    <row r="365" spans="5:50">
      <c r="E365" s="86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</row>
    <row r="366" spans="5:50">
      <c r="E366" s="86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</row>
    <row r="367" spans="5:50">
      <c r="E367" s="86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</row>
    <row r="368" spans="5:50">
      <c r="E368" s="86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</row>
    <row r="369" spans="6:50"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</row>
    <row r="370" spans="6:50"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</row>
    <row r="371" spans="6:50"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</row>
    <row r="372" spans="6:50"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</row>
    <row r="373" spans="6:50"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</row>
    <row r="374" spans="6:50"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</row>
    <row r="375" spans="6:50"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</row>
    <row r="376" spans="6:50"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</row>
    <row r="377" spans="6:50"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</row>
    <row r="378" spans="6:50"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</row>
    <row r="379" spans="6:50"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</row>
    <row r="380" spans="6:50"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</row>
    <row r="381" spans="6:50"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</row>
    <row r="382" spans="6:50"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</row>
    <row r="383" spans="6:50"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</row>
    <row r="384" spans="6:50"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</row>
    <row r="385" spans="6:50"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</row>
    <row r="386" spans="6:50"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</row>
    <row r="387" spans="6:50"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</row>
    <row r="388" spans="6:50"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</row>
    <row r="389" spans="6:50"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</row>
    <row r="390" spans="6:50"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</row>
    <row r="391" spans="6:50"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</row>
    <row r="392" spans="6:50"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</row>
    <row r="393" spans="6:50"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</row>
    <row r="394" spans="6:50"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</row>
    <row r="395" spans="6:50"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</row>
    <row r="396" spans="6:50"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</row>
    <row r="397" spans="6:50"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</row>
    <row r="398" spans="6:50"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</row>
    <row r="399" spans="6:50"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</row>
    <row r="400" spans="6:50"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</row>
    <row r="401" spans="6:50"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</row>
    <row r="402" spans="6:50"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</row>
    <row r="403" spans="6:50"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</row>
    <row r="404" spans="6:50"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</row>
    <row r="405" spans="6:50"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</row>
    <row r="406" spans="6:50"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</row>
    <row r="407" spans="6:50"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</row>
    <row r="408" spans="6:50"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</row>
    <row r="409" spans="6:50"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</row>
    <row r="410" spans="6:50"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</row>
    <row r="411" spans="6:50"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</row>
    <row r="412" spans="6:50"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</row>
    <row r="413" spans="6:50"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</row>
    <row r="414" spans="6:50"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</row>
    <row r="415" spans="6:50"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</row>
    <row r="416" spans="6:50"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</row>
    <row r="417" spans="6:50"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</row>
    <row r="418" spans="6:50"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</row>
    <row r="419" spans="6:50"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</row>
    <row r="420" spans="6:50"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</row>
    <row r="421" spans="6:50"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</row>
    <row r="422" spans="6:50"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</row>
    <row r="423" spans="6:50"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</row>
    <row r="424" spans="6:50"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</row>
    <row r="425" spans="6:50"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</row>
    <row r="426" spans="6:50"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</row>
    <row r="427" spans="6:50"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</row>
    <row r="428" spans="6:50"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</row>
    <row r="429" spans="6:50"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</row>
    <row r="430" spans="6:50"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</row>
    <row r="431" spans="6:50"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</row>
    <row r="432" spans="6:50"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</row>
    <row r="433" spans="6:50"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</row>
    <row r="434" spans="6:50"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</row>
    <row r="435" spans="6:50"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</row>
    <row r="436" spans="6:50"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</row>
    <row r="437" spans="6:50"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</row>
    <row r="438" spans="6:50"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</row>
    <row r="439" spans="6:50"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</row>
    <row r="440" spans="6:50"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</row>
    <row r="441" spans="6:50"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</row>
    <row r="442" spans="6:50"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</row>
    <row r="443" spans="6:50"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</row>
    <row r="444" spans="6:50"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</row>
    <row r="445" spans="6:50"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</row>
    <row r="446" spans="6:50"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</row>
    <row r="447" spans="6:50"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</row>
    <row r="448" spans="6:50"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</row>
    <row r="449" spans="26:50"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</row>
    <row r="450" spans="26:50"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</row>
    <row r="451" spans="26:50"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</row>
    <row r="452" spans="26:50"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</row>
    <row r="453" spans="26:50"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</row>
    <row r="454" spans="26:50"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</row>
    <row r="455" spans="26:50"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</row>
    <row r="456" spans="26:50"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</row>
    <row r="457" spans="26:50"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</row>
    <row r="458" spans="26:50"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</row>
    <row r="459" spans="26:50"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</row>
    <row r="460" spans="26:50"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</row>
    <row r="461" spans="26:50"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</row>
    <row r="462" spans="26:50"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</row>
    <row r="463" spans="26:50"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</row>
    <row r="464" spans="26:50"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</row>
    <row r="465" spans="26:50"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</row>
    <row r="466" spans="26:50"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</row>
    <row r="467" spans="26:50"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</row>
    <row r="468" spans="26:50"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</row>
    <row r="469" spans="26:50"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</row>
    <row r="470" spans="26:50"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</row>
    <row r="471" spans="26:50"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</row>
    <row r="472" spans="26:50"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</row>
    <row r="473" spans="26:50"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</row>
    <row r="474" spans="26:50"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</row>
    <row r="475" spans="26:50"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</row>
    <row r="476" spans="26:50"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</row>
    <row r="477" spans="26:50"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</row>
    <row r="478" spans="26:50"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</row>
    <row r="479" spans="26:50"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</row>
    <row r="480" spans="26:50"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</row>
    <row r="481" spans="26:50"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</row>
    <row r="482" spans="26:50"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</row>
    <row r="483" spans="26:50"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</row>
    <row r="484" spans="26:50"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</row>
    <row r="485" spans="26:50"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</row>
    <row r="486" spans="26:50"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</row>
    <row r="487" spans="26:50"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</row>
    <row r="488" spans="26:50"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</row>
    <row r="489" spans="26:50"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</row>
    <row r="490" spans="26:50"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</row>
    <row r="491" spans="26:50"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</row>
    <row r="492" spans="26:50"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</row>
    <row r="493" spans="26:50"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</row>
    <row r="494" spans="26:50"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</row>
    <row r="495" spans="26:50"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</row>
    <row r="496" spans="26:50"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</row>
    <row r="497" spans="26:50"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</row>
    <row r="498" spans="26:50"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</row>
    <row r="499" spans="26:50"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</row>
    <row r="500" spans="26:50"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</row>
    <row r="501" spans="26:50"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</row>
    <row r="502" spans="26:50"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</row>
    <row r="503" spans="26:50"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</row>
    <row r="504" spans="26:50"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</row>
    <row r="505" spans="26:50"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</row>
    <row r="506" spans="26:50"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</row>
    <row r="507" spans="26:50"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</row>
    <row r="508" spans="26:50"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</row>
    <row r="509" spans="26:50"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</row>
    <row r="510" spans="26:50"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</row>
    <row r="511" spans="26:50"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</row>
    <row r="512" spans="26:50"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</row>
    <row r="513" spans="26:50"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</row>
    <row r="514" spans="26:50"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</row>
    <row r="515" spans="26:50"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</row>
    <row r="516" spans="26:50"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</row>
    <row r="517" spans="26:50"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</row>
    <row r="518" spans="26:50"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</row>
    <row r="519" spans="26:50"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</row>
    <row r="520" spans="26:50"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</row>
    <row r="521" spans="26:50"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</row>
    <row r="522" spans="26:50">
      <c r="AB522" s="49"/>
      <c r="AC522" s="49"/>
      <c r="AD522" s="49"/>
      <c r="AE522" s="49"/>
      <c r="AF522" s="49"/>
      <c r="AG522" s="49"/>
      <c r="AH522" s="49"/>
      <c r="AI522" s="49"/>
      <c r="AJ522" s="4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494"/>
  <sheetViews>
    <sheetView zoomScaleNormal="100" workbookViewId="0">
      <selection activeCell="A36" sqref="A36:XFD36"/>
    </sheetView>
  </sheetViews>
  <sheetFormatPr defaultRowHeight="16.5"/>
  <cols>
    <col min="1" max="1" width="24.375" customWidth="1"/>
    <col min="2" max="5" width="10.625" style="11" hidden="1" customWidth="1"/>
    <col min="6" max="6" width="10.125" style="2" hidden="1" customWidth="1"/>
    <col min="7" max="14" width="10.625" hidden="1" customWidth="1"/>
    <col min="15" max="16" width="10.625" style="3" hidden="1" customWidth="1"/>
    <col min="17" max="17" width="10.625" hidden="1" customWidth="1"/>
    <col min="18" max="21" width="10.625" customWidth="1"/>
    <col min="22" max="22" width="10.625" style="12" customWidth="1"/>
    <col min="23" max="24" width="10.625" customWidth="1"/>
    <col min="25" max="37" width="10.625" style="4" customWidth="1"/>
    <col min="38" max="41" width="10.625" customWidth="1"/>
  </cols>
  <sheetData>
    <row r="1" spans="1:77" s="1" customFormat="1">
      <c r="A1" s="51" t="s">
        <v>0</v>
      </c>
      <c r="B1" s="52" t="s">
        <v>110</v>
      </c>
      <c r="C1" s="83" t="s">
        <v>111</v>
      </c>
      <c r="D1" s="83" t="s">
        <v>112</v>
      </c>
      <c r="E1" s="83" t="s">
        <v>113</v>
      </c>
      <c r="F1" s="83" t="s">
        <v>66</v>
      </c>
      <c r="G1" s="83" t="s">
        <v>76</v>
      </c>
      <c r="H1" s="83" t="s">
        <v>77</v>
      </c>
      <c r="I1" s="83" t="s">
        <v>81</v>
      </c>
      <c r="J1" s="83" t="s">
        <v>83</v>
      </c>
      <c r="K1" s="83" t="s">
        <v>209</v>
      </c>
      <c r="L1" s="83" t="s">
        <v>227</v>
      </c>
      <c r="M1" s="83" t="s">
        <v>228</v>
      </c>
      <c r="N1" s="83" t="s">
        <v>220</v>
      </c>
      <c r="O1" s="83" t="s">
        <v>85</v>
      </c>
      <c r="P1" s="83" t="s">
        <v>86</v>
      </c>
      <c r="Q1" s="83" t="s">
        <v>108</v>
      </c>
      <c r="R1" s="83" t="s">
        <v>182</v>
      </c>
      <c r="S1" s="83" t="s">
        <v>87</v>
      </c>
      <c r="T1" s="83" t="s">
        <v>183</v>
      </c>
      <c r="U1" s="83" t="s">
        <v>88</v>
      </c>
      <c r="V1" s="83" t="s">
        <v>184</v>
      </c>
      <c r="W1" s="83" t="s">
        <v>89</v>
      </c>
      <c r="X1" s="52" t="s">
        <v>125</v>
      </c>
      <c r="Y1" s="52" t="s">
        <v>126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77" s="3" customFormat="1" ht="21">
      <c r="A2" s="21" t="s">
        <v>265</v>
      </c>
      <c r="B2" s="11"/>
      <c r="C2" s="86" t="s">
        <v>226</v>
      </c>
      <c r="D2" s="86">
        <v>10.88</v>
      </c>
      <c r="E2" s="86"/>
      <c r="F2" s="83"/>
      <c r="G2" s="85" t="s">
        <v>78</v>
      </c>
      <c r="H2" s="89">
        <v>9.41</v>
      </c>
      <c r="I2" s="85" t="s">
        <v>79</v>
      </c>
      <c r="J2" s="89">
        <v>8.09</v>
      </c>
      <c r="K2" s="83" t="s">
        <v>224</v>
      </c>
      <c r="L2" s="89">
        <v>6.17</v>
      </c>
      <c r="M2" s="85" t="s">
        <v>225</v>
      </c>
      <c r="N2" s="89" t="s">
        <v>273</v>
      </c>
      <c r="O2" s="85" t="s">
        <v>70</v>
      </c>
      <c r="P2" s="89">
        <v>7.59</v>
      </c>
      <c r="Q2" s="102"/>
      <c r="R2" s="104" t="s">
        <v>271</v>
      </c>
      <c r="S2" s="89">
        <v>1</v>
      </c>
      <c r="T2" s="83" t="s">
        <v>269</v>
      </c>
      <c r="U2" s="89">
        <v>0.8</v>
      </c>
      <c r="V2" s="104" t="s">
        <v>270</v>
      </c>
      <c r="W2" s="89">
        <v>0.8</v>
      </c>
      <c r="X2" s="86"/>
      <c r="Y2" s="86"/>
      <c r="Z2" s="12"/>
      <c r="AA2" s="1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77" s="3" customFormat="1">
      <c r="B3" s="11"/>
      <c r="C3" s="86"/>
      <c r="D3" s="86"/>
      <c r="E3" s="86"/>
      <c r="F3" s="83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12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77" s="1" customFormat="1">
      <c r="A4" s="3"/>
      <c r="B4" s="11"/>
      <c r="C4" s="86"/>
      <c r="D4" s="86"/>
      <c r="E4" s="86"/>
      <c r="F4" s="83"/>
      <c r="G4" s="86"/>
      <c r="H4" s="83"/>
      <c r="I4" s="85"/>
      <c r="J4" s="83"/>
      <c r="K4" s="83"/>
      <c r="L4" s="85"/>
      <c r="M4" s="83"/>
      <c r="N4" s="85"/>
      <c r="O4" s="83"/>
      <c r="P4" s="85"/>
      <c r="Q4" s="83"/>
      <c r="R4" s="83"/>
      <c r="S4" s="83"/>
      <c r="T4" s="85"/>
      <c r="U4" s="83"/>
      <c r="V4" s="86"/>
      <c r="W4" s="86"/>
      <c r="X4" s="86"/>
      <c r="Y4" s="12"/>
      <c r="Z4" s="3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</row>
    <row r="5" spans="1:77">
      <c r="A5" s="1"/>
      <c r="B5" s="86"/>
      <c r="C5" s="86"/>
      <c r="D5" s="86"/>
      <c r="E5" s="86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</row>
    <row r="6" spans="1:77">
      <c r="A6" s="1" t="s">
        <v>0</v>
      </c>
      <c r="B6" s="83" t="s">
        <v>110</v>
      </c>
      <c r="C6" s="83" t="s">
        <v>111</v>
      </c>
      <c r="D6" s="83" t="s">
        <v>112</v>
      </c>
      <c r="E6" s="83" t="s">
        <v>113</v>
      </c>
      <c r="F6" s="83" t="s">
        <v>66</v>
      </c>
      <c r="G6" s="83" t="s">
        <v>76</v>
      </c>
      <c r="H6" s="83" t="s">
        <v>77</v>
      </c>
      <c r="I6" s="83" t="s">
        <v>82</v>
      </c>
      <c r="J6" s="83" t="s">
        <v>83</v>
      </c>
      <c r="K6" s="83" t="s">
        <v>264</v>
      </c>
      <c r="L6" s="83" t="s">
        <v>267</v>
      </c>
      <c r="M6" s="83" t="s">
        <v>269</v>
      </c>
      <c r="N6" s="83" t="s">
        <v>84</v>
      </c>
      <c r="O6" s="83" t="s">
        <v>85</v>
      </c>
      <c r="P6" s="83" t="s">
        <v>272</v>
      </c>
      <c r="Q6" s="83" t="s">
        <v>109</v>
      </c>
      <c r="R6" s="83" t="s">
        <v>272</v>
      </c>
      <c r="S6" s="83" t="s">
        <v>87</v>
      </c>
      <c r="T6" s="83" t="s">
        <v>183</v>
      </c>
      <c r="U6" s="83" t="s">
        <v>88</v>
      </c>
      <c r="V6" s="83" t="s">
        <v>184</v>
      </c>
      <c r="W6" s="83" t="s">
        <v>89</v>
      </c>
      <c r="X6" s="83" t="s">
        <v>125</v>
      </c>
      <c r="Y6" s="83" t="s">
        <v>126</v>
      </c>
      <c r="AB6" s="98" t="s">
        <v>255</v>
      </c>
      <c r="AC6" s="99" t="s">
        <v>256</v>
      </c>
      <c r="AD6" s="99" t="s">
        <v>257</v>
      </c>
      <c r="AE6" s="99" t="s">
        <v>258</v>
      </c>
      <c r="AF6" s="99" t="s">
        <v>252</v>
      </c>
      <c r="AG6" s="99" t="s">
        <v>117</v>
      </c>
      <c r="AH6" s="99" t="s">
        <v>259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</row>
    <row r="7" spans="1:77">
      <c r="A7" s="1" t="s">
        <v>1</v>
      </c>
      <c r="B7" s="83">
        <v>3</v>
      </c>
      <c r="C7" s="83">
        <v>60</v>
      </c>
      <c r="D7" s="84">
        <v>70</v>
      </c>
      <c r="E7" s="83">
        <v>130</v>
      </c>
      <c r="F7" s="83" t="s">
        <v>67</v>
      </c>
      <c r="G7" s="87">
        <v>3.82</v>
      </c>
      <c r="H7" s="83">
        <f>L2</f>
        <v>6.17</v>
      </c>
      <c r="I7" s="83">
        <f>S2</f>
        <v>1</v>
      </c>
      <c r="J7" s="88">
        <f t="shared" ref="J7:J22" si="0">I7+H7+G7</f>
        <v>10.99</v>
      </c>
      <c r="K7" s="88">
        <f>W2</f>
        <v>0.8</v>
      </c>
      <c r="L7" s="88">
        <f>AH8</f>
        <v>2.1</v>
      </c>
      <c r="M7" s="103">
        <f>U2</f>
        <v>0.8</v>
      </c>
      <c r="N7" s="87">
        <f>AD22</f>
        <v>0.8640000000000001</v>
      </c>
      <c r="O7" s="83">
        <f>AH31</f>
        <v>0.54</v>
      </c>
      <c r="P7" s="88">
        <f>O7+N7+L7+K7+J7+M7</f>
        <v>16.094000000000001</v>
      </c>
      <c r="Q7" s="83">
        <v>1</v>
      </c>
      <c r="R7" s="87">
        <f t="shared" ref="R7:R38" si="1">Q7*P7</f>
        <v>16.094000000000001</v>
      </c>
      <c r="S7" s="87">
        <v>1.0609999999999999</v>
      </c>
      <c r="T7" s="87">
        <f>S7*R7</f>
        <v>17.075734000000001</v>
      </c>
      <c r="U7" s="87">
        <v>1.5</v>
      </c>
      <c r="V7" s="87">
        <f t="shared" ref="V7:V22" si="2">U7*T7</f>
        <v>25.613601000000003</v>
      </c>
      <c r="W7" s="87">
        <f t="shared" ref="W7:W22" si="3">V7-T7</f>
        <v>8.5378670000000021</v>
      </c>
      <c r="X7" s="87">
        <v>29.5</v>
      </c>
      <c r="Y7" s="87">
        <f>V7/X7</f>
        <v>0.86825766101694923</v>
      </c>
      <c r="AB7" s="99" t="s">
        <v>260</v>
      </c>
      <c r="AC7" s="99">
        <v>0</v>
      </c>
      <c r="AD7" s="99">
        <v>0</v>
      </c>
      <c r="AE7" s="100">
        <v>0</v>
      </c>
      <c r="AF7" s="100">
        <f>AE7+AD7+AC7</f>
        <v>0</v>
      </c>
      <c r="AG7" s="99">
        <v>1</v>
      </c>
      <c r="AH7" s="99">
        <f>AG7*AF7</f>
        <v>0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</row>
    <row r="8" spans="1:77">
      <c r="A8" s="1" t="s">
        <v>2</v>
      </c>
      <c r="B8" s="83">
        <v>5</v>
      </c>
      <c r="C8" s="83">
        <v>38</v>
      </c>
      <c r="D8" s="84">
        <v>55</v>
      </c>
      <c r="E8" s="83">
        <v>93</v>
      </c>
      <c r="F8" s="83" t="s">
        <v>69</v>
      </c>
      <c r="G8" s="87">
        <v>3.7</v>
      </c>
      <c r="H8" s="83">
        <f>P2</f>
        <v>7.59</v>
      </c>
      <c r="I8" s="83">
        <f>S2</f>
        <v>1</v>
      </c>
      <c r="J8" s="88">
        <f t="shared" si="0"/>
        <v>12.29</v>
      </c>
      <c r="K8" s="88">
        <f>W2</f>
        <v>0.8</v>
      </c>
      <c r="L8" s="88">
        <f>AH8</f>
        <v>2.1</v>
      </c>
      <c r="M8" s="103">
        <f>U2</f>
        <v>0.8</v>
      </c>
      <c r="N8" s="87">
        <f>AC21</f>
        <v>0.90720000000000001</v>
      </c>
      <c r="O8" s="83">
        <f>AH30</f>
        <v>0.54</v>
      </c>
      <c r="P8" s="88">
        <f t="shared" ref="P8:P71" si="4">O8+N8+L8+K8+J8+M8</f>
        <v>17.437200000000001</v>
      </c>
      <c r="Q8" s="83">
        <v>1</v>
      </c>
      <c r="R8" s="87">
        <f t="shared" si="1"/>
        <v>17.437200000000001</v>
      </c>
      <c r="S8" s="87">
        <v>1.0609999999999999</v>
      </c>
      <c r="T8" s="87">
        <f t="shared" ref="T8:T24" si="5">S8*R8</f>
        <v>18.5008692</v>
      </c>
      <c r="U8" s="87">
        <v>1.5</v>
      </c>
      <c r="V8" s="87">
        <f t="shared" si="2"/>
        <v>27.751303800000002</v>
      </c>
      <c r="W8" s="13">
        <f t="shared" si="3"/>
        <v>9.250434600000002</v>
      </c>
      <c r="X8" s="87">
        <v>29.5</v>
      </c>
      <c r="Y8" s="13">
        <f t="shared" ref="Y8:Y23" si="6">V8/X8</f>
        <v>0.94072216271186448</v>
      </c>
      <c r="AB8" s="99" t="s">
        <v>261</v>
      </c>
      <c r="AC8" s="99">
        <v>0.5</v>
      </c>
      <c r="AD8" s="99">
        <v>1.2</v>
      </c>
      <c r="AE8" s="100">
        <v>0.4</v>
      </c>
      <c r="AF8" s="100">
        <f>AE8+AD8+AC8</f>
        <v>2.1</v>
      </c>
      <c r="AG8" s="99">
        <v>1</v>
      </c>
      <c r="AH8" s="99">
        <f>AG8*AF8</f>
        <v>2.1</v>
      </c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</row>
    <row r="9" spans="1:77">
      <c r="A9" s="1" t="s">
        <v>3</v>
      </c>
      <c r="B9" s="83">
        <v>5</v>
      </c>
      <c r="C9" s="83">
        <v>80</v>
      </c>
      <c r="D9" s="84">
        <v>70</v>
      </c>
      <c r="E9" s="83">
        <v>150</v>
      </c>
      <c r="F9" s="83" t="s">
        <v>67</v>
      </c>
      <c r="G9" s="87">
        <v>5.0999999999999996</v>
      </c>
      <c r="H9" s="83">
        <f>L2</f>
        <v>6.17</v>
      </c>
      <c r="I9" s="83">
        <f>S2</f>
        <v>1</v>
      </c>
      <c r="J9" s="88">
        <f t="shared" si="0"/>
        <v>12.27</v>
      </c>
      <c r="K9" s="88">
        <f>W2</f>
        <v>0.8</v>
      </c>
      <c r="L9" s="88">
        <f>AH8</f>
        <v>2.1</v>
      </c>
      <c r="M9" s="103">
        <f>U2</f>
        <v>0.8</v>
      </c>
      <c r="N9" s="87">
        <f>AE23</f>
        <v>0.85320000000000007</v>
      </c>
      <c r="O9" s="83">
        <f>AH32</f>
        <v>0.54</v>
      </c>
      <c r="P9" s="88">
        <f t="shared" si="4"/>
        <v>17.363200000000003</v>
      </c>
      <c r="Q9" s="83">
        <v>1</v>
      </c>
      <c r="R9" s="87">
        <f t="shared" si="1"/>
        <v>17.363200000000003</v>
      </c>
      <c r="S9" s="87">
        <v>1.0609999999999999</v>
      </c>
      <c r="T9" s="87">
        <f t="shared" si="5"/>
        <v>18.422355200000002</v>
      </c>
      <c r="U9" s="87">
        <v>1.5</v>
      </c>
      <c r="V9" s="87">
        <f t="shared" si="2"/>
        <v>27.633532800000005</v>
      </c>
      <c r="W9" s="13">
        <f t="shared" si="3"/>
        <v>9.2111776000000027</v>
      </c>
      <c r="X9" s="87">
        <v>29.5</v>
      </c>
      <c r="Y9" s="13">
        <f t="shared" si="6"/>
        <v>0.93672992542372902</v>
      </c>
      <c r="AB9" s="99" t="s">
        <v>262</v>
      </c>
      <c r="AC9" s="99">
        <v>0.5</v>
      </c>
      <c r="AD9" s="99">
        <v>1.2</v>
      </c>
      <c r="AE9" s="100">
        <v>0.4</v>
      </c>
      <c r="AF9" s="100">
        <f>AE9+AD9+AC9</f>
        <v>2.1</v>
      </c>
      <c r="AG9" s="99">
        <v>1</v>
      </c>
      <c r="AH9" s="99">
        <f>AG9*AF9</f>
        <v>2.1</v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77">
      <c r="A10" s="1" t="s">
        <v>4</v>
      </c>
      <c r="B10" s="83">
        <v>5</v>
      </c>
      <c r="C10" s="83">
        <v>100</v>
      </c>
      <c r="D10" s="84">
        <v>70</v>
      </c>
      <c r="E10" s="83">
        <v>170</v>
      </c>
      <c r="F10" s="83" t="s">
        <v>67</v>
      </c>
      <c r="G10" s="87">
        <v>5.76</v>
      </c>
      <c r="H10" s="83">
        <f>L2</f>
        <v>6.17</v>
      </c>
      <c r="I10" s="83">
        <f>S2</f>
        <v>1</v>
      </c>
      <c r="J10" s="88">
        <f t="shared" si="0"/>
        <v>12.93</v>
      </c>
      <c r="K10" s="88">
        <f>W2</f>
        <v>0.8</v>
      </c>
      <c r="L10" s="88">
        <f>AH8</f>
        <v>2.1</v>
      </c>
      <c r="M10" s="103">
        <f>U2</f>
        <v>0.8</v>
      </c>
      <c r="N10" s="87">
        <f>AF23</f>
        <v>0.87480000000000013</v>
      </c>
      <c r="O10" s="83">
        <f>AI32</f>
        <v>0.60000000000000009</v>
      </c>
      <c r="P10" s="88">
        <f t="shared" si="4"/>
        <v>18.104800000000001</v>
      </c>
      <c r="Q10" s="83">
        <v>1</v>
      </c>
      <c r="R10" s="87">
        <f t="shared" si="1"/>
        <v>18.104800000000001</v>
      </c>
      <c r="S10" s="87">
        <v>1.0609999999999999</v>
      </c>
      <c r="T10" s="87">
        <f t="shared" si="5"/>
        <v>19.2091928</v>
      </c>
      <c r="U10" s="87">
        <v>1.5</v>
      </c>
      <c r="V10" s="87">
        <f t="shared" si="2"/>
        <v>28.813789200000002</v>
      </c>
      <c r="W10" s="13">
        <f t="shared" si="3"/>
        <v>9.6045964000000019</v>
      </c>
      <c r="X10" s="87">
        <v>29.5</v>
      </c>
      <c r="Y10" s="13">
        <f t="shared" si="6"/>
        <v>0.97673861694915265</v>
      </c>
      <c r="AB10" s="99" t="s">
        <v>263</v>
      </c>
      <c r="AC10" s="99">
        <v>0.5</v>
      </c>
      <c r="AD10" s="99">
        <v>1.2</v>
      </c>
      <c r="AE10" s="100">
        <v>0.4</v>
      </c>
      <c r="AF10" s="100">
        <f>AE10+AD10+AC10</f>
        <v>2.1</v>
      </c>
      <c r="AG10" s="99">
        <v>1</v>
      </c>
      <c r="AH10" s="99">
        <f>AG10*AF10</f>
        <v>2.1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</row>
    <row r="11" spans="1:77">
      <c r="A11" s="1" t="s">
        <v>5</v>
      </c>
      <c r="B11" s="83">
        <v>6</v>
      </c>
      <c r="C11" s="83">
        <v>38</v>
      </c>
      <c r="D11" s="84">
        <v>55</v>
      </c>
      <c r="E11" s="83">
        <v>93</v>
      </c>
      <c r="F11" s="83" t="s">
        <v>69</v>
      </c>
      <c r="G11" s="87">
        <v>3.96</v>
      </c>
      <c r="H11" s="83">
        <f>P2</f>
        <v>7.59</v>
      </c>
      <c r="I11" s="83">
        <f>S2</f>
        <v>1</v>
      </c>
      <c r="J11" s="88">
        <f t="shared" si="0"/>
        <v>12.55</v>
      </c>
      <c r="K11" s="88">
        <f>W2</f>
        <v>0.8</v>
      </c>
      <c r="L11" s="88">
        <f>AH8</f>
        <v>2.1</v>
      </c>
      <c r="M11" s="103">
        <f>U2</f>
        <v>0.8</v>
      </c>
      <c r="N11" s="87">
        <f>AC21</f>
        <v>0.90720000000000001</v>
      </c>
      <c r="O11" s="83">
        <f>AH30</f>
        <v>0.54</v>
      </c>
      <c r="P11" s="88">
        <f t="shared" si="4"/>
        <v>17.697200000000002</v>
      </c>
      <c r="Q11" s="83">
        <v>1</v>
      </c>
      <c r="R11" s="87">
        <f t="shared" si="1"/>
        <v>17.697200000000002</v>
      </c>
      <c r="S11" s="87">
        <v>1.0609999999999999</v>
      </c>
      <c r="T11" s="87">
        <f t="shared" si="5"/>
        <v>18.776729200000002</v>
      </c>
      <c r="U11" s="87">
        <v>1.5</v>
      </c>
      <c r="V11" s="87">
        <f t="shared" si="2"/>
        <v>28.165093800000001</v>
      </c>
      <c r="W11" s="13">
        <f t="shared" si="3"/>
        <v>9.3883645999999992</v>
      </c>
      <c r="X11" s="87">
        <v>29.5</v>
      </c>
      <c r="Y11" s="13">
        <f t="shared" si="6"/>
        <v>0.95474894237288144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</row>
    <row r="12" spans="1:77" ht="17.25" thickBot="1">
      <c r="A12" s="1" t="s">
        <v>6</v>
      </c>
      <c r="B12" s="83">
        <v>6</v>
      </c>
      <c r="C12" s="83">
        <v>100</v>
      </c>
      <c r="D12" s="84">
        <v>90</v>
      </c>
      <c r="E12" s="83">
        <v>190</v>
      </c>
      <c r="F12" s="83" t="s">
        <v>71</v>
      </c>
      <c r="G12" s="87">
        <v>6.67</v>
      </c>
      <c r="H12" s="83">
        <f>J2</f>
        <v>8.09</v>
      </c>
      <c r="I12" s="83">
        <f>S2</f>
        <v>1</v>
      </c>
      <c r="J12" s="88">
        <f t="shared" si="0"/>
        <v>15.76</v>
      </c>
      <c r="K12" s="88">
        <f>W2</f>
        <v>0.8</v>
      </c>
      <c r="L12" s="88">
        <f>AH8</f>
        <v>2.1</v>
      </c>
      <c r="M12" s="103">
        <f>U2</f>
        <v>0.8</v>
      </c>
      <c r="N12" s="87">
        <f>AF24</f>
        <v>0.99360000000000015</v>
      </c>
      <c r="O12" s="83">
        <f>AI33</f>
        <v>0.60000000000000009</v>
      </c>
      <c r="P12" s="88">
        <f t="shared" si="4"/>
        <v>21.053599999999999</v>
      </c>
      <c r="Q12" s="83">
        <v>1</v>
      </c>
      <c r="R12" s="87">
        <f t="shared" si="1"/>
        <v>21.053599999999999</v>
      </c>
      <c r="S12" s="87">
        <v>1.0609999999999999</v>
      </c>
      <c r="T12" s="87">
        <f t="shared" si="5"/>
        <v>22.337869599999998</v>
      </c>
      <c r="U12" s="87">
        <v>1.4</v>
      </c>
      <c r="V12" s="87">
        <f t="shared" si="2"/>
        <v>31.273017439999993</v>
      </c>
      <c r="W12" s="13">
        <f t="shared" si="3"/>
        <v>8.9351478399999955</v>
      </c>
      <c r="X12" s="87">
        <v>29.5</v>
      </c>
      <c r="Y12" s="13">
        <f t="shared" si="6"/>
        <v>1.0601022861016947</v>
      </c>
      <c r="AB12" s="4" t="s">
        <v>218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</row>
    <row r="13" spans="1:77">
      <c r="A13" s="1" t="s">
        <v>7</v>
      </c>
      <c r="B13" s="83">
        <v>6</v>
      </c>
      <c r="C13" s="83">
        <v>125</v>
      </c>
      <c r="D13" s="84">
        <v>90</v>
      </c>
      <c r="E13" s="83">
        <v>215</v>
      </c>
      <c r="F13" s="83" t="s">
        <v>71</v>
      </c>
      <c r="G13" s="87">
        <v>7.87</v>
      </c>
      <c r="H13" s="83">
        <f>J2</f>
        <v>8.09</v>
      </c>
      <c r="I13" s="83">
        <f>S2</f>
        <v>1</v>
      </c>
      <c r="J13" s="88">
        <f t="shared" si="0"/>
        <v>16.96</v>
      </c>
      <c r="K13" s="88">
        <f>W2</f>
        <v>0.8</v>
      </c>
      <c r="L13" s="88">
        <f>AH8</f>
        <v>2.1</v>
      </c>
      <c r="M13" s="103">
        <f>U2</f>
        <v>0.8</v>
      </c>
      <c r="N13" s="87">
        <f>AG24</f>
        <v>1.0908</v>
      </c>
      <c r="O13" s="83">
        <f>AI33</f>
        <v>0.60000000000000009</v>
      </c>
      <c r="P13" s="88">
        <f t="shared" si="4"/>
        <v>22.350800000000003</v>
      </c>
      <c r="Q13" s="83">
        <v>1</v>
      </c>
      <c r="R13" s="87">
        <f t="shared" si="1"/>
        <v>22.350800000000003</v>
      </c>
      <c r="S13" s="87">
        <v>1.0609999999999999</v>
      </c>
      <c r="T13" s="87">
        <f t="shared" si="5"/>
        <v>23.714198800000002</v>
      </c>
      <c r="U13" s="87">
        <v>1.5</v>
      </c>
      <c r="V13" s="87">
        <f t="shared" si="2"/>
        <v>35.571298200000001</v>
      </c>
      <c r="W13" s="13">
        <f t="shared" si="3"/>
        <v>11.857099399999999</v>
      </c>
      <c r="X13" s="87">
        <v>29.5</v>
      </c>
      <c r="Y13" s="13">
        <f t="shared" si="6"/>
        <v>1.2058067186440677</v>
      </c>
      <c r="AB13" s="5" t="s">
        <v>102</v>
      </c>
      <c r="AC13" s="27">
        <v>38</v>
      </c>
      <c r="AD13" s="27">
        <v>60</v>
      </c>
      <c r="AE13" s="27">
        <v>80</v>
      </c>
      <c r="AF13" s="27">
        <v>100</v>
      </c>
      <c r="AG13" s="27">
        <v>150</v>
      </c>
      <c r="AH13" s="27">
        <v>200</v>
      </c>
      <c r="AI13" s="27">
        <v>250</v>
      </c>
      <c r="AJ13" s="27">
        <v>300</v>
      </c>
      <c r="AK13" s="27">
        <v>350</v>
      </c>
      <c r="AL13" s="27">
        <v>400</v>
      </c>
      <c r="AM13" s="27">
        <v>450</v>
      </c>
      <c r="AN13" s="28">
        <v>500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</row>
    <row r="14" spans="1:77">
      <c r="A14" s="1" t="s">
        <v>8</v>
      </c>
      <c r="B14" s="83">
        <v>6</v>
      </c>
      <c r="C14" s="83">
        <v>150</v>
      </c>
      <c r="D14" s="84">
        <v>90</v>
      </c>
      <c r="E14" s="83">
        <v>240</v>
      </c>
      <c r="F14" s="83" t="s">
        <v>71</v>
      </c>
      <c r="G14" s="87">
        <v>8.4</v>
      </c>
      <c r="H14" s="83">
        <f>J2</f>
        <v>8.09</v>
      </c>
      <c r="I14" s="83">
        <f>S2</f>
        <v>1</v>
      </c>
      <c r="J14" s="88">
        <f t="shared" si="0"/>
        <v>17.490000000000002</v>
      </c>
      <c r="K14" s="88">
        <f>W2</f>
        <v>0.8</v>
      </c>
      <c r="L14" s="88">
        <f>AH8</f>
        <v>2.1</v>
      </c>
      <c r="M14" s="103">
        <f>U2</f>
        <v>0.8</v>
      </c>
      <c r="N14" s="87">
        <f>AG24</f>
        <v>1.0908</v>
      </c>
      <c r="O14" s="83">
        <f>AI33</f>
        <v>0.60000000000000009</v>
      </c>
      <c r="P14" s="88">
        <f t="shared" si="4"/>
        <v>22.880800000000004</v>
      </c>
      <c r="Q14" s="83">
        <v>1</v>
      </c>
      <c r="R14" s="87">
        <f t="shared" si="1"/>
        <v>22.880800000000004</v>
      </c>
      <c r="S14" s="87">
        <v>1.0609999999999999</v>
      </c>
      <c r="T14" s="87">
        <f t="shared" si="5"/>
        <v>24.276528800000005</v>
      </c>
      <c r="U14" s="87">
        <v>1.5</v>
      </c>
      <c r="V14" s="87">
        <f t="shared" si="2"/>
        <v>36.414793200000005</v>
      </c>
      <c r="W14" s="13">
        <f t="shared" si="3"/>
        <v>12.138264400000001</v>
      </c>
      <c r="X14" s="87">
        <v>29.5</v>
      </c>
      <c r="Y14" s="13">
        <f t="shared" si="6"/>
        <v>1.2343997694915256</v>
      </c>
      <c r="AB14" s="33" t="s">
        <v>94</v>
      </c>
      <c r="AC14" s="84">
        <v>0.84</v>
      </c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30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</row>
    <row r="15" spans="1:77">
      <c r="A15" s="1" t="s">
        <v>9</v>
      </c>
      <c r="B15" s="83">
        <v>8</v>
      </c>
      <c r="C15" s="83">
        <v>125</v>
      </c>
      <c r="D15" s="84">
        <v>110</v>
      </c>
      <c r="E15" s="83">
        <v>235</v>
      </c>
      <c r="F15" s="83" t="s">
        <v>73</v>
      </c>
      <c r="G15" s="87">
        <v>13.24</v>
      </c>
      <c r="H15" s="83">
        <f>H2</f>
        <v>9.41</v>
      </c>
      <c r="I15" s="83">
        <f>S2</f>
        <v>1</v>
      </c>
      <c r="J15" s="88">
        <f t="shared" si="0"/>
        <v>23.65</v>
      </c>
      <c r="K15" s="88">
        <f>W2</f>
        <v>0.8</v>
      </c>
      <c r="L15" s="88">
        <f>AH8</f>
        <v>2.1</v>
      </c>
      <c r="M15" s="103">
        <f>U2</f>
        <v>0.8</v>
      </c>
      <c r="N15" s="87">
        <f>AG25</f>
        <v>1.3392000000000002</v>
      </c>
      <c r="O15" s="83">
        <f>AI34</f>
        <v>0.78</v>
      </c>
      <c r="P15" s="88">
        <f t="shared" si="4"/>
        <v>29.469200000000001</v>
      </c>
      <c r="Q15" s="83">
        <v>1</v>
      </c>
      <c r="R15" s="87">
        <f t="shared" si="1"/>
        <v>29.469200000000001</v>
      </c>
      <c r="S15" s="87">
        <v>1.0609999999999999</v>
      </c>
      <c r="T15" s="87">
        <f t="shared" si="5"/>
        <v>31.266821199999999</v>
      </c>
      <c r="U15" s="87">
        <v>1.4</v>
      </c>
      <c r="V15" s="87">
        <f t="shared" si="2"/>
        <v>43.773549679999995</v>
      </c>
      <c r="W15" s="13">
        <f t="shared" si="3"/>
        <v>12.506728479999996</v>
      </c>
      <c r="X15" s="87">
        <v>29.5</v>
      </c>
      <c r="Y15" s="13">
        <f t="shared" si="6"/>
        <v>1.4838491416949151</v>
      </c>
      <c r="AB15" s="33" t="s">
        <v>91</v>
      </c>
      <c r="AC15" s="84"/>
      <c r="AD15" s="84">
        <v>0.8</v>
      </c>
      <c r="AE15" s="84">
        <v>0.8</v>
      </c>
      <c r="AF15" s="84">
        <v>0.84</v>
      </c>
      <c r="AG15" s="84">
        <v>0.9</v>
      </c>
      <c r="AH15" s="84">
        <v>0.94</v>
      </c>
      <c r="AI15" s="84">
        <v>0.98</v>
      </c>
      <c r="AJ15" s="84">
        <v>1.03</v>
      </c>
      <c r="AK15" s="84">
        <v>1.2</v>
      </c>
      <c r="AL15" s="84">
        <v>1.25</v>
      </c>
      <c r="AM15" s="84">
        <v>1.3</v>
      </c>
      <c r="AN15" s="30">
        <v>1.35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</row>
    <row r="16" spans="1:77">
      <c r="A16" s="1" t="s">
        <v>10</v>
      </c>
      <c r="B16" s="83">
        <v>8</v>
      </c>
      <c r="C16" s="83">
        <v>150</v>
      </c>
      <c r="D16" s="84">
        <v>110</v>
      </c>
      <c r="E16" s="83">
        <v>260</v>
      </c>
      <c r="F16" s="83" t="s">
        <v>73</v>
      </c>
      <c r="G16" s="87">
        <v>16.13</v>
      </c>
      <c r="H16" s="83">
        <f>H2</f>
        <v>9.41</v>
      </c>
      <c r="I16" s="83">
        <f>S2</f>
        <v>1</v>
      </c>
      <c r="J16" s="88">
        <f t="shared" si="0"/>
        <v>26.54</v>
      </c>
      <c r="K16" s="88">
        <f>W2</f>
        <v>0.8</v>
      </c>
      <c r="L16" s="88">
        <f>AH8</f>
        <v>2.1</v>
      </c>
      <c r="M16" s="103">
        <f>U2</f>
        <v>0.8</v>
      </c>
      <c r="N16" s="87">
        <f>AG25</f>
        <v>1.3392000000000002</v>
      </c>
      <c r="O16" s="83">
        <f>AI34</f>
        <v>0.78</v>
      </c>
      <c r="P16" s="88">
        <f t="shared" si="4"/>
        <v>32.359200000000001</v>
      </c>
      <c r="Q16" s="83">
        <v>1</v>
      </c>
      <c r="R16" s="87">
        <f t="shared" si="1"/>
        <v>32.359200000000001</v>
      </c>
      <c r="S16" s="87">
        <v>1.0609999999999999</v>
      </c>
      <c r="T16" s="87">
        <f t="shared" si="5"/>
        <v>34.333111199999998</v>
      </c>
      <c r="U16" s="87">
        <v>1.5</v>
      </c>
      <c r="V16" s="87">
        <f t="shared" si="2"/>
        <v>51.4996668</v>
      </c>
      <c r="W16" s="13">
        <f t="shared" si="3"/>
        <v>17.166555600000002</v>
      </c>
      <c r="X16" s="87">
        <v>29.5</v>
      </c>
      <c r="Y16" s="13">
        <f t="shared" si="6"/>
        <v>1.7457514169491526</v>
      </c>
      <c r="AB16" s="33" t="s">
        <v>92</v>
      </c>
      <c r="AC16" s="84"/>
      <c r="AD16" s="84">
        <v>0.75</v>
      </c>
      <c r="AE16" s="84">
        <v>0.79</v>
      </c>
      <c r="AF16" s="84">
        <v>0.81</v>
      </c>
      <c r="AG16" s="84">
        <v>0.87</v>
      </c>
      <c r="AH16" s="84">
        <v>0.97</v>
      </c>
      <c r="AI16" s="84">
        <v>1.02</v>
      </c>
      <c r="AJ16" s="84">
        <v>1.07</v>
      </c>
      <c r="AK16" s="84">
        <v>1.3</v>
      </c>
      <c r="AL16" s="84">
        <v>1.35</v>
      </c>
      <c r="AM16" s="84">
        <v>1.4</v>
      </c>
      <c r="AN16" s="30">
        <v>1.45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</row>
    <row r="17" spans="1:76">
      <c r="A17" s="1" t="s">
        <v>11</v>
      </c>
      <c r="B17" s="83">
        <v>10</v>
      </c>
      <c r="C17" s="83">
        <v>200</v>
      </c>
      <c r="D17" s="84">
        <v>110</v>
      </c>
      <c r="E17" s="83">
        <v>310</v>
      </c>
      <c r="F17" s="83" t="s">
        <v>73</v>
      </c>
      <c r="G17" s="87">
        <v>25.69</v>
      </c>
      <c r="H17" s="83">
        <f>H2</f>
        <v>9.41</v>
      </c>
      <c r="I17" s="83">
        <f>S2</f>
        <v>1</v>
      </c>
      <c r="J17" s="88">
        <f t="shared" si="0"/>
        <v>36.1</v>
      </c>
      <c r="K17" s="88">
        <f>W2</f>
        <v>0.8</v>
      </c>
      <c r="L17" s="88">
        <f>AH8</f>
        <v>2.1</v>
      </c>
      <c r="M17" s="103">
        <f>U2</f>
        <v>0.8</v>
      </c>
      <c r="N17" s="87">
        <f>AH25</f>
        <v>1.3824000000000001</v>
      </c>
      <c r="O17" s="83">
        <f>AJ34</f>
        <v>1.0499999999999998</v>
      </c>
      <c r="P17" s="88">
        <f t="shared" si="4"/>
        <v>42.232399999999998</v>
      </c>
      <c r="Q17" s="83">
        <v>1</v>
      </c>
      <c r="R17" s="87">
        <f t="shared" si="1"/>
        <v>42.232399999999998</v>
      </c>
      <c r="S17" s="87">
        <v>1.0609999999999999</v>
      </c>
      <c r="T17" s="87">
        <f t="shared" si="5"/>
        <v>44.808576399999993</v>
      </c>
      <c r="U17" s="87">
        <v>1.5</v>
      </c>
      <c r="V17" s="87">
        <f t="shared" si="2"/>
        <v>67.212864599999989</v>
      </c>
      <c r="W17" s="13">
        <f t="shared" si="3"/>
        <v>22.404288199999996</v>
      </c>
      <c r="X17" s="87">
        <v>29.5</v>
      </c>
      <c r="Y17" s="13">
        <f t="shared" si="6"/>
        <v>2.278402189830508</v>
      </c>
      <c r="AB17" s="33" t="s">
        <v>93</v>
      </c>
      <c r="AC17" s="84"/>
      <c r="AD17" s="84"/>
      <c r="AE17" s="84"/>
      <c r="AF17" s="84">
        <v>0.92</v>
      </c>
      <c r="AG17" s="84">
        <v>1.01</v>
      </c>
      <c r="AH17" s="84">
        <v>1.1200000000000001</v>
      </c>
      <c r="AI17" s="84">
        <v>1.2</v>
      </c>
      <c r="AJ17" s="84">
        <v>1.25</v>
      </c>
      <c r="AK17" s="84">
        <v>1.3</v>
      </c>
      <c r="AL17" s="84">
        <v>1.35</v>
      </c>
      <c r="AM17" s="84">
        <v>1.4</v>
      </c>
      <c r="AN17" s="30">
        <v>1.45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</row>
    <row r="18" spans="1:76" ht="17.25" thickBot="1">
      <c r="A18" s="1" t="s">
        <v>12</v>
      </c>
      <c r="B18" s="83">
        <v>3</v>
      </c>
      <c r="C18" s="83">
        <v>60</v>
      </c>
      <c r="D18" s="84">
        <v>70</v>
      </c>
      <c r="E18" s="83">
        <v>130</v>
      </c>
      <c r="F18" s="83" t="s">
        <v>67</v>
      </c>
      <c r="G18" s="87">
        <v>4.03</v>
      </c>
      <c r="H18" s="83">
        <f>P2</f>
        <v>7.59</v>
      </c>
      <c r="I18" s="83">
        <f>S2</f>
        <v>1</v>
      </c>
      <c r="J18" s="88">
        <f t="shared" si="0"/>
        <v>12.620000000000001</v>
      </c>
      <c r="K18" s="88">
        <f>W2</f>
        <v>0.8</v>
      </c>
      <c r="L18" s="88">
        <f>AH8</f>
        <v>2.1</v>
      </c>
      <c r="M18" s="103">
        <f>U2</f>
        <v>0.8</v>
      </c>
      <c r="N18" s="87">
        <f>AD22</f>
        <v>0.8640000000000001</v>
      </c>
      <c r="O18" s="83">
        <f>AH31</f>
        <v>0.54</v>
      </c>
      <c r="P18" s="88">
        <f t="shared" si="4"/>
        <v>17.724</v>
      </c>
      <c r="Q18" s="83">
        <v>1</v>
      </c>
      <c r="R18" s="87">
        <f t="shared" si="1"/>
        <v>17.724</v>
      </c>
      <c r="S18" s="87">
        <v>1.0609999999999999</v>
      </c>
      <c r="T18" s="87">
        <f t="shared" si="5"/>
        <v>18.805163999999998</v>
      </c>
      <c r="U18" s="87">
        <v>1.5</v>
      </c>
      <c r="V18" s="87">
        <f t="shared" si="2"/>
        <v>28.207745999999997</v>
      </c>
      <c r="W18" s="13">
        <f t="shared" si="3"/>
        <v>9.4025819999999989</v>
      </c>
      <c r="X18" s="87">
        <v>29.5</v>
      </c>
      <c r="Y18" s="13">
        <f t="shared" si="6"/>
        <v>0.95619477966101685</v>
      </c>
      <c r="AB18" s="34" t="s">
        <v>90</v>
      </c>
      <c r="AC18" s="71"/>
      <c r="AD18" s="71"/>
      <c r="AE18" s="71"/>
      <c r="AF18" s="71">
        <v>1.19</v>
      </c>
      <c r="AG18" s="71">
        <v>1.24</v>
      </c>
      <c r="AH18" s="71">
        <v>1.28</v>
      </c>
      <c r="AI18" s="71">
        <v>1.48</v>
      </c>
      <c r="AJ18" s="71">
        <v>1.58</v>
      </c>
      <c r="AK18" s="71">
        <v>1.68</v>
      </c>
      <c r="AL18" s="71">
        <v>1.78</v>
      </c>
      <c r="AM18" s="71">
        <v>1.88</v>
      </c>
      <c r="AN18" s="79">
        <v>1.98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</row>
    <row r="19" spans="1:76" ht="17.25" thickBot="1">
      <c r="A19" s="1" t="s">
        <v>13</v>
      </c>
      <c r="B19" s="83">
        <v>5</v>
      </c>
      <c r="C19" s="83">
        <v>38</v>
      </c>
      <c r="D19" s="84">
        <v>55</v>
      </c>
      <c r="E19" s="83">
        <v>93</v>
      </c>
      <c r="F19" s="83" t="s">
        <v>69</v>
      </c>
      <c r="G19" s="87">
        <v>3.91</v>
      </c>
      <c r="H19" s="83">
        <f>P2</f>
        <v>7.59</v>
      </c>
      <c r="I19" s="83">
        <f>S2</f>
        <v>1</v>
      </c>
      <c r="J19" s="88">
        <f t="shared" si="0"/>
        <v>12.5</v>
      </c>
      <c r="K19" s="88">
        <f>W2</f>
        <v>0.8</v>
      </c>
      <c r="L19" s="88">
        <f>AH8</f>
        <v>2.1</v>
      </c>
      <c r="M19" s="103">
        <f>U2</f>
        <v>0.8</v>
      </c>
      <c r="N19" s="87">
        <f>AC21</f>
        <v>0.90720000000000001</v>
      </c>
      <c r="O19" s="83">
        <f>AH30</f>
        <v>0.54</v>
      </c>
      <c r="P19" s="88">
        <f t="shared" si="4"/>
        <v>17.647200000000002</v>
      </c>
      <c r="Q19" s="83">
        <v>1</v>
      </c>
      <c r="R19" s="87">
        <f t="shared" si="1"/>
        <v>17.647200000000002</v>
      </c>
      <c r="S19" s="87">
        <v>1.0609999999999999</v>
      </c>
      <c r="T19" s="87">
        <f t="shared" si="5"/>
        <v>18.723679199999999</v>
      </c>
      <c r="U19" s="87">
        <v>1.5</v>
      </c>
      <c r="V19" s="87">
        <f t="shared" si="2"/>
        <v>28.085518799999999</v>
      </c>
      <c r="W19" s="13">
        <f t="shared" si="3"/>
        <v>9.3618395999999997</v>
      </c>
      <c r="X19" s="87">
        <v>29.5</v>
      </c>
      <c r="Y19" s="13">
        <f t="shared" si="6"/>
        <v>0.95205148474576273</v>
      </c>
      <c r="AB19" s="33" t="s">
        <v>214</v>
      </c>
      <c r="AC19" s="58">
        <v>1.08</v>
      </c>
      <c r="AD19" s="58">
        <v>1.08</v>
      </c>
      <c r="AE19" s="58">
        <v>1.08</v>
      </c>
      <c r="AF19" s="58">
        <v>1.08</v>
      </c>
      <c r="AG19" s="58">
        <v>1.08</v>
      </c>
      <c r="AH19" s="58">
        <v>1.08</v>
      </c>
      <c r="AI19" s="58">
        <v>1.08</v>
      </c>
      <c r="AJ19" s="58">
        <v>1.08</v>
      </c>
      <c r="AK19" s="58">
        <v>1.08</v>
      </c>
      <c r="AL19" s="58">
        <v>1.08</v>
      </c>
      <c r="AM19" s="58">
        <v>1.08</v>
      </c>
      <c r="AN19" s="30">
        <v>1.08</v>
      </c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</row>
    <row r="20" spans="1:76">
      <c r="A20" s="1" t="s">
        <v>14</v>
      </c>
      <c r="B20" s="83">
        <v>5</v>
      </c>
      <c r="C20" s="83">
        <v>80</v>
      </c>
      <c r="D20" s="84">
        <v>70</v>
      </c>
      <c r="E20" s="83">
        <v>150</v>
      </c>
      <c r="F20" s="83" t="s">
        <v>67</v>
      </c>
      <c r="G20" s="87">
        <v>5.31</v>
      </c>
      <c r="H20" s="83">
        <f>L2</f>
        <v>6.17</v>
      </c>
      <c r="I20" s="83">
        <f>S2</f>
        <v>1</v>
      </c>
      <c r="J20" s="88">
        <f t="shared" si="0"/>
        <v>12.48</v>
      </c>
      <c r="K20" s="88">
        <f>W2</f>
        <v>0.8</v>
      </c>
      <c r="L20" s="88">
        <f>AH8</f>
        <v>2.1</v>
      </c>
      <c r="M20" s="103">
        <f>U2</f>
        <v>0.8</v>
      </c>
      <c r="N20" s="87">
        <f>AE23</f>
        <v>0.85320000000000007</v>
      </c>
      <c r="O20" s="83">
        <f>AH32</f>
        <v>0.54</v>
      </c>
      <c r="P20" s="88">
        <f t="shared" si="4"/>
        <v>17.573200000000003</v>
      </c>
      <c r="Q20" s="83">
        <v>1</v>
      </c>
      <c r="R20" s="87">
        <f t="shared" si="1"/>
        <v>17.573200000000003</v>
      </c>
      <c r="S20" s="87">
        <v>1.0609999999999999</v>
      </c>
      <c r="T20" s="87">
        <f t="shared" si="5"/>
        <v>18.645165200000001</v>
      </c>
      <c r="U20" s="87">
        <v>1.5</v>
      </c>
      <c r="V20" s="87">
        <f t="shared" si="2"/>
        <v>27.967747800000001</v>
      </c>
      <c r="W20" s="13">
        <f t="shared" si="3"/>
        <v>9.3225826000000005</v>
      </c>
      <c r="X20" s="87">
        <v>29.5</v>
      </c>
      <c r="Y20" s="13">
        <f t="shared" si="6"/>
        <v>0.94805924745762715</v>
      </c>
      <c r="AB20" s="5" t="s">
        <v>102</v>
      </c>
      <c r="AC20" s="27">
        <v>38</v>
      </c>
      <c r="AD20" s="27">
        <v>60</v>
      </c>
      <c r="AE20" s="27">
        <v>80</v>
      </c>
      <c r="AF20" s="27">
        <v>100</v>
      </c>
      <c r="AG20" s="27">
        <v>150</v>
      </c>
      <c r="AH20" s="27">
        <v>200</v>
      </c>
      <c r="AI20" s="27">
        <v>250</v>
      </c>
      <c r="AJ20" s="27">
        <v>300</v>
      </c>
      <c r="AK20" s="27">
        <v>350</v>
      </c>
      <c r="AL20" s="27">
        <v>400</v>
      </c>
      <c r="AM20" s="27">
        <v>450</v>
      </c>
      <c r="AN20" s="28">
        <v>500</v>
      </c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</row>
    <row r="21" spans="1:76">
      <c r="A21" s="1" t="s">
        <v>15</v>
      </c>
      <c r="B21" s="83">
        <v>5</v>
      </c>
      <c r="C21" s="83">
        <v>100</v>
      </c>
      <c r="D21" s="84">
        <v>70</v>
      </c>
      <c r="E21" s="83">
        <v>170</v>
      </c>
      <c r="F21" s="83" t="s">
        <v>67</v>
      </c>
      <c r="G21" s="87">
        <v>5.97</v>
      </c>
      <c r="H21" s="83">
        <f>L2</f>
        <v>6.17</v>
      </c>
      <c r="I21" s="83">
        <f>S2</f>
        <v>1</v>
      </c>
      <c r="J21" s="88">
        <f t="shared" si="0"/>
        <v>13.14</v>
      </c>
      <c r="K21" s="88">
        <f>W2</f>
        <v>0.8</v>
      </c>
      <c r="L21" s="88">
        <f>AH8</f>
        <v>2.1</v>
      </c>
      <c r="M21" s="103">
        <f>U2</f>
        <v>0.8</v>
      </c>
      <c r="N21" s="87">
        <f>AF23</f>
        <v>0.87480000000000013</v>
      </c>
      <c r="O21" s="83">
        <f>AI32</f>
        <v>0.60000000000000009</v>
      </c>
      <c r="P21" s="88">
        <f t="shared" si="4"/>
        <v>18.314800000000002</v>
      </c>
      <c r="Q21" s="83">
        <v>1</v>
      </c>
      <c r="R21" s="87">
        <f t="shared" si="1"/>
        <v>18.314800000000002</v>
      </c>
      <c r="S21" s="87">
        <v>1.0609999999999999</v>
      </c>
      <c r="T21" s="87">
        <f t="shared" si="5"/>
        <v>19.432002799999999</v>
      </c>
      <c r="U21" s="87">
        <v>1.5</v>
      </c>
      <c r="V21" s="87">
        <f t="shared" si="2"/>
        <v>29.148004199999999</v>
      </c>
      <c r="W21" s="13">
        <f t="shared" si="3"/>
        <v>9.7160013999999997</v>
      </c>
      <c r="X21" s="87">
        <v>29.5</v>
      </c>
      <c r="Y21" s="13">
        <f t="shared" si="6"/>
        <v>0.98806793898305079</v>
      </c>
      <c r="AB21" s="33" t="s">
        <v>70</v>
      </c>
      <c r="AC21" s="74">
        <f>AC19*AC14</f>
        <v>0.90720000000000001</v>
      </c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3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</row>
    <row r="22" spans="1:76">
      <c r="A22" s="1" t="s">
        <v>16</v>
      </c>
      <c r="B22" s="83">
        <v>6</v>
      </c>
      <c r="C22" s="83">
        <v>38</v>
      </c>
      <c r="D22" s="84">
        <v>55</v>
      </c>
      <c r="E22" s="83">
        <v>93</v>
      </c>
      <c r="F22" s="83" t="s">
        <v>69</v>
      </c>
      <c r="G22" s="87">
        <v>4.17</v>
      </c>
      <c r="H22" s="83">
        <f>P2</f>
        <v>7.59</v>
      </c>
      <c r="I22" s="83">
        <f>S2</f>
        <v>1</v>
      </c>
      <c r="J22" s="88">
        <f t="shared" si="0"/>
        <v>12.76</v>
      </c>
      <c r="K22" s="88">
        <f>W2</f>
        <v>0.8</v>
      </c>
      <c r="L22" s="88">
        <f>AH8</f>
        <v>2.1</v>
      </c>
      <c r="M22" s="103">
        <f>U2</f>
        <v>0.8</v>
      </c>
      <c r="N22" s="87">
        <f>AC21</f>
        <v>0.90720000000000001</v>
      </c>
      <c r="O22" s="83">
        <f>AH30</f>
        <v>0.54</v>
      </c>
      <c r="P22" s="88">
        <f t="shared" si="4"/>
        <v>17.9072</v>
      </c>
      <c r="Q22" s="83">
        <v>1</v>
      </c>
      <c r="R22" s="87">
        <f t="shared" si="1"/>
        <v>17.9072</v>
      </c>
      <c r="S22" s="87">
        <v>1.0609999999999999</v>
      </c>
      <c r="T22" s="87">
        <f t="shared" si="5"/>
        <v>18.999539199999997</v>
      </c>
      <c r="U22" s="87">
        <v>1.5</v>
      </c>
      <c r="V22" s="87">
        <f t="shared" si="2"/>
        <v>28.499308799999994</v>
      </c>
      <c r="W22" s="13">
        <f t="shared" si="3"/>
        <v>9.4997695999999969</v>
      </c>
      <c r="X22" s="87">
        <v>29.5</v>
      </c>
      <c r="Y22" s="13">
        <f t="shared" si="6"/>
        <v>0.96607826440677946</v>
      </c>
      <c r="AB22" s="33" t="s">
        <v>91</v>
      </c>
      <c r="AC22" s="64"/>
      <c r="AD22" s="74">
        <f>AD19*AD15</f>
        <v>0.8640000000000001</v>
      </c>
      <c r="AE22" s="74">
        <f t="shared" ref="AE22:AN22" si="7">AE19*AE15</f>
        <v>0.8640000000000001</v>
      </c>
      <c r="AF22" s="74">
        <f t="shared" si="7"/>
        <v>0.90720000000000001</v>
      </c>
      <c r="AG22" s="74">
        <f t="shared" si="7"/>
        <v>0.97200000000000009</v>
      </c>
      <c r="AH22" s="74">
        <f t="shared" si="7"/>
        <v>1.0152000000000001</v>
      </c>
      <c r="AI22" s="74">
        <f t="shared" si="7"/>
        <v>1.0584</v>
      </c>
      <c r="AJ22" s="74">
        <f t="shared" si="7"/>
        <v>1.1124000000000001</v>
      </c>
      <c r="AK22" s="74">
        <f t="shared" si="7"/>
        <v>1.296</v>
      </c>
      <c r="AL22" s="74">
        <f t="shared" si="7"/>
        <v>1.35</v>
      </c>
      <c r="AM22" s="74">
        <f t="shared" si="7"/>
        <v>1.4040000000000001</v>
      </c>
      <c r="AN22" s="74">
        <f t="shared" si="7"/>
        <v>1.4580000000000002</v>
      </c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</row>
    <row r="23" spans="1:76">
      <c r="A23" s="1" t="s">
        <v>17</v>
      </c>
      <c r="B23" s="83">
        <v>6</v>
      </c>
      <c r="C23" s="83">
        <v>100</v>
      </c>
      <c r="D23" s="84">
        <v>90</v>
      </c>
      <c r="E23" s="83">
        <v>190</v>
      </c>
      <c r="F23" s="83" t="s">
        <v>71</v>
      </c>
      <c r="G23" s="87">
        <v>6.88</v>
      </c>
      <c r="H23" s="83">
        <f>J2</f>
        <v>8.09</v>
      </c>
      <c r="I23" s="83">
        <f>S2</f>
        <v>1</v>
      </c>
      <c r="J23" s="88">
        <f t="shared" ref="J23:J42" si="8">I23+H23+G23</f>
        <v>15.969999999999999</v>
      </c>
      <c r="K23" s="88">
        <f>W2</f>
        <v>0.8</v>
      </c>
      <c r="L23" s="88">
        <f>AH8</f>
        <v>2.1</v>
      </c>
      <c r="M23" s="103">
        <f>U2</f>
        <v>0.8</v>
      </c>
      <c r="N23" s="87">
        <f>AF24</f>
        <v>0.99360000000000015</v>
      </c>
      <c r="O23" s="83">
        <f>AI33</f>
        <v>0.60000000000000009</v>
      </c>
      <c r="P23" s="88">
        <f t="shared" si="4"/>
        <v>21.2636</v>
      </c>
      <c r="Q23" s="83">
        <v>1</v>
      </c>
      <c r="R23" s="87">
        <f t="shared" si="1"/>
        <v>21.2636</v>
      </c>
      <c r="S23" s="87">
        <v>1.0609999999999999</v>
      </c>
      <c r="T23" s="87">
        <f t="shared" si="5"/>
        <v>22.5606796</v>
      </c>
      <c r="U23" s="87">
        <v>1.5</v>
      </c>
      <c r="V23" s="87">
        <f t="shared" ref="V23:V42" si="9">U23*T23</f>
        <v>33.8410194</v>
      </c>
      <c r="W23" s="13">
        <f t="shared" ref="W23:W42" si="10">V23-T23</f>
        <v>11.2803398</v>
      </c>
      <c r="X23" s="87">
        <v>29.5</v>
      </c>
      <c r="Y23" s="13">
        <f t="shared" si="6"/>
        <v>1.1471532</v>
      </c>
      <c r="AB23" s="33" t="s">
        <v>80</v>
      </c>
      <c r="AC23" s="64"/>
      <c r="AD23" s="74">
        <f>AD19*AD16</f>
        <v>0.81</v>
      </c>
      <c r="AE23" s="74">
        <f>AE19*AE16</f>
        <v>0.85320000000000007</v>
      </c>
      <c r="AF23" s="74">
        <f t="shared" ref="AF23:AN23" si="11">AF19*AF16</f>
        <v>0.87480000000000013</v>
      </c>
      <c r="AG23" s="74">
        <f t="shared" si="11"/>
        <v>0.9396000000000001</v>
      </c>
      <c r="AH23" s="74">
        <f t="shared" si="11"/>
        <v>1.0476000000000001</v>
      </c>
      <c r="AI23" s="74">
        <f t="shared" si="11"/>
        <v>1.1016000000000001</v>
      </c>
      <c r="AJ23" s="74">
        <f t="shared" si="11"/>
        <v>1.1556000000000002</v>
      </c>
      <c r="AK23" s="74">
        <f t="shared" si="11"/>
        <v>1.4040000000000001</v>
      </c>
      <c r="AL23" s="74">
        <f t="shared" si="11"/>
        <v>1.4580000000000002</v>
      </c>
      <c r="AM23" s="74">
        <f t="shared" si="11"/>
        <v>1.512</v>
      </c>
      <c r="AN23" s="76">
        <f t="shared" si="11"/>
        <v>1.5660000000000001</v>
      </c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</row>
    <row r="24" spans="1:76">
      <c r="A24" s="1" t="s">
        <v>18</v>
      </c>
      <c r="B24" s="83">
        <v>6</v>
      </c>
      <c r="C24" s="83">
        <v>125</v>
      </c>
      <c r="D24" s="84">
        <v>90</v>
      </c>
      <c r="E24" s="83">
        <v>215</v>
      </c>
      <c r="F24" s="83" t="s">
        <v>71</v>
      </c>
      <c r="G24" s="87">
        <v>8.08</v>
      </c>
      <c r="H24" s="83">
        <f>J2</f>
        <v>8.09</v>
      </c>
      <c r="I24" s="83">
        <f>S2</f>
        <v>1</v>
      </c>
      <c r="J24" s="88">
        <f t="shared" si="8"/>
        <v>17.170000000000002</v>
      </c>
      <c r="K24" s="88">
        <f>W2</f>
        <v>0.8</v>
      </c>
      <c r="L24" s="88">
        <f>AH8</f>
        <v>2.1</v>
      </c>
      <c r="M24" s="103">
        <f>U2</f>
        <v>0.8</v>
      </c>
      <c r="N24" s="87">
        <f>AG24</f>
        <v>1.0908</v>
      </c>
      <c r="O24" s="83">
        <f>AI33</f>
        <v>0.60000000000000009</v>
      </c>
      <c r="P24" s="88">
        <f t="shared" si="4"/>
        <v>22.560800000000004</v>
      </c>
      <c r="Q24" s="83">
        <v>1</v>
      </c>
      <c r="R24" s="87">
        <f t="shared" si="1"/>
        <v>22.560800000000004</v>
      </c>
      <c r="S24" s="87">
        <v>1.0609999999999999</v>
      </c>
      <c r="T24" s="87">
        <f t="shared" si="5"/>
        <v>23.937008800000005</v>
      </c>
      <c r="U24" s="87">
        <v>1.5</v>
      </c>
      <c r="V24" s="87">
        <f t="shared" si="9"/>
        <v>35.905513200000009</v>
      </c>
      <c r="W24" s="13">
        <f t="shared" si="10"/>
        <v>11.968504400000004</v>
      </c>
      <c r="X24" s="87">
        <v>29.5</v>
      </c>
      <c r="Y24" s="13">
        <f t="shared" ref="Y24:Y43" si="12">V24/X24</f>
        <v>1.2171360406779663</v>
      </c>
      <c r="AB24" s="33" t="s">
        <v>79</v>
      </c>
      <c r="AC24" s="64"/>
      <c r="AD24" s="64"/>
      <c r="AE24" s="64"/>
      <c r="AF24" s="74">
        <f>AF19*AF17</f>
        <v>0.99360000000000015</v>
      </c>
      <c r="AG24" s="74">
        <f t="shared" ref="AG24:AN24" si="13">AG19*AG17</f>
        <v>1.0908</v>
      </c>
      <c r="AH24" s="74">
        <f t="shared" si="13"/>
        <v>1.2096000000000002</v>
      </c>
      <c r="AI24" s="74">
        <f t="shared" si="13"/>
        <v>1.296</v>
      </c>
      <c r="AJ24" s="74">
        <f t="shared" si="13"/>
        <v>1.35</v>
      </c>
      <c r="AK24" s="74">
        <f t="shared" si="13"/>
        <v>1.4040000000000001</v>
      </c>
      <c r="AL24" s="74">
        <f t="shared" si="13"/>
        <v>1.4580000000000002</v>
      </c>
      <c r="AM24" s="74">
        <f t="shared" si="13"/>
        <v>1.512</v>
      </c>
      <c r="AN24" s="76">
        <f t="shared" si="13"/>
        <v>1.5660000000000001</v>
      </c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</row>
    <row r="25" spans="1:76" ht="17.25" thickBot="1">
      <c r="A25" s="1" t="s">
        <v>19</v>
      </c>
      <c r="B25" s="83">
        <v>6</v>
      </c>
      <c r="C25" s="83">
        <v>150</v>
      </c>
      <c r="D25" s="84">
        <v>90</v>
      </c>
      <c r="E25" s="83">
        <v>240</v>
      </c>
      <c r="F25" s="83" t="s">
        <v>71</v>
      </c>
      <c r="G25" s="87">
        <v>8.61</v>
      </c>
      <c r="H25" s="83">
        <f>J2</f>
        <v>8.09</v>
      </c>
      <c r="I25" s="83">
        <f>S2</f>
        <v>1</v>
      </c>
      <c r="J25" s="88">
        <f t="shared" si="8"/>
        <v>17.7</v>
      </c>
      <c r="K25" s="88">
        <f>W2</f>
        <v>0.8</v>
      </c>
      <c r="L25" s="88">
        <f>AH8</f>
        <v>2.1</v>
      </c>
      <c r="M25" s="103">
        <f>U2</f>
        <v>0.8</v>
      </c>
      <c r="N25" s="87">
        <f>AG24</f>
        <v>1.0908</v>
      </c>
      <c r="O25" s="83">
        <f>AI33</f>
        <v>0.60000000000000009</v>
      </c>
      <c r="P25" s="88">
        <f t="shared" si="4"/>
        <v>23.090799999999998</v>
      </c>
      <c r="Q25" s="83">
        <v>1</v>
      </c>
      <c r="R25" s="87">
        <f t="shared" si="1"/>
        <v>23.090799999999998</v>
      </c>
      <c r="S25" s="87">
        <v>1.0609999999999999</v>
      </c>
      <c r="T25" s="87">
        <f t="shared" ref="T25:T44" si="14">S25*R25</f>
        <v>24.499338799999997</v>
      </c>
      <c r="U25" s="87">
        <v>1.5</v>
      </c>
      <c r="V25" s="87">
        <f t="shared" si="9"/>
        <v>36.749008199999992</v>
      </c>
      <c r="W25" s="13">
        <f t="shared" si="10"/>
        <v>12.249669399999995</v>
      </c>
      <c r="X25" s="87">
        <v>29.5</v>
      </c>
      <c r="Y25" s="13">
        <f t="shared" si="12"/>
        <v>1.2457290915254235</v>
      </c>
      <c r="AB25" s="34" t="s">
        <v>78</v>
      </c>
      <c r="AC25" s="72"/>
      <c r="AD25" s="72"/>
      <c r="AE25" s="72"/>
      <c r="AF25" s="75">
        <f>AF19*AF18</f>
        <v>1.2852000000000001</v>
      </c>
      <c r="AG25" s="75">
        <f t="shared" ref="AG25:AN25" si="15">AG19*AG18</f>
        <v>1.3392000000000002</v>
      </c>
      <c r="AH25" s="75">
        <f t="shared" si="15"/>
        <v>1.3824000000000001</v>
      </c>
      <c r="AI25" s="75">
        <f t="shared" si="15"/>
        <v>1.5984</v>
      </c>
      <c r="AJ25" s="75">
        <f t="shared" si="15"/>
        <v>1.7064000000000001</v>
      </c>
      <c r="AK25" s="75">
        <f t="shared" si="15"/>
        <v>1.8144</v>
      </c>
      <c r="AL25" s="75">
        <f t="shared" si="15"/>
        <v>1.9224000000000001</v>
      </c>
      <c r="AM25" s="75">
        <f t="shared" si="15"/>
        <v>2.0304000000000002</v>
      </c>
      <c r="AN25" s="77">
        <f t="shared" si="15"/>
        <v>2.1384000000000003</v>
      </c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</row>
    <row r="26" spans="1:76">
      <c r="A26" s="1" t="s">
        <v>20</v>
      </c>
      <c r="B26" s="83">
        <v>8</v>
      </c>
      <c r="C26" s="83">
        <v>125</v>
      </c>
      <c r="D26" s="84">
        <v>110</v>
      </c>
      <c r="E26" s="83">
        <v>235</v>
      </c>
      <c r="F26" s="83" t="s">
        <v>73</v>
      </c>
      <c r="G26" s="87">
        <v>13.45</v>
      </c>
      <c r="H26" s="83">
        <f>H2</f>
        <v>9.41</v>
      </c>
      <c r="I26" s="83">
        <f>S2</f>
        <v>1</v>
      </c>
      <c r="J26" s="88">
        <f t="shared" si="8"/>
        <v>23.86</v>
      </c>
      <c r="K26" s="88">
        <f>W2</f>
        <v>0.8</v>
      </c>
      <c r="L26" s="88">
        <f>AH8</f>
        <v>2.1</v>
      </c>
      <c r="M26" s="103">
        <f>U2</f>
        <v>0.8</v>
      </c>
      <c r="N26" s="87">
        <f>AG25</f>
        <v>1.3392000000000002</v>
      </c>
      <c r="O26" s="83">
        <f>AI34</f>
        <v>0.78</v>
      </c>
      <c r="P26" s="88">
        <f t="shared" si="4"/>
        <v>29.679200000000002</v>
      </c>
      <c r="Q26" s="83">
        <v>1</v>
      </c>
      <c r="R26" s="87">
        <f t="shared" si="1"/>
        <v>29.679200000000002</v>
      </c>
      <c r="S26" s="87">
        <v>1.0609999999999999</v>
      </c>
      <c r="T26" s="87">
        <f t="shared" si="14"/>
        <v>31.489631200000002</v>
      </c>
      <c r="U26" s="87">
        <v>1.5</v>
      </c>
      <c r="V26" s="87">
        <f t="shared" si="9"/>
        <v>47.234446800000001</v>
      </c>
      <c r="W26" s="13">
        <f t="shared" si="10"/>
        <v>15.744815599999999</v>
      </c>
      <c r="X26" s="87">
        <v>29.5</v>
      </c>
      <c r="Y26" s="13">
        <f t="shared" si="12"/>
        <v>1.6011676881355932</v>
      </c>
      <c r="AB26" s="29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1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</row>
    <row r="27" spans="1:76">
      <c r="A27" s="1" t="s">
        <v>21</v>
      </c>
      <c r="B27" s="83">
        <v>8</v>
      </c>
      <c r="C27" s="83">
        <v>150</v>
      </c>
      <c r="D27" s="84">
        <v>110</v>
      </c>
      <c r="E27" s="83">
        <v>260</v>
      </c>
      <c r="F27" s="83" t="s">
        <v>73</v>
      </c>
      <c r="G27" s="87">
        <v>16.34</v>
      </c>
      <c r="H27" s="83">
        <f>H2</f>
        <v>9.41</v>
      </c>
      <c r="I27" s="83">
        <f>S2</f>
        <v>1</v>
      </c>
      <c r="J27" s="88">
        <f t="shared" si="8"/>
        <v>26.75</v>
      </c>
      <c r="K27" s="88">
        <f>W2</f>
        <v>0.8</v>
      </c>
      <c r="L27" s="88">
        <f>AH8</f>
        <v>2.1</v>
      </c>
      <c r="M27" s="103">
        <f>U2</f>
        <v>0.8</v>
      </c>
      <c r="N27" s="87">
        <f>AG25</f>
        <v>1.3392000000000002</v>
      </c>
      <c r="O27" s="83">
        <f>AI34</f>
        <v>0.78</v>
      </c>
      <c r="P27" s="88">
        <f t="shared" si="4"/>
        <v>32.569200000000002</v>
      </c>
      <c r="Q27" s="83">
        <v>1</v>
      </c>
      <c r="R27" s="87">
        <f t="shared" si="1"/>
        <v>32.569200000000002</v>
      </c>
      <c r="S27" s="87">
        <v>1.0609999999999999</v>
      </c>
      <c r="T27" s="87">
        <f t="shared" si="14"/>
        <v>34.5559212</v>
      </c>
      <c r="U27" s="87">
        <v>1.5</v>
      </c>
      <c r="V27" s="87">
        <f t="shared" si="9"/>
        <v>51.8338818</v>
      </c>
      <c r="W27" s="13">
        <f t="shared" si="10"/>
        <v>17.2779606</v>
      </c>
      <c r="X27" s="87">
        <v>29.5</v>
      </c>
      <c r="Y27" s="13">
        <f t="shared" si="12"/>
        <v>1.7570807389830509</v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</row>
    <row r="28" spans="1:76" ht="17.25" thickBot="1">
      <c r="A28" s="1" t="s">
        <v>22</v>
      </c>
      <c r="B28" s="83">
        <v>10</v>
      </c>
      <c r="C28" s="83">
        <v>200</v>
      </c>
      <c r="D28" s="84">
        <v>110</v>
      </c>
      <c r="E28" s="83">
        <v>310</v>
      </c>
      <c r="F28" s="83" t="s">
        <v>73</v>
      </c>
      <c r="G28" s="87">
        <v>25.82</v>
      </c>
      <c r="H28" s="83">
        <f>H2</f>
        <v>9.41</v>
      </c>
      <c r="I28" s="83">
        <f>S2</f>
        <v>1</v>
      </c>
      <c r="J28" s="88">
        <f t="shared" si="8"/>
        <v>36.230000000000004</v>
      </c>
      <c r="K28" s="88">
        <f>W2</f>
        <v>0.8</v>
      </c>
      <c r="L28" s="88">
        <f>AH8</f>
        <v>2.1</v>
      </c>
      <c r="M28" s="103">
        <f>U2</f>
        <v>0.8</v>
      </c>
      <c r="N28" s="87">
        <f>AH25</f>
        <v>1.3824000000000001</v>
      </c>
      <c r="O28" s="83">
        <f>AJ34</f>
        <v>1.0499999999999998</v>
      </c>
      <c r="P28" s="88">
        <f t="shared" si="4"/>
        <v>42.362400000000001</v>
      </c>
      <c r="Q28" s="83">
        <v>1</v>
      </c>
      <c r="R28" s="87">
        <f t="shared" si="1"/>
        <v>42.362400000000001</v>
      </c>
      <c r="S28" s="87">
        <v>1.0609999999999999</v>
      </c>
      <c r="T28" s="87">
        <f t="shared" si="14"/>
        <v>44.946506399999997</v>
      </c>
      <c r="U28" s="87">
        <v>1.5</v>
      </c>
      <c r="V28" s="87">
        <f t="shared" si="9"/>
        <v>67.419759599999992</v>
      </c>
      <c r="W28" s="13">
        <f t="shared" si="10"/>
        <v>22.473253199999995</v>
      </c>
      <c r="X28" s="87">
        <v>29.5</v>
      </c>
      <c r="Y28" s="13">
        <f t="shared" si="12"/>
        <v>2.2854155796610165</v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</row>
    <row r="29" spans="1:76">
      <c r="A29" s="1" t="s">
        <v>23</v>
      </c>
      <c r="B29" s="83">
        <v>3</v>
      </c>
      <c r="C29" s="83">
        <v>60</v>
      </c>
      <c r="D29" s="84">
        <v>70</v>
      </c>
      <c r="E29" s="83">
        <v>130</v>
      </c>
      <c r="F29" s="83" t="s">
        <v>67</v>
      </c>
      <c r="G29" s="87">
        <v>4.1100000000000003</v>
      </c>
      <c r="H29" s="83">
        <f>L2</f>
        <v>6.17</v>
      </c>
      <c r="I29" s="83">
        <f>S2</f>
        <v>1</v>
      </c>
      <c r="J29" s="88">
        <f t="shared" si="8"/>
        <v>11.280000000000001</v>
      </c>
      <c r="K29" s="88">
        <f>W2</f>
        <v>0.8</v>
      </c>
      <c r="L29" s="88">
        <f>AH8</f>
        <v>2.1</v>
      </c>
      <c r="M29" s="103">
        <f>U2</f>
        <v>0.8</v>
      </c>
      <c r="N29" s="87">
        <f>AD22</f>
        <v>0.8640000000000001</v>
      </c>
      <c r="O29" s="83">
        <f>AH31</f>
        <v>0.54</v>
      </c>
      <c r="P29" s="88">
        <f t="shared" si="4"/>
        <v>16.384</v>
      </c>
      <c r="Q29" s="83">
        <v>1</v>
      </c>
      <c r="R29" s="87">
        <f t="shared" si="1"/>
        <v>16.384</v>
      </c>
      <c r="S29" s="87">
        <v>1.0609999999999999</v>
      </c>
      <c r="T29" s="87">
        <f t="shared" si="14"/>
        <v>17.383423999999998</v>
      </c>
      <c r="U29" s="87">
        <v>1.5</v>
      </c>
      <c r="V29" s="87">
        <f t="shared" si="9"/>
        <v>26.075135999999997</v>
      </c>
      <c r="W29" s="13">
        <f t="shared" si="10"/>
        <v>8.691711999999999</v>
      </c>
      <c r="X29" s="87">
        <v>29.5</v>
      </c>
      <c r="Y29" s="13">
        <f t="shared" si="12"/>
        <v>0.88390291525423714</v>
      </c>
      <c r="AB29" s="5" t="s">
        <v>123</v>
      </c>
      <c r="AC29" s="14" t="s">
        <v>119</v>
      </c>
      <c r="AD29" s="14" t="s">
        <v>120</v>
      </c>
      <c r="AE29" s="14" t="s">
        <v>121</v>
      </c>
      <c r="AF29" s="14" t="s">
        <v>122</v>
      </c>
      <c r="AG29" s="14" t="s">
        <v>117</v>
      </c>
      <c r="AH29" s="14" t="s">
        <v>229</v>
      </c>
      <c r="AI29" s="14" t="s">
        <v>215</v>
      </c>
      <c r="AJ29" s="14" t="s">
        <v>216</v>
      </c>
      <c r="AK29" s="15" t="s">
        <v>124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</row>
    <row r="30" spans="1:76">
      <c r="A30" s="1" t="s">
        <v>24</v>
      </c>
      <c r="B30" s="83">
        <v>3</v>
      </c>
      <c r="C30" s="83">
        <v>75</v>
      </c>
      <c r="D30" s="84">
        <v>70</v>
      </c>
      <c r="E30" s="83">
        <v>145</v>
      </c>
      <c r="F30" s="83" t="s">
        <v>67</v>
      </c>
      <c r="G30" s="87">
        <v>4.49</v>
      </c>
      <c r="H30" s="83">
        <f>L2</f>
        <v>6.17</v>
      </c>
      <c r="I30" s="83">
        <f>S2</f>
        <v>1</v>
      </c>
      <c r="J30" s="88">
        <f t="shared" si="8"/>
        <v>11.66</v>
      </c>
      <c r="K30" s="88">
        <f>W2</f>
        <v>0.8</v>
      </c>
      <c r="L30" s="88">
        <f>AH8</f>
        <v>2.1</v>
      </c>
      <c r="M30" s="103">
        <f>U2</f>
        <v>0.8</v>
      </c>
      <c r="N30" s="87">
        <f>AE22</f>
        <v>0.8640000000000001</v>
      </c>
      <c r="O30" s="83">
        <f>AH31</f>
        <v>0.54</v>
      </c>
      <c r="P30" s="88">
        <f t="shared" si="4"/>
        <v>16.763999999999999</v>
      </c>
      <c r="Q30" s="83">
        <v>1</v>
      </c>
      <c r="R30" s="87">
        <f t="shared" si="1"/>
        <v>16.763999999999999</v>
      </c>
      <c r="S30" s="87">
        <v>1.0609999999999999</v>
      </c>
      <c r="T30" s="87">
        <f t="shared" si="14"/>
        <v>17.786603999999997</v>
      </c>
      <c r="U30" s="87">
        <v>1.5</v>
      </c>
      <c r="V30" s="87">
        <f t="shared" si="9"/>
        <v>26.679905999999995</v>
      </c>
      <c r="W30" s="13">
        <f t="shared" si="10"/>
        <v>8.8933019999999985</v>
      </c>
      <c r="X30" s="87">
        <v>29.5</v>
      </c>
      <c r="Y30" s="13">
        <f t="shared" si="12"/>
        <v>0.90440359322033881</v>
      </c>
      <c r="AB30" s="19" t="s">
        <v>69</v>
      </c>
      <c r="AC30" s="16">
        <v>0.18</v>
      </c>
      <c r="AD30" s="16"/>
      <c r="AE30" s="16"/>
      <c r="AF30" s="16"/>
      <c r="AG30" s="16">
        <v>3</v>
      </c>
      <c r="AH30" s="9">
        <f>AG30*AC30</f>
        <v>0.54</v>
      </c>
      <c r="AI30" s="16"/>
      <c r="AJ30" s="16"/>
      <c r="AK30" s="17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6">
      <c r="A31" s="1" t="s">
        <v>25</v>
      </c>
      <c r="B31" s="83">
        <v>3</v>
      </c>
      <c r="C31" s="83">
        <v>100</v>
      </c>
      <c r="D31" s="84">
        <v>70</v>
      </c>
      <c r="E31" s="83">
        <v>170</v>
      </c>
      <c r="F31" s="83" t="s">
        <v>67</v>
      </c>
      <c r="G31" s="87">
        <v>5.37</v>
      </c>
      <c r="H31" s="83">
        <f>L2</f>
        <v>6.17</v>
      </c>
      <c r="I31" s="83">
        <f>S2</f>
        <v>1</v>
      </c>
      <c r="J31" s="88">
        <f t="shared" si="8"/>
        <v>12.54</v>
      </c>
      <c r="K31" s="88">
        <f>W2</f>
        <v>0.8</v>
      </c>
      <c r="L31" s="88">
        <f>AH8</f>
        <v>2.1</v>
      </c>
      <c r="M31" s="103">
        <f>U2</f>
        <v>0.8</v>
      </c>
      <c r="N31" s="87">
        <f>AF22</f>
        <v>0.90720000000000001</v>
      </c>
      <c r="O31" s="83">
        <f>AI31</f>
        <v>0.60000000000000009</v>
      </c>
      <c r="P31" s="88">
        <f t="shared" si="4"/>
        <v>17.747199999999999</v>
      </c>
      <c r="Q31" s="83">
        <v>1</v>
      </c>
      <c r="R31" s="87">
        <f t="shared" si="1"/>
        <v>17.747199999999999</v>
      </c>
      <c r="S31" s="87">
        <v>1.0609999999999999</v>
      </c>
      <c r="T31" s="87">
        <f t="shared" si="14"/>
        <v>18.829779199999997</v>
      </c>
      <c r="U31" s="87">
        <v>1.5</v>
      </c>
      <c r="V31" s="87">
        <f t="shared" si="9"/>
        <v>28.244668799999996</v>
      </c>
      <c r="W31" s="13">
        <f t="shared" si="10"/>
        <v>9.4148895999999986</v>
      </c>
      <c r="X31" s="87">
        <v>29.5</v>
      </c>
      <c r="Y31" s="13">
        <f t="shared" si="12"/>
        <v>0.95744639999999981</v>
      </c>
      <c r="AB31" s="19" t="s">
        <v>118</v>
      </c>
      <c r="AC31" s="16">
        <v>0.18</v>
      </c>
      <c r="AD31" s="16">
        <v>0.2</v>
      </c>
      <c r="AE31" s="16">
        <v>0.26</v>
      </c>
      <c r="AF31" s="16">
        <v>0.38</v>
      </c>
      <c r="AG31" s="16">
        <v>3</v>
      </c>
      <c r="AH31" s="9">
        <f>AG31*AC31</f>
        <v>0.54</v>
      </c>
      <c r="AI31" s="9">
        <f>AG31*AD31</f>
        <v>0.60000000000000009</v>
      </c>
      <c r="AJ31" s="9">
        <f>AG31*AE31</f>
        <v>0.78</v>
      </c>
      <c r="AK31" s="6">
        <f>AG31*AF31</f>
        <v>1.1400000000000001</v>
      </c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</row>
    <row r="32" spans="1:76">
      <c r="A32" s="1" t="s">
        <v>26</v>
      </c>
      <c r="B32" s="83">
        <v>4</v>
      </c>
      <c r="C32" s="83">
        <v>80</v>
      </c>
      <c r="D32" s="84">
        <v>70</v>
      </c>
      <c r="E32" s="83">
        <v>150</v>
      </c>
      <c r="F32" s="83" t="s">
        <v>67</v>
      </c>
      <c r="G32" s="87">
        <v>4.8099999999999996</v>
      </c>
      <c r="H32" s="83">
        <f>L2</f>
        <v>6.17</v>
      </c>
      <c r="I32" s="83">
        <f>S2</f>
        <v>1</v>
      </c>
      <c r="J32" s="88">
        <f t="shared" si="8"/>
        <v>11.98</v>
      </c>
      <c r="K32" s="88">
        <f>W2</f>
        <v>0.8</v>
      </c>
      <c r="L32" s="88">
        <f>AH8</f>
        <v>2.1</v>
      </c>
      <c r="M32" s="103">
        <f>U2</f>
        <v>0.8</v>
      </c>
      <c r="N32" s="87">
        <f>AE22</f>
        <v>0.8640000000000001</v>
      </c>
      <c r="O32" s="83">
        <f>AH31</f>
        <v>0.54</v>
      </c>
      <c r="P32" s="88">
        <f t="shared" si="4"/>
        <v>17.084</v>
      </c>
      <c r="Q32" s="83">
        <v>1</v>
      </c>
      <c r="R32" s="87">
        <f t="shared" si="1"/>
        <v>17.084</v>
      </c>
      <c r="S32" s="87">
        <v>1.0609999999999999</v>
      </c>
      <c r="T32" s="87">
        <f t="shared" si="14"/>
        <v>18.126123999999997</v>
      </c>
      <c r="U32" s="87">
        <v>1.5</v>
      </c>
      <c r="V32" s="87">
        <f t="shared" si="9"/>
        <v>27.189185999999996</v>
      </c>
      <c r="W32" s="13">
        <f t="shared" si="10"/>
        <v>9.0630619999999986</v>
      </c>
      <c r="X32" s="87">
        <v>29.5</v>
      </c>
      <c r="Y32" s="13">
        <f t="shared" si="12"/>
        <v>0.92166732203389812</v>
      </c>
      <c r="AB32" s="19" t="s">
        <v>116</v>
      </c>
      <c r="AC32" s="16">
        <v>0.18</v>
      </c>
      <c r="AD32" s="16">
        <v>0.2</v>
      </c>
      <c r="AE32" s="16">
        <v>0.26</v>
      </c>
      <c r="AF32" s="16">
        <v>0.38</v>
      </c>
      <c r="AG32" s="16">
        <v>3</v>
      </c>
      <c r="AH32" s="9">
        <f>AG32*AC32</f>
        <v>0.54</v>
      </c>
      <c r="AI32" s="9">
        <f>AG32*AD32</f>
        <v>0.60000000000000009</v>
      </c>
      <c r="AJ32" s="9">
        <f>AG32*AE32</f>
        <v>0.78</v>
      </c>
      <c r="AK32" s="6">
        <f>AG32*AF32</f>
        <v>1.1400000000000001</v>
      </c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</row>
    <row r="33" spans="1:76">
      <c r="A33" s="1" t="s">
        <v>27</v>
      </c>
      <c r="B33" s="83">
        <v>4</v>
      </c>
      <c r="C33" s="83">
        <v>100</v>
      </c>
      <c r="D33" s="84">
        <v>70</v>
      </c>
      <c r="E33" s="83">
        <v>170</v>
      </c>
      <c r="F33" s="83" t="s">
        <v>67</v>
      </c>
      <c r="G33" s="87">
        <v>6.69</v>
      </c>
      <c r="H33" s="83">
        <f>L2</f>
        <v>6.17</v>
      </c>
      <c r="I33" s="83">
        <f>S2</f>
        <v>1</v>
      </c>
      <c r="J33" s="88">
        <f t="shared" si="8"/>
        <v>13.86</v>
      </c>
      <c r="K33" s="88">
        <f>W2</f>
        <v>0.8</v>
      </c>
      <c r="L33" s="88">
        <f>AH8</f>
        <v>2.1</v>
      </c>
      <c r="M33" s="103">
        <f>U2</f>
        <v>0.8</v>
      </c>
      <c r="N33" s="87">
        <f>AF22</f>
        <v>0.90720000000000001</v>
      </c>
      <c r="O33" s="83">
        <f>AI31</f>
        <v>0.60000000000000009</v>
      </c>
      <c r="P33" s="88">
        <f t="shared" si="4"/>
        <v>19.0672</v>
      </c>
      <c r="Q33" s="83">
        <v>1</v>
      </c>
      <c r="R33" s="87">
        <f t="shared" si="1"/>
        <v>19.0672</v>
      </c>
      <c r="S33" s="87">
        <v>1.0609999999999999</v>
      </c>
      <c r="T33" s="87">
        <f t="shared" si="14"/>
        <v>20.230299199999997</v>
      </c>
      <c r="U33" s="87">
        <v>1.5</v>
      </c>
      <c r="V33" s="87">
        <f t="shared" si="9"/>
        <v>30.345448799999996</v>
      </c>
      <c r="W33" s="13">
        <f t="shared" si="10"/>
        <v>10.115149599999999</v>
      </c>
      <c r="X33" s="87">
        <v>29.5</v>
      </c>
      <c r="Y33" s="13">
        <f t="shared" si="12"/>
        <v>1.0286592813559321</v>
      </c>
      <c r="AB33" s="19" t="s">
        <v>115</v>
      </c>
      <c r="AC33" s="16"/>
      <c r="AD33" s="16">
        <v>0.2</v>
      </c>
      <c r="AE33" s="16">
        <v>0.26</v>
      </c>
      <c r="AF33" s="16">
        <v>0.38</v>
      </c>
      <c r="AG33" s="16">
        <v>3</v>
      </c>
      <c r="AH33" s="16"/>
      <c r="AI33" s="9">
        <f>AG33*AD33</f>
        <v>0.60000000000000009</v>
      </c>
      <c r="AJ33" s="9">
        <f>AG33*AE33</f>
        <v>0.78</v>
      </c>
      <c r="AK33" s="6">
        <f>AG33*AF33</f>
        <v>1.1400000000000001</v>
      </c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</row>
    <row r="34" spans="1:76" ht="17.25" thickBot="1">
      <c r="A34" s="1" t="s">
        <v>28</v>
      </c>
      <c r="B34" s="83">
        <v>4</v>
      </c>
      <c r="C34" s="83">
        <v>125</v>
      </c>
      <c r="D34" s="84">
        <v>70</v>
      </c>
      <c r="E34" s="83">
        <v>195</v>
      </c>
      <c r="F34" s="83" t="s">
        <v>67</v>
      </c>
      <c r="G34" s="87">
        <v>7.28</v>
      </c>
      <c r="H34" s="83">
        <f>L2</f>
        <v>6.17</v>
      </c>
      <c r="I34" s="83">
        <f>S2</f>
        <v>1</v>
      </c>
      <c r="J34" s="88">
        <f t="shared" si="8"/>
        <v>14.45</v>
      </c>
      <c r="K34" s="88">
        <f>W2</f>
        <v>0.8</v>
      </c>
      <c r="L34" s="88">
        <f>AH8</f>
        <v>2.1</v>
      </c>
      <c r="M34" s="103">
        <f>U2</f>
        <v>0.8</v>
      </c>
      <c r="N34" s="87">
        <f>AG22</f>
        <v>0.97200000000000009</v>
      </c>
      <c r="O34" s="83">
        <f>AI31</f>
        <v>0.60000000000000009</v>
      </c>
      <c r="P34" s="88">
        <f t="shared" si="4"/>
        <v>19.722000000000001</v>
      </c>
      <c r="Q34" s="83">
        <v>1</v>
      </c>
      <c r="R34" s="87">
        <f t="shared" si="1"/>
        <v>19.722000000000001</v>
      </c>
      <c r="S34" s="87">
        <v>1.0609999999999999</v>
      </c>
      <c r="T34" s="87">
        <f t="shared" si="14"/>
        <v>20.925042000000001</v>
      </c>
      <c r="U34" s="87">
        <v>1.5</v>
      </c>
      <c r="V34" s="87">
        <f t="shared" si="9"/>
        <v>31.387563</v>
      </c>
      <c r="W34" s="13">
        <f t="shared" si="10"/>
        <v>10.462520999999999</v>
      </c>
      <c r="X34" s="87">
        <v>29.5</v>
      </c>
      <c r="Y34" s="13">
        <f t="shared" si="12"/>
        <v>1.063985186440678</v>
      </c>
      <c r="AB34" s="20" t="s">
        <v>114</v>
      </c>
      <c r="AC34" s="18"/>
      <c r="AD34" s="18">
        <v>0.26</v>
      </c>
      <c r="AE34" s="18">
        <v>0.35</v>
      </c>
      <c r="AF34" s="18">
        <v>0.38</v>
      </c>
      <c r="AG34" s="18">
        <v>3</v>
      </c>
      <c r="AH34" s="18"/>
      <c r="AI34" s="10">
        <f>AG34*AD34</f>
        <v>0.78</v>
      </c>
      <c r="AJ34" s="10">
        <f>AG34*AE34</f>
        <v>1.0499999999999998</v>
      </c>
      <c r="AK34" s="7">
        <f>AG34*AF34</f>
        <v>1.1400000000000001</v>
      </c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</row>
    <row r="35" spans="1:76">
      <c r="A35" s="1" t="s">
        <v>29</v>
      </c>
      <c r="B35" s="83">
        <v>5</v>
      </c>
      <c r="C35" s="83">
        <v>38</v>
      </c>
      <c r="D35" s="84">
        <v>55</v>
      </c>
      <c r="E35" s="83">
        <v>93</v>
      </c>
      <c r="F35" s="83" t="s">
        <v>69</v>
      </c>
      <c r="G35" s="87">
        <v>4.3</v>
      </c>
      <c r="H35" s="83">
        <f>P2</f>
        <v>7.59</v>
      </c>
      <c r="I35" s="83">
        <f>S2</f>
        <v>1</v>
      </c>
      <c r="J35" s="88">
        <f t="shared" si="8"/>
        <v>12.89</v>
      </c>
      <c r="K35" s="88">
        <f>W2</f>
        <v>0.8</v>
      </c>
      <c r="L35" s="88">
        <f>AH8</f>
        <v>2.1</v>
      </c>
      <c r="M35" s="103">
        <f>U2</f>
        <v>0.8</v>
      </c>
      <c r="N35" s="87">
        <f>AC21</f>
        <v>0.90720000000000001</v>
      </c>
      <c r="O35" s="87">
        <f>AH30</f>
        <v>0.54</v>
      </c>
      <c r="P35" s="88">
        <f t="shared" si="4"/>
        <v>18.037200000000002</v>
      </c>
      <c r="Q35" s="83">
        <v>1</v>
      </c>
      <c r="R35" s="87">
        <f t="shared" si="1"/>
        <v>18.037200000000002</v>
      </c>
      <c r="S35" s="87">
        <v>1.0609999999999999</v>
      </c>
      <c r="T35" s="87">
        <f t="shared" si="14"/>
        <v>19.137469200000002</v>
      </c>
      <c r="U35" s="87">
        <v>1.5</v>
      </c>
      <c r="V35" s="87">
        <f t="shared" si="9"/>
        <v>28.706203800000004</v>
      </c>
      <c r="W35" s="13">
        <f t="shared" si="10"/>
        <v>9.5687346000000026</v>
      </c>
      <c r="X35" s="87">
        <v>29.5</v>
      </c>
      <c r="Y35" s="13">
        <f t="shared" si="12"/>
        <v>0.97309165423728827</v>
      </c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</row>
    <row r="36" spans="1:76">
      <c r="A36" s="1" t="s">
        <v>30</v>
      </c>
      <c r="B36" s="83">
        <v>5</v>
      </c>
      <c r="C36" s="83">
        <v>100</v>
      </c>
      <c r="D36" s="84">
        <v>70</v>
      </c>
      <c r="E36" s="83">
        <v>170</v>
      </c>
      <c r="F36" s="83" t="s">
        <v>67</v>
      </c>
      <c r="G36" s="87">
        <v>6.26</v>
      </c>
      <c r="H36" s="83">
        <f>L2</f>
        <v>6.17</v>
      </c>
      <c r="I36" s="83">
        <f>S2</f>
        <v>1</v>
      </c>
      <c r="J36" s="88">
        <f t="shared" si="8"/>
        <v>13.43</v>
      </c>
      <c r="K36" s="88">
        <f>W2</f>
        <v>0.8</v>
      </c>
      <c r="L36" s="88">
        <f>AH8</f>
        <v>2.1</v>
      </c>
      <c r="M36" s="103">
        <f>U2</f>
        <v>0.8</v>
      </c>
      <c r="N36" s="87">
        <f>AF23</f>
        <v>0.87480000000000013</v>
      </c>
      <c r="O36" s="87">
        <f>AI32</f>
        <v>0.60000000000000009</v>
      </c>
      <c r="P36" s="88">
        <f t="shared" si="4"/>
        <v>18.604800000000001</v>
      </c>
      <c r="Q36" s="83">
        <v>1</v>
      </c>
      <c r="R36" s="87">
        <f t="shared" si="1"/>
        <v>18.604800000000001</v>
      </c>
      <c r="S36" s="87">
        <v>1.0609999999999999</v>
      </c>
      <c r="T36" s="87">
        <f t="shared" si="14"/>
        <v>19.7396928</v>
      </c>
      <c r="U36" s="87">
        <v>1.5</v>
      </c>
      <c r="V36" s="87">
        <f t="shared" si="9"/>
        <v>29.6095392</v>
      </c>
      <c r="W36" s="13">
        <f t="shared" si="10"/>
        <v>9.8698464000000001</v>
      </c>
      <c r="X36" s="87">
        <v>29.5</v>
      </c>
      <c r="Y36" s="13">
        <f t="shared" si="12"/>
        <v>1.0037131932203389</v>
      </c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</row>
    <row r="37" spans="1:76">
      <c r="A37" s="1" t="s">
        <v>31</v>
      </c>
      <c r="B37" s="83">
        <v>5</v>
      </c>
      <c r="C37" s="83">
        <v>125</v>
      </c>
      <c r="D37" s="84">
        <v>70</v>
      </c>
      <c r="E37" s="83">
        <v>195</v>
      </c>
      <c r="F37" s="83" t="s">
        <v>67</v>
      </c>
      <c r="G37" s="87">
        <v>6.88</v>
      </c>
      <c r="H37" s="83">
        <f>L2</f>
        <v>6.17</v>
      </c>
      <c r="I37" s="83">
        <f>S2</f>
        <v>1</v>
      </c>
      <c r="J37" s="88">
        <f t="shared" si="8"/>
        <v>14.05</v>
      </c>
      <c r="K37" s="88">
        <f>W2</f>
        <v>0.8</v>
      </c>
      <c r="L37" s="88">
        <f>AH8</f>
        <v>2.1</v>
      </c>
      <c r="M37" s="103">
        <f>U2</f>
        <v>0.8</v>
      </c>
      <c r="N37" s="87">
        <f>AG23</f>
        <v>0.9396000000000001</v>
      </c>
      <c r="O37" s="87">
        <f>AI32</f>
        <v>0.60000000000000009</v>
      </c>
      <c r="P37" s="88">
        <f t="shared" si="4"/>
        <v>19.289600000000004</v>
      </c>
      <c r="Q37" s="83">
        <v>1</v>
      </c>
      <c r="R37" s="87">
        <f t="shared" si="1"/>
        <v>19.289600000000004</v>
      </c>
      <c r="S37" s="87">
        <v>1.0609999999999999</v>
      </c>
      <c r="T37" s="87">
        <f t="shared" si="14"/>
        <v>20.466265600000003</v>
      </c>
      <c r="U37" s="87">
        <v>1.5</v>
      </c>
      <c r="V37" s="87">
        <f t="shared" si="9"/>
        <v>30.699398400000007</v>
      </c>
      <c r="W37" s="13">
        <f t="shared" si="10"/>
        <v>10.233132800000003</v>
      </c>
      <c r="X37" s="87">
        <v>29.5</v>
      </c>
      <c r="Y37" s="13">
        <f t="shared" si="12"/>
        <v>1.0406575728813561</v>
      </c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</row>
    <row r="38" spans="1:76">
      <c r="A38" s="1" t="s">
        <v>32</v>
      </c>
      <c r="B38" s="83">
        <v>5</v>
      </c>
      <c r="C38" s="83">
        <v>150</v>
      </c>
      <c r="D38" s="84">
        <v>70</v>
      </c>
      <c r="E38" s="83">
        <v>220</v>
      </c>
      <c r="F38" s="83" t="s">
        <v>67</v>
      </c>
      <c r="G38" s="87">
        <v>9.92</v>
      </c>
      <c r="H38" s="83">
        <f>L2</f>
        <v>6.17</v>
      </c>
      <c r="I38" s="83">
        <f>S2</f>
        <v>1</v>
      </c>
      <c r="J38" s="88">
        <f t="shared" si="8"/>
        <v>17.09</v>
      </c>
      <c r="K38" s="88">
        <f>W2</f>
        <v>0.8</v>
      </c>
      <c r="L38" s="88">
        <f>AH8</f>
        <v>2.1</v>
      </c>
      <c r="M38" s="103">
        <f>U2</f>
        <v>0.8</v>
      </c>
      <c r="N38" s="87">
        <f>AG23</f>
        <v>0.9396000000000001</v>
      </c>
      <c r="O38" s="87">
        <f>AI32</f>
        <v>0.60000000000000009</v>
      </c>
      <c r="P38" s="88">
        <f t="shared" si="4"/>
        <v>22.329600000000003</v>
      </c>
      <c r="Q38" s="83">
        <v>1</v>
      </c>
      <c r="R38" s="87">
        <f t="shared" si="1"/>
        <v>22.329600000000003</v>
      </c>
      <c r="S38" s="87">
        <v>1.0609999999999999</v>
      </c>
      <c r="T38" s="87">
        <f t="shared" si="14"/>
        <v>23.691705600000002</v>
      </c>
      <c r="U38" s="87">
        <v>1.5</v>
      </c>
      <c r="V38" s="87">
        <f t="shared" si="9"/>
        <v>35.537558400000002</v>
      </c>
      <c r="W38" s="13">
        <f t="shared" si="10"/>
        <v>11.845852799999999</v>
      </c>
      <c r="X38" s="87">
        <v>29.5</v>
      </c>
      <c r="Y38" s="13">
        <f t="shared" si="12"/>
        <v>1.2046629966101696</v>
      </c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</row>
    <row r="39" spans="1:76">
      <c r="A39" s="1" t="s">
        <v>33</v>
      </c>
      <c r="B39" s="83">
        <v>6</v>
      </c>
      <c r="C39" s="83">
        <v>38</v>
      </c>
      <c r="D39" s="84">
        <v>55</v>
      </c>
      <c r="E39" s="83">
        <v>93</v>
      </c>
      <c r="F39" s="83" t="s">
        <v>69</v>
      </c>
      <c r="G39" s="87">
        <v>4.53</v>
      </c>
      <c r="H39" s="83">
        <f>P2</f>
        <v>7.59</v>
      </c>
      <c r="I39" s="83">
        <f>S2</f>
        <v>1</v>
      </c>
      <c r="J39" s="88">
        <f t="shared" si="8"/>
        <v>13.120000000000001</v>
      </c>
      <c r="K39" s="88">
        <f>W2</f>
        <v>0.8</v>
      </c>
      <c r="L39" s="88">
        <f>AH8</f>
        <v>2.1</v>
      </c>
      <c r="M39" s="103">
        <f>U2</f>
        <v>0.8</v>
      </c>
      <c r="N39" s="87">
        <f>AC21</f>
        <v>0.90720000000000001</v>
      </c>
      <c r="O39" s="87">
        <f>AH30</f>
        <v>0.54</v>
      </c>
      <c r="P39" s="88">
        <f t="shared" si="4"/>
        <v>18.267200000000003</v>
      </c>
      <c r="Q39" s="83">
        <v>1</v>
      </c>
      <c r="R39" s="87">
        <f t="shared" ref="R39:R70" si="16">Q39*P39</f>
        <v>18.267200000000003</v>
      </c>
      <c r="S39" s="87">
        <v>1.0609999999999999</v>
      </c>
      <c r="T39" s="87">
        <f t="shared" si="14"/>
        <v>19.3814992</v>
      </c>
      <c r="U39" s="87">
        <v>1.5</v>
      </c>
      <c r="V39" s="87">
        <f t="shared" si="9"/>
        <v>29.072248800000001</v>
      </c>
      <c r="W39" s="13">
        <f t="shared" si="10"/>
        <v>9.6907496000000002</v>
      </c>
      <c r="X39" s="87">
        <v>29.5</v>
      </c>
      <c r="Y39" s="13">
        <f t="shared" si="12"/>
        <v>0.98549995932203394</v>
      </c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</row>
    <row r="40" spans="1:76">
      <c r="A40" s="1" t="s">
        <v>34</v>
      </c>
      <c r="B40" s="83">
        <v>6</v>
      </c>
      <c r="C40" s="83">
        <v>100</v>
      </c>
      <c r="D40" s="84">
        <v>90</v>
      </c>
      <c r="E40" s="83">
        <v>190</v>
      </c>
      <c r="F40" s="83" t="s">
        <v>71</v>
      </c>
      <c r="G40" s="87">
        <v>7.14</v>
      </c>
      <c r="H40" s="83">
        <f>J2</f>
        <v>8.09</v>
      </c>
      <c r="I40" s="83">
        <f>S2</f>
        <v>1</v>
      </c>
      <c r="J40" s="88">
        <f t="shared" si="8"/>
        <v>16.23</v>
      </c>
      <c r="K40" s="88">
        <f>W2</f>
        <v>0.8</v>
      </c>
      <c r="L40" s="88">
        <f>AH8</f>
        <v>2.1</v>
      </c>
      <c r="M40" s="103">
        <f>U2</f>
        <v>0.8</v>
      </c>
      <c r="N40" s="87">
        <f>AF24</f>
        <v>0.99360000000000015</v>
      </c>
      <c r="O40" s="83">
        <f>AI33</f>
        <v>0.60000000000000009</v>
      </c>
      <c r="P40" s="88">
        <f t="shared" si="4"/>
        <v>21.523600000000002</v>
      </c>
      <c r="Q40" s="83">
        <v>1</v>
      </c>
      <c r="R40" s="87">
        <f t="shared" si="16"/>
        <v>21.523600000000002</v>
      </c>
      <c r="S40" s="87">
        <v>1.0609999999999999</v>
      </c>
      <c r="T40" s="87">
        <f t="shared" si="14"/>
        <v>22.836539600000002</v>
      </c>
      <c r="U40" s="87">
        <v>1.5</v>
      </c>
      <c r="V40" s="87">
        <f t="shared" si="9"/>
        <v>34.254809399999999</v>
      </c>
      <c r="W40" s="13">
        <f t="shared" si="10"/>
        <v>11.418269799999997</v>
      </c>
      <c r="X40" s="87">
        <v>29.5</v>
      </c>
      <c r="Y40" s="13">
        <f t="shared" si="12"/>
        <v>1.1611799796610169</v>
      </c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</row>
    <row r="41" spans="1:76">
      <c r="A41" s="1" t="s">
        <v>35</v>
      </c>
      <c r="B41" s="83">
        <v>6</v>
      </c>
      <c r="C41" s="83">
        <v>125</v>
      </c>
      <c r="D41" s="84">
        <v>90</v>
      </c>
      <c r="E41" s="83">
        <v>215</v>
      </c>
      <c r="F41" s="83" t="s">
        <v>71</v>
      </c>
      <c r="G41" s="87">
        <v>8.14</v>
      </c>
      <c r="H41" s="83">
        <f>J2</f>
        <v>8.09</v>
      </c>
      <c r="I41" s="83">
        <f>S2</f>
        <v>1</v>
      </c>
      <c r="J41" s="88">
        <f t="shared" si="8"/>
        <v>17.23</v>
      </c>
      <c r="K41" s="88">
        <f>W2</f>
        <v>0.8</v>
      </c>
      <c r="L41" s="88">
        <f>AH8</f>
        <v>2.1</v>
      </c>
      <c r="M41" s="103">
        <f>U2</f>
        <v>0.8</v>
      </c>
      <c r="N41" s="87">
        <f>AG24</f>
        <v>1.0908</v>
      </c>
      <c r="O41" s="83">
        <f>AI33</f>
        <v>0.60000000000000009</v>
      </c>
      <c r="P41" s="88">
        <f t="shared" si="4"/>
        <v>22.620799999999999</v>
      </c>
      <c r="Q41" s="83">
        <v>1</v>
      </c>
      <c r="R41" s="87">
        <f t="shared" si="16"/>
        <v>22.620799999999999</v>
      </c>
      <c r="S41" s="87">
        <v>1.0609999999999999</v>
      </c>
      <c r="T41" s="87">
        <f t="shared" si="14"/>
        <v>24.000668799999996</v>
      </c>
      <c r="U41" s="87">
        <v>1.4</v>
      </c>
      <c r="V41" s="87">
        <f t="shared" si="9"/>
        <v>33.600936319999995</v>
      </c>
      <c r="W41" s="13">
        <f t="shared" si="10"/>
        <v>9.6002675199999992</v>
      </c>
      <c r="X41" s="87">
        <v>29.5</v>
      </c>
      <c r="Y41" s="13">
        <f t="shared" si="12"/>
        <v>1.1390147905084744</v>
      </c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</row>
    <row r="42" spans="1:76">
      <c r="A42" s="1" t="s">
        <v>36</v>
      </c>
      <c r="B42" s="83">
        <v>6</v>
      </c>
      <c r="C42" s="83">
        <v>150</v>
      </c>
      <c r="D42" s="84">
        <v>90</v>
      </c>
      <c r="E42" s="83">
        <v>240</v>
      </c>
      <c r="F42" s="83" t="s">
        <v>71</v>
      </c>
      <c r="G42" s="87">
        <v>8.66</v>
      </c>
      <c r="H42" s="83">
        <f>J2</f>
        <v>8.09</v>
      </c>
      <c r="I42" s="83">
        <f>S2</f>
        <v>1</v>
      </c>
      <c r="J42" s="88">
        <f t="shared" si="8"/>
        <v>17.75</v>
      </c>
      <c r="K42" s="88">
        <f>W2</f>
        <v>0.8</v>
      </c>
      <c r="L42" s="88">
        <f>AH8</f>
        <v>2.1</v>
      </c>
      <c r="M42" s="103">
        <f>U2</f>
        <v>0.8</v>
      </c>
      <c r="N42" s="87">
        <f>AG24</f>
        <v>1.0908</v>
      </c>
      <c r="O42" s="83">
        <f>AI33</f>
        <v>0.60000000000000009</v>
      </c>
      <c r="P42" s="88">
        <f t="shared" si="4"/>
        <v>23.140800000000002</v>
      </c>
      <c r="Q42" s="83">
        <v>1</v>
      </c>
      <c r="R42" s="87">
        <f t="shared" si="16"/>
        <v>23.140800000000002</v>
      </c>
      <c r="S42" s="87">
        <v>1.0609999999999999</v>
      </c>
      <c r="T42" s="87">
        <f t="shared" si="14"/>
        <v>24.552388800000003</v>
      </c>
      <c r="U42" s="87">
        <v>1.5</v>
      </c>
      <c r="V42" s="87">
        <f t="shared" si="9"/>
        <v>36.828583200000004</v>
      </c>
      <c r="W42" s="13">
        <f t="shared" si="10"/>
        <v>12.276194400000001</v>
      </c>
      <c r="X42" s="87">
        <v>29.5</v>
      </c>
      <c r="Y42" s="13">
        <f t="shared" si="12"/>
        <v>1.2484265491525426</v>
      </c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</row>
    <row r="43" spans="1:76">
      <c r="A43" s="1" t="s">
        <v>37</v>
      </c>
      <c r="B43" s="83">
        <v>7</v>
      </c>
      <c r="C43" s="83">
        <v>150</v>
      </c>
      <c r="D43" s="84">
        <v>110</v>
      </c>
      <c r="E43" s="83">
        <v>260</v>
      </c>
      <c r="F43" s="83" t="s">
        <v>73</v>
      </c>
      <c r="G43" s="87">
        <v>14.13</v>
      </c>
      <c r="H43" s="83">
        <f>H2</f>
        <v>9.41</v>
      </c>
      <c r="I43" s="83">
        <f>S2</f>
        <v>1</v>
      </c>
      <c r="J43" s="88">
        <f>I43+H43+G43</f>
        <v>24.54</v>
      </c>
      <c r="K43" s="88">
        <f>W2</f>
        <v>0.8</v>
      </c>
      <c r="L43" s="88">
        <f>AH8</f>
        <v>2.1</v>
      </c>
      <c r="M43" s="103">
        <f>U2</f>
        <v>0.8</v>
      </c>
      <c r="N43" s="87">
        <f>AG25</f>
        <v>1.3392000000000002</v>
      </c>
      <c r="O43" s="83">
        <f>AI34</f>
        <v>0.78</v>
      </c>
      <c r="P43" s="88">
        <f t="shared" si="4"/>
        <v>30.359200000000001</v>
      </c>
      <c r="Q43" s="83">
        <v>1</v>
      </c>
      <c r="R43" s="87">
        <f t="shared" si="16"/>
        <v>30.359200000000001</v>
      </c>
      <c r="S43" s="87">
        <v>1.0609999999999999</v>
      </c>
      <c r="T43" s="87">
        <f t="shared" si="14"/>
        <v>32.211111199999998</v>
      </c>
      <c r="U43" s="87">
        <v>1.4</v>
      </c>
      <c r="V43" s="87">
        <f>U43*T43</f>
        <v>45.095555679999997</v>
      </c>
      <c r="W43" s="13">
        <f>V43-T43</f>
        <v>12.884444479999999</v>
      </c>
      <c r="X43" s="87">
        <v>29.5</v>
      </c>
      <c r="Y43" s="13">
        <f t="shared" si="12"/>
        <v>1.5286629044067797</v>
      </c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</row>
    <row r="44" spans="1:76">
      <c r="A44" s="1" t="s">
        <v>38</v>
      </c>
      <c r="B44" s="83">
        <v>7</v>
      </c>
      <c r="C44" s="83">
        <v>175</v>
      </c>
      <c r="D44" s="84">
        <v>110</v>
      </c>
      <c r="E44" s="83">
        <v>285</v>
      </c>
      <c r="F44" s="83" t="s">
        <v>73</v>
      </c>
      <c r="G44" s="87">
        <v>14.89</v>
      </c>
      <c r="H44" s="83">
        <f>H2</f>
        <v>9.41</v>
      </c>
      <c r="I44" s="83">
        <f>S2</f>
        <v>1</v>
      </c>
      <c r="J44" s="88">
        <f>I44+H44+G44</f>
        <v>25.3</v>
      </c>
      <c r="K44" s="88">
        <f>W2</f>
        <v>0.8</v>
      </c>
      <c r="L44" s="88">
        <f>AH8</f>
        <v>2.1</v>
      </c>
      <c r="M44" s="103">
        <f>U2</f>
        <v>0.8</v>
      </c>
      <c r="N44" s="87">
        <f>AH25</f>
        <v>1.3824000000000001</v>
      </c>
      <c r="O44" s="83">
        <f>AI34</f>
        <v>0.78</v>
      </c>
      <c r="P44" s="88">
        <f t="shared" si="4"/>
        <v>31.162400000000002</v>
      </c>
      <c r="Q44" s="83">
        <v>1</v>
      </c>
      <c r="R44" s="87">
        <f t="shared" si="16"/>
        <v>31.162400000000002</v>
      </c>
      <c r="S44" s="87">
        <v>1.0609999999999999</v>
      </c>
      <c r="T44" s="87">
        <f t="shared" si="14"/>
        <v>33.063306400000002</v>
      </c>
      <c r="U44" s="87">
        <v>1.5</v>
      </c>
      <c r="V44" s="87">
        <f>U44*T44</f>
        <v>49.594959600000003</v>
      </c>
      <c r="W44" s="13">
        <f>V44-T44</f>
        <v>16.531653200000001</v>
      </c>
      <c r="X44" s="87">
        <v>29.5</v>
      </c>
      <c r="Y44" s="13">
        <f>V44/X44</f>
        <v>1.6811850711864407</v>
      </c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</row>
    <row r="45" spans="1:76">
      <c r="A45" s="1" t="s">
        <v>39</v>
      </c>
      <c r="B45" s="83">
        <v>7</v>
      </c>
      <c r="C45" s="83">
        <v>200</v>
      </c>
      <c r="D45" s="84">
        <v>110</v>
      </c>
      <c r="E45" s="83">
        <v>310</v>
      </c>
      <c r="F45" s="83" t="s">
        <v>73</v>
      </c>
      <c r="G45" s="87">
        <v>16.100000000000001</v>
      </c>
      <c r="H45" s="83">
        <f>H2</f>
        <v>9.41</v>
      </c>
      <c r="I45" s="83">
        <f>S2</f>
        <v>1</v>
      </c>
      <c r="J45" s="88">
        <f>I45+H45+G45</f>
        <v>26.51</v>
      </c>
      <c r="K45" s="88">
        <f>W2</f>
        <v>0.8</v>
      </c>
      <c r="L45" s="88">
        <f>AH8</f>
        <v>2.1</v>
      </c>
      <c r="M45" s="103">
        <f>U2</f>
        <v>0.8</v>
      </c>
      <c r="N45" s="87">
        <f>AH25</f>
        <v>1.3824000000000001</v>
      </c>
      <c r="O45" s="83">
        <f>AJ34</f>
        <v>1.0499999999999998</v>
      </c>
      <c r="P45" s="88">
        <f t="shared" si="4"/>
        <v>32.642400000000002</v>
      </c>
      <c r="Q45" s="83">
        <v>1</v>
      </c>
      <c r="R45" s="87">
        <f t="shared" si="16"/>
        <v>32.642400000000002</v>
      </c>
      <c r="S45" s="87">
        <v>1.0609999999999999</v>
      </c>
      <c r="T45" s="87">
        <f>S45*R45</f>
        <v>34.633586399999999</v>
      </c>
      <c r="U45" s="87">
        <v>1.5</v>
      </c>
      <c r="V45" s="87">
        <f>U45*T45</f>
        <v>51.950379599999998</v>
      </c>
      <c r="W45" s="13">
        <f>V45-T45</f>
        <v>17.316793199999999</v>
      </c>
      <c r="X45" s="87">
        <v>29.5</v>
      </c>
      <c r="Y45" s="13">
        <f>V45/X45</f>
        <v>1.7610298169491525</v>
      </c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</row>
    <row r="46" spans="1:76">
      <c r="A46" s="1" t="s">
        <v>40</v>
      </c>
      <c r="B46" s="83">
        <v>8</v>
      </c>
      <c r="C46" s="83">
        <v>175</v>
      </c>
      <c r="D46" s="84">
        <v>110</v>
      </c>
      <c r="E46" s="83">
        <v>285</v>
      </c>
      <c r="F46" s="83" t="s">
        <v>73</v>
      </c>
      <c r="G46" s="87">
        <v>17.22</v>
      </c>
      <c r="H46" s="83">
        <f>H2</f>
        <v>9.41</v>
      </c>
      <c r="I46" s="83">
        <f>S2</f>
        <v>1</v>
      </c>
      <c r="J46" s="88">
        <f>I46+H46+G46</f>
        <v>27.63</v>
      </c>
      <c r="K46" s="88">
        <f>W2</f>
        <v>0.8</v>
      </c>
      <c r="L46" s="88">
        <f>AH8</f>
        <v>2.1</v>
      </c>
      <c r="M46" s="103">
        <f>U2</f>
        <v>0.8</v>
      </c>
      <c r="N46" s="87">
        <f>AH25</f>
        <v>1.3824000000000001</v>
      </c>
      <c r="O46" s="83">
        <f>AI34</f>
        <v>0.78</v>
      </c>
      <c r="P46" s="88">
        <f t="shared" si="4"/>
        <v>33.492399999999996</v>
      </c>
      <c r="Q46" s="83">
        <v>1</v>
      </c>
      <c r="R46" s="87">
        <f t="shared" si="16"/>
        <v>33.492399999999996</v>
      </c>
      <c r="S46" s="87">
        <v>1.0609999999999999</v>
      </c>
      <c r="T46" s="87">
        <f>S46*R46</f>
        <v>35.535436399999995</v>
      </c>
      <c r="U46" s="87">
        <v>1.5</v>
      </c>
      <c r="V46" s="87">
        <f>U46*T46</f>
        <v>53.303154599999992</v>
      </c>
      <c r="W46" s="13">
        <f>V46-T46</f>
        <v>17.767718199999997</v>
      </c>
      <c r="X46" s="87">
        <v>29.5</v>
      </c>
      <c r="Y46" s="13">
        <f>V46/X46</f>
        <v>1.8068865966101693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</row>
    <row r="47" spans="1:76">
      <c r="A47" s="1" t="s">
        <v>41</v>
      </c>
      <c r="B47" s="83">
        <v>8</v>
      </c>
      <c r="C47" s="83">
        <v>200</v>
      </c>
      <c r="D47" s="84">
        <v>110</v>
      </c>
      <c r="E47" s="83">
        <v>310</v>
      </c>
      <c r="F47" s="83" t="s">
        <v>73</v>
      </c>
      <c r="G47" s="87">
        <v>19.350000000000001</v>
      </c>
      <c r="H47" s="83">
        <f>H2</f>
        <v>9.41</v>
      </c>
      <c r="I47" s="83">
        <f>S2</f>
        <v>1</v>
      </c>
      <c r="J47" s="88">
        <f>I47+H47+G47</f>
        <v>29.76</v>
      </c>
      <c r="K47" s="88">
        <f>W2</f>
        <v>0.8</v>
      </c>
      <c r="L47" s="88">
        <f>AH8</f>
        <v>2.1</v>
      </c>
      <c r="M47" s="103">
        <f>U2</f>
        <v>0.8</v>
      </c>
      <c r="N47" s="87">
        <f>AH25</f>
        <v>1.3824000000000001</v>
      </c>
      <c r="O47" s="83">
        <f>AJ34</f>
        <v>1.0499999999999998</v>
      </c>
      <c r="P47" s="88">
        <f t="shared" si="4"/>
        <v>35.892399999999995</v>
      </c>
      <c r="Q47" s="83">
        <v>1</v>
      </c>
      <c r="R47" s="87">
        <f t="shared" si="16"/>
        <v>35.892399999999995</v>
      </c>
      <c r="S47" s="87">
        <v>1.0609999999999999</v>
      </c>
      <c r="T47" s="87">
        <f>S47*R47</f>
        <v>38.081836399999993</v>
      </c>
      <c r="U47" s="87">
        <v>1.5</v>
      </c>
      <c r="V47" s="87">
        <f>U47*T47</f>
        <v>57.122754599999993</v>
      </c>
      <c r="W47" s="13">
        <f>V47-T47</f>
        <v>19.0409182</v>
      </c>
      <c r="X47" s="87">
        <v>29.5</v>
      </c>
      <c r="Y47" s="13">
        <f>V47/X47</f>
        <v>1.9363645627118642</v>
      </c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</row>
    <row r="48" spans="1:76">
      <c r="A48" s="1" t="s">
        <v>42</v>
      </c>
      <c r="B48" s="83">
        <v>3</v>
      </c>
      <c r="C48" s="83">
        <v>60</v>
      </c>
      <c r="D48" s="84">
        <v>70</v>
      </c>
      <c r="E48" s="83">
        <v>130</v>
      </c>
      <c r="F48" s="83" t="s">
        <v>67</v>
      </c>
      <c r="G48" s="87">
        <v>5.37</v>
      </c>
      <c r="H48" s="83">
        <f>L2</f>
        <v>6.17</v>
      </c>
      <c r="I48" s="83">
        <f>S2</f>
        <v>1</v>
      </c>
      <c r="J48" s="88">
        <f t="shared" ref="J48:J77" si="17">I48+H48+G48</f>
        <v>12.54</v>
      </c>
      <c r="K48" s="88">
        <f>W2</f>
        <v>0.8</v>
      </c>
      <c r="L48" s="88">
        <f>AH8</f>
        <v>2.1</v>
      </c>
      <c r="M48" s="103">
        <f>U2</f>
        <v>0.8</v>
      </c>
      <c r="N48" s="87">
        <f>AD22</f>
        <v>0.8640000000000001</v>
      </c>
      <c r="O48" s="83">
        <f>AH31</f>
        <v>0.54</v>
      </c>
      <c r="P48" s="88">
        <f t="shared" si="4"/>
        <v>17.644000000000002</v>
      </c>
      <c r="Q48" s="83">
        <v>1</v>
      </c>
      <c r="R48" s="87">
        <f t="shared" si="16"/>
        <v>17.644000000000002</v>
      </c>
      <c r="S48" s="87">
        <v>1.0609999999999999</v>
      </c>
      <c r="T48" s="87">
        <f t="shared" ref="T48:T71" si="18">S48*R48</f>
        <v>18.720283999999999</v>
      </c>
      <c r="U48" s="87">
        <v>1.5</v>
      </c>
      <c r="V48" s="87">
        <f t="shared" ref="V48:V71" si="19">U48*T48</f>
        <v>28.080425999999999</v>
      </c>
      <c r="W48" s="13">
        <f t="shared" ref="W48:W71" si="20">V48-T48</f>
        <v>9.3601419999999997</v>
      </c>
      <c r="X48" s="87">
        <v>29.5</v>
      </c>
      <c r="Y48" s="13">
        <f t="shared" ref="Y48:Y71" si="21">V48/X48</f>
        <v>0.95187884745762708</v>
      </c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</row>
    <row r="49" spans="1:76">
      <c r="A49" s="1" t="s">
        <v>43</v>
      </c>
      <c r="B49" s="83">
        <v>3</v>
      </c>
      <c r="C49" s="83">
        <v>60</v>
      </c>
      <c r="D49" s="84">
        <v>70</v>
      </c>
      <c r="E49" s="83">
        <v>130</v>
      </c>
      <c r="F49" s="83" t="s">
        <v>67</v>
      </c>
      <c r="G49" s="87">
        <v>5.37</v>
      </c>
      <c r="H49" s="83">
        <f>L2</f>
        <v>6.17</v>
      </c>
      <c r="I49" s="83">
        <f>S2</f>
        <v>1</v>
      </c>
      <c r="J49" s="88">
        <f t="shared" si="17"/>
        <v>12.54</v>
      </c>
      <c r="K49" s="88">
        <f>W2</f>
        <v>0.8</v>
      </c>
      <c r="L49" s="88">
        <f>AH8</f>
        <v>2.1</v>
      </c>
      <c r="M49" s="103">
        <f>U2</f>
        <v>0.8</v>
      </c>
      <c r="N49" s="87">
        <f>AD22</f>
        <v>0.8640000000000001</v>
      </c>
      <c r="O49" s="83">
        <f>AH31</f>
        <v>0.54</v>
      </c>
      <c r="P49" s="88">
        <f t="shared" si="4"/>
        <v>17.644000000000002</v>
      </c>
      <c r="Q49" s="83">
        <v>1</v>
      </c>
      <c r="R49" s="87">
        <f t="shared" si="16"/>
        <v>17.644000000000002</v>
      </c>
      <c r="S49" s="87">
        <v>1.0609999999999999</v>
      </c>
      <c r="T49" s="87">
        <f t="shared" si="18"/>
        <v>18.720283999999999</v>
      </c>
      <c r="U49" s="87">
        <v>1.5</v>
      </c>
      <c r="V49" s="87">
        <f t="shared" si="19"/>
        <v>28.080425999999999</v>
      </c>
      <c r="W49" s="13">
        <f t="shared" si="20"/>
        <v>9.3601419999999997</v>
      </c>
      <c r="X49" s="87">
        <v>29.5</v>
      </c>
      <c r="Y49" s="13">
        <f t="shared" si="21"/>
        <v>0.95187884745762708</v>
      </c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</row>
    <row r="50" spans="1:76">
      <c r="A50" s="1" t="s">
        <v>44</v>
      </c>
      <c r="B50" s="83">
        <v>3</v>
      </c>
      <c r="C50" s="83">
        <v>60</v>
      </c>
      <c r="D50" s="84">
        <v>70</v>
      </c>
      <c r="E50" s="83">
        <v>130</v>
      </c>
      <c r="F50" s="83" t="s">
        <v>67</v>
      </c>
      <c r="G50" s="87">
        <v>5.37</v>
      </c>
      <c r="H50" s="83">
        <f>L2</f>
        <v>6.17</v>
      </c>
      <c r="I50" s="83">
        <f>S2</f>
        <v>1</v>
      </c>
      <c r="J50" s="88">
        <f t="shared" si="17"/>
        <v>12.54</v>
      </c>
      <c r="K50" s="88">
        <f>W2</f>
        <v>0.8</v>
      </c>
      <c r="L50" s="88">
        <f>AH8</f>
        <v>2.1</v>
      </c>
      <c r="M50" s="103">
        <f>U2</f>
        <v>0.8</v>
      </c>
      <c r="N50" s="87">
        <f>AD22</f>
        <v>0.8640000000000001</v>
      </c>
      <c r="O50" s="83">
        <f>AH31</f>
        <v>0.54</v>
      </c>
      <c r="P50" s="88">
        <f t="shared" si="4"/>
        <v>17.644000000000002</v>
      </c>
      <c r="Q50" s="83">
        <v>1</v>
      </c>
      <c r="R50" s="87">
        <f t="shared" si="16"/>
        <v>17.644000000000002</v>
      </c>
      <c r="S50" s="87">
        <v>1.0609999999999999</v>
      </c>
      <c r="T50" s="87">
        <f t="shared" si="18"/>
        <v>18.720283999999999</v>
      </c>
      <c r="U50" s="87">
        <v>1.5</v>
      </c>
      <c r="V50" s="87">
        <f t="shared" si="19"/>
        <v>28.080425999999999</v>
      </c>
      <c r="W50" s="13">
        <f t="shared" si="20"/>
        <v>9.3601419999999997</v>
      </c>
      <c r="X50" s="87">
        <v>29.5</v>
      </c>
      <c r="Y50" s="13">
        <f t="shared" si="21"/>
        <v>0.95187884745762708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</row>
    <row r="51" spans="1:76">
      <c r="A51" s="1" t="s">
        <v>45</v>
      </c>
      <c r="B51" s="83">
        <v>3</v>
      </c>
      <c r="C51" s="83">
        <v>60</v>
      </c>
      <c r="D51" s="84">
        <v>70</v>
      </c>
      <c r="E51" s="83">
        <v>130</v>
      </c>
      <c r="F51" s="83" t="s">
        <v>67</v>
      </c>
      <c r="G51" s="87">
        <v>5.37</v>
      </c>
      <c r="H51" s="83">
        <f>L2</f>
        <v>6.17</v>
      </c>
      <c r="I51" s="83">
        <f>S2</f>
        <v>1</v>
      </c>
      <c r="J51" s="88">
        <f t="shared" si="17"/>
        <v>12.54</v>
      </c>
      <c r="K51" s="88">
        <f>W2</f>
        <v>0.8</v>
      </c>
      <c r="L51" s="88">
        <f>AH8</f>
        <v>2.1</v>
      </c>
      <c r="M51" s="103">
        <f>U2</f>
        <v>0.8</v>
      </c>
      <c r="N51" s="87">
        <f>AD22</f>
        <v>0.8640000000000001</v>
      </c>
      <c r="O51" s="83">
        <f>AH31</f>
        <v>0.54</v>
      </c>
      <c r="P51" s="88">
        <f t="shared" si="4"/>
        <v>17.644000000000002</v>
      </c>
      <c r="Q51" s="83">
        <v>1</v>
      </c>
      <c r="R51" s="87">
        <f t="shared" si="16"/>
        <v>17.644000000000002</v>
      </c>
      <c r="S51" s="87">
        <v>1.0609999999999999</v>
      </c>
      <c r="T51" s="87">
        <f t="shared" si="18"/>
        <v>18.720283999999999</v>
      </c>
      <c r="U51" s="87">
        <v>1.5</v>
      </c>
      <c r="V51" s="87">
        <f t="shared" si="19"/>
        <v>28.080425999999999</v>
      </c>
      <c r="W51" s="13">
        <f t="shared" si="20"/>
        <v>9.3601419999999997</v>
      </c>
      <c r="X51" s="87">
        <v>29.5</v>
      </c>
      <c r="Y51" s="13">
        <f t="shared" si="21"/>
        <v>0.95187884745762708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</row>
    <row r="52" spans="1:76">
      <c r="A52" s="1" t="s">
        <v>46</v>
      </c>
      <c r="B52" s="83">
        <v>4</v>
      </c>
      <c r="C52" s="83">
        <v>80</v>
      </c>
      <c r="D52" s="84">
        <v>70</v>
      </c>
      <c r="E52" s="83">
        <v>150</v>
      </c>
      <c r="F52" s="83" t="s">
        <v>67</v>
      </c>
      <c r="G52" s="87">
        <v>4.5999999999999996</v>
      </c>
      <c r="H52" s="83">
        <f>L2</f>
        <v>6.17</v>
      </c>
      <c r="I52" s="83">
        <f>S2</f>
        <v>1</v>
      </c>
      <c r="J52" s="88">
        <f t="shared" si="17"/>
        <v>11.77</v>
      </c>
      <c r="K52" s="88">
        <f>W2</f>
        <v>0.8</v>
      </c>
      <c r="L52" s="88">
        <f>AH8</f>
        <v>2.1</v>
      </c>
      <c r="M52" s="103">
        <f>U2</f>
        <v>0.8</v>
      </c>
      <c r="N52" s="87">
        <f>AE22</f>
        <v>0.8640000000000001</v>
      </c>
      <c r="O52" s="83">
        <f>AH31</f>
        <v>0.54</v>
      </c>
      <c r="P52" s="88">
        <f t="shared" si="4"/>
        <v>16.873999999999999</v>
      </c>
      <c r="Q52" s="83">
        <v>1</v>
      </c>
      <c r="R52" s="87">
        <f t="shared" si="16"/>
        <v>16.873999999999999</v>
      </c>
      <c r="S52" s="87">
        <v>1.0609999999999999</v>
      </c>
      <c r="T52" s="87">
        <f t="shared" si="18"/>
        <v>17.903313999999998</v>
      </c>
      <c r="U52" s="87">
        <v>1.6</v>
      </c>
      <c r="V52" s="87">
        <f t="shared" si="19"/>
        <v>28.645302399999998</v>
      </c>
      <c r="W52" s="13">
        <f t="shared" si="20"/>
        <v>10.7419884</v>
      </c>
      <c r="X52" s="87">
        <v>29.5</v>
      </c>
      <c r="Y52" s="13">
        <f t="shared" si="21"/>
        <v>0.97102719999999998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</row>
    <row r="53" spans="1:76">
      <c r="A53" s="1" t="s">
        <v>47</v>
      </c>
      <c r="B53" s="83">
        <v>4</v>
      </c>
      <c r="C53" s="83">
        <v>80</v>
      </c>
      <c r="D53" s="84">
        <v>70</v>
      </c>
      <c r="E53" s="83">
        <v>150</v>
      </c>
      <c r="F53" s="83" t="s">
        <v>67</v>
      </c>
      <c r="G53" s="87">
        <v>4.5999999999999996</v>
      </c>
      <c r="H53" s="83">
        <f>L2</f>
        <v>6.17</v>
      </c>
      <c r="I53" s="83">
        <f>S2</f>
        <v>1</v>
      </c>
      <c r="J53" s="88">
        <f t="shared" si="17"/>
        <v>11.77</v>
      </c>
      <c r="K53" s="88">
        <f>W2</f>
        <v>0.8</v>
      </c>
      <c r="L53" s="88">
        <f>AH8</f>
        <v>2.1</v>
      </c>
      <c r="M53" s="103">
        <f>U2</f>
        <v>0.8</v>
      </c>
      <c r="N53" s="87">
        <f>AE22</f>
        <v>0.8640000000000001</v>
      </c>
      <c r="O53" s="83">
        <f>AH31</f>
        <v>0.54</v>
      </c>
      <c r="P53" s="88">
        <f t="shared" si="4"/>
        <v>16.873999999999999</v>
      </c>
      <c r="Q53" s="83">
        <v>1</v>
      </c>
      <c r="R53" s="87">
        <f t="shared" si="16"/>
        <v>16.873999999999999</v>
      </c>
      <c r="S53" s="87">
        <v>1.0609999999999999</v>
      </c>
      <c r="T53" s="87">
        <f t="shared" si="18"/>
        <v>17.903313999999998</v>
      </c>
      <c r="U53" s="87">
        <v>1.5</v>
      </c>
      <c r="V53" s="87">
        <f t="shared" si="19"/>
        <v>26.854970999999999</v>
      </c>
      <c r="W53" s="13">
        <f t="shared" si="20"/>
        <v>8.9516570000000009</v>
      </c>
      <c r="X53" s="87">
        <v>29.5</v>
      </c>
      <c r="Y53" s="13">
        <f t="shared" si="21"/>
        <v>0.91033799999999998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</row>
    <row r="54" spans="1:76">
      <c r="A54" s="1" t="s">
        <v>48</v>
      </c>
      <c r="B54" s="83">
        <v>5</v>
      </c>
      <c r="C54" s="83">
        <v>100</v>
      </c>
      <c r="D54" s="84">
        <v>70</v>
      </c>
      <c r="E54" s="83">
        <v>170</v>
      </c>
      <c r="F54" s="83" t="s">
        <v>67</v>
      </c>
      <c r="G54" s="87">
        <v>6.07</v>
      </c>
      <c r="H54" s="83">
        <f>L2</f>
        <v>6.17</v>
      </c>
      <c r="I54" s="83">
        <f>S2</f>
        <v>1</v>
      </c>
      <c r="J54" s="88">
        <f t="shared" si="17"/>
        <v>13.24</v>
      </c>
      <c r="K54" s="88">
        <f>W2</f>
        <v>0.8</v>
      </c>
      <c r="L54" s="88">
        <f>AH8</f>
        <v>2.1</v>
      </c>
      <c r="M54" s="103">
        <f>U2</f>
        <v>0.8</v>
      </c>
      <c r="N54" s="87">
        <f>AF23</f>
        <v>0.87480000000000013</v>
      </c>
      <c r="O54" s="83">
        <f>AI32</f>
        <v>0.60000000000000009</v>
      </c>
      <c r="P54" s="88">
        <f t="shared" si="4"/>
        <v>18.414800000000003</v>
      </c>
      <c r="Q54" s="83">
        <v>1</v>
      </c>
      <c r="R54" s="87">
        <f t="shared" si="16"/>
        <v>18.414800000000003</v>
      </c>
      <c r="S54" s="87">
        <v>1.0609999999999999</v>
      </c>
      <c r="T54" s="87">
        <f t="shared" si="18"/>
        <v>19.538102800000001</v>
      </c>
      <c r="U54" s="87">
        <v>1.5</v>
      </c>
      <c r="V54" s="87">
        <f t="shared" si="19"/>
        <v>29.307154199999999</v>
      </c>
      <c r="W54" s="13">
        <f t="shared" si="20"/>
        <v>9.7690513999999986</v>
      </c>
      <c r="X54" s="87">
        <v>29.5</v>
      </c>
      <c r="Y54" s="13">
        <f t="shared" si="21"/>
        <v>0.99346285423728808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</row>
    <row r="55" spans="1:76">
      <c r="A55" s="1" t="s">
        <v>49</v>
      </c>
      <c r="B55" s="83">
        <v>5</v>
      </c>
      <c r="C55" s="83">
        <v>100</v>
      </c>
      <c r="D55" s="84">
        <v>70</v>
      </c>
      <c r="E55" s="83">
        <v>170</v>
      </c>
      <c r="F55" s="83" t="s">
        <v>67</v>
      </c>
      <c r="G55" s="87">
        <v>6.07</v>
      </c>
      <c r="H55" s="83">
        <f>L2</f>
        <v>6.17</v>
      </c>
      <c r="I55" s="83">
        <f>S2</f>
        <v>1</v>
      </c>
      <c r="J55" s="88">
        <f t="shared" si="17"/>
        <v>13.24</v>
      </c>
      <c r="K55" s="88">
        <f>W2</f>
        <v>0.8</v>
      </c>
      <c r="L55" s="88">
        <f>AH8</f>
        <v>2.1</v>
      </c>
      <c r="M55" s="103">
        <f>U2</f>
        <v>0.8</v>
      </c>
      <c r="N55" s="87">
        <f>AF23</f>
        <v>0.87480000000000013</v>
      </c>
      <c r="O55" s="83">
        <f>AI32</f>
        <v>0.60000000000000009</v>
      </c>
      <c r="P55" s="88">
        <f t="shared" si="4"/>
        <v>18.414800000000003</v>
      </c>
      <c r="Q55" s="83">
        <v>1</v>
      </c>
      <c r="R55" s="87">
        <f t="shared" si="16"/>
        <v>18.414800000000003</v>
      </c>
      <c r="S55" s="87">
        <v>1.0609999999999999</v>
      </c>
      <c r="T55" s="87">
        <f t="shared" si="18"/>
        <v>19.538102800000001</v>
      </c>
      <c r="U55" s="87">
        <v>1.5</v>
      </c>
      <c r="V55" s="87">
        <f t="shared" si="19"/>
        <v>29.307154199999999</v>
      </c>
      <c r="W55" s="13">
        <f t="shared" si="20"/>
        <v>9.7690513999999986</v>
      </c>
      <c r="X55" s="87">
        <v>29.5</v>
      </c>
      <c r="Y55" s="13">
        <f t="shared" si="21"/>
        <v>0.99346285423728808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</row>
    <row r="56" spans="1:76">
      <c r="A56" s="1" t="s">
        <v>50</v>
      </c>
      <c r="B56" s="83">
        <v>6</v>
      </c>
      <c r="C56" s="83">
        <v>100</v>
      </c>
      <c r="D56" s="84">
        <v>90</v>
      </c>
      <c r="E56" s="83">
        <v>190</v>
      </c>
      <c r="F56" s="83" t="s">
        <v>71</v>
      </c>
      <c r="G56" s="87">
        <v>6.99</v>
      </c>
      <c r="H56" s="83">
        <f>J2</f>
        <v>8.09</v>
      </c>
      <c r="I56" s="83">
        <f>S2</f>
        <v>1</v>
      </c>
      <c r="J56" s="88">
        <f t="shared" si="17"/>
        <v>16.079999999999998</v>
      </c>
      <c r="K56" s="88">
        <f>W2</f>
        <v>0.8</v>
      </c>
      <c r="L56" s="88">
        <f>AH8</f>
        <v>2.1</v>
      </c>
      <c r="M56" s="103">
        <f>U2</f>
        <v>0.8</v>
      </c>
      <c r="N56" s="87">
        <f>AF24</f>
        <v>0.99360000000000015</v>
      </c>
      <c r="O56" s="83">
        <f>AI33</f>
        <v>0.60000000000000009</v>
      </c>
      <c r="P56" s="88">
        <f t="shared" si="4"/>
        <v>21.3736</v>
      </c>
      <c r="Q56" s="83">
        <v>1</v>
      </c>
      <c r="R56" s="87">
        <f t="shared" si="16"/>
        <v>21.3736</v>
      </c>
      <c r="S56" s="87">
        <v>1.0609999999999999</v>
      </c>
      <c r="T56" s="87">
        <f t="shared" si="18"/>
        <v>22.677389599999998</v>
      </c>
      <c r="U56" s="87">
        <v>1.5</v>
      </c>
      <c r="V56" s="87">
        <f t="shared" si="19"/>
        <v>34.016084399999997</v>
      </c>
      <c r="W56" s="13">
        <f t="shared" si="20"/>
        <v>11.338694799999999</v>
      </c>
      <c r="X56" s="87">
        <v>29.5</v>
      </c>
      <c r="Y56" s="13">
        <f t="shared" si="21"/>
        <v>1.1530876067796609</v>
      </c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</row>
    <row r="57" spans="1:76">
      <c r="A57" s="1" t="s">
        <v>51</v>
      </c>
      <c r="B57" s="83">
        <v>7</v>
      </c>
      <c r="C57" s="83">
        <v>125</v>
      </c>
      <c r="D57" s="84">
        <v>90</v>
      </c>
      <c r="E57" s="83">
        <v>215</v>
      </c>
      <c r="F57" s="83" t="s">
        <v>73</v>
      </c>
      <c r="G57" s="87">
        <v>11.31</v>
      </c>
      <c r="H57" s="83">
        <f>H2</f>
        <v>9.41</v>
      </c>
      <c r="I57" s="83">
        <f>S2</f>
        <v>1</v>
      </c>
      <c r="J57" s="88">
        <f t="shared" si="17"/>
        <v>21.72</v>
      </c>
      <c r="K57" s="88">
        <f>W2</f>
        <v>0.8</v>
      </c>
      <c r="L57" s="88">
        <f>AH8</f>
        <v>2.1</v>
      </c>
      <c r="M57" s="103">
        <f>U2</f>
        <v>0.8</v>
      </c>
      <c r="N57" s="87">
        <f>AG25</f>
        <v>1.3392000000000002</v>
      </c>
      <c r="O57" s="83">
        <f>AI34</f>
        <v>0.78</v>
      </c>
      <c r="P57" s="88">
        <f t="shared" si="4"/>
        <v>27.539200000000001</v>
      </c>
      <c r="Q57" s="83">
        <v>1</v>
      </c>
      <c r="R57" s="87">
        <f t="shared" si="16"/>
        <v>27.539200000000001</v>
      </c>
      <c r="S57" s="87">
        <v>1.0609999999999999</v>
      </c>
      <c r="T57" s="87">
        <f t="shared" si="18"/>
        <v>29.219091200000001</v>
      </c>
      <c r="U57" s="87">
        <v>1.4</v>
      </c>
      <c r="V57" s="87">
        <f t="shared" si="19"/>
        <v>40.906727679999996</v>
      </c>
      <c r="W57" s="13">
        <f t="shared" si="20"/>
        <v>11.687636479999995</v>
      </c>
      <c r="X57" s="87">
        <v>29.5</v>
      </c>
      <c r="Y57" s="13">
        <f t="shared" si="21"/>
        <v>1.386668734915254</v>
      </c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</row>
    <row r="58" spans="1:76">
      <c r="A58" s="1" t="s">
        <v>52</v>
      </c>
      <c r="B58" s="83">
        <v>8</v>
      </c>
      <c r="C58" s="83">
        <v>150</v>
      </c>
      <c r="D58" s="84">
        <v>110</v>
      </c>
      <c r="E58" s="83">
        <v>260</v>
      </c>
      <c r="F58" s="83" t="s">
        <v>73</v>
      </c>
      <c r="G58" s="87">
        <v>16.13</v>
      </c>
      <c r="H58" s="83">
        <f>H2</f>
        <v>9.41</v>
      </c>
      <c r="I58" s="83">
        <f>S2</f>
        <v>1</v>
      </c>
      <c r="J58" s="88">
        <f t="shared" si="17"/>
        <v>26.54</v>
      </c>
      <c r="K58" s="88">
        <f>W2</f>
        <v>0.8</v>
      </c>
      <c r="L58" s="88">
        <f>AH8</f>
        <v>2.1</v>
      </c>
      <c r="M58" s="103">
        <f>U2</f>
        <v>0.8</v>
      </c>
      <c r="N58" s="87">
        <f>AG25</f>
        <v>1.3392000000000002</v>
      </c>
      <c r="O58" s="83">
        <f>AI34</f>
        <v>0.78</v>
      </c>
      <c r="P58" s="88">
        <f t="shared" si="4"/>
        <v>32.359200000000001</v>
      </c>
      <c r="Q58" s="83">
        <v>1</v>
      </c>
      <c r="R58" s="87">
        <f t="shared" si="16"/>
        <v>32.359200000000001</v>
      </c>
      <c r="S58" s="87">
        <v>1.0609999999999999</v>
      </c>
      <c r="T58" s="87">
        <f t="shared" si="18"/>
        <v>34.333111199999998</v>
      </c>
      <c r="U58" s="87">
        <v>1.5</v>
      </c>
      <c r="V58" s="87">
        <f t="shared" si="19"/>
        <v>51.4996668</v>
      </c>
      <c r="W58" s="13">
        <f t="shared" si="20"/>
        <v>17.166555600000002</v>
      </c>
      <c r="X58" s="87">
        <v>29.5</v>
      </c>
      <c r="Y58" s="13">
        <f t="shared" si="21"/>
        <v>1.7457514169491526</v>
      </c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</row>
    <row r="59" spans="1:76">
      <c r="A59" s="1" t="s">
        <v>53</v>
      </c>
      <c r="B59" s="83">
        <v>8</v>
      </c>
      <c r="C59" s="83">
        <v>200</v>
      </c>
      <c r="D59" s="84">
        <v>110</v>
      </c>
      <c r="E59" s="83">
        <v>310</v>
      </c>
      <c r="F59" s="83" t="s">
        <v>73</v>
      </c>
      <c r="G59" s="87">
        <v>19.61</v>
      </c>
      <c r="H59" s="83">
        <f>H2</f>
        <v>9.41</v>
      </c>
      <c r="I59" s="83">
        <f>S2</f>
        <v>1</v>
      </c>
      <c r="J59" s="88">
        <f t="shared" si="17"/>
        <v>30.02</v>
      </c>
      <c r="K59" s="88">
        <f>W2</f>
        <v>0.8</v>
      </c>
      <c r="L59" s="88">
        <f>AH8</f>
        <v>2.1</v>
      </c>
      <c r="M59" s="103">
        <f>U2</f>
        <v>0.8</v>
      </c>
      <c r="N59" s="87">
        <f>AH25</f>
        <v>1.3824000000000001</v>
      </c>
      <c r="O59" s="83">
        <f>AJ34</f>
        <v>1.0499999999999998</v>
      </c>
      <c r="P59" s="88">
        <f t="shared" si="4"/>
        <v>36.1524</v>
      </c>
      <c r="Q59" s="83">
        <v>1</v>
      </c>
      <c r="R59" s="87">
        <f t="shared" si="16"/>
        <v>36.1524</v>
      </c>
      <c r="S59" s="87">
        <v>1.0609999999999999</v>
      </c>
      <c r="T59" s="87">
        <f t="shared" si="18"/>
        <v>38.357696399999995</v>
      </c>
      <c r="U59" s="87">
        <v>1.5</v>
      </c>
      <c r="V59" s="87">
        <f t="shared" si="19"/>
        <v>57.536544599999992</v>
      </c>
      <c r="W59" s="13">
        <f t="shared" si="20"/>
        <v>19.178848199999997</v>
      </c>
      <c r="X59" s="87">
        <v>29.5</v>
      </c>
      <c r="Y59" s="13">
        <f t="shared" si="21"/>
        <v>1.9503913423728811</v>
      </c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</row>
    <row r="60" spans="1:76">
      <c r="A60" s="1" t="s">
        <v>54</v>
      </c>
      <c r="B60" s="83">
        <v>3</v>
      </c>
      <c r="C60" s="83">
        <v>60</v>
      </c>
      <c r="D60" s="84">
        <v>70</v>
      </c>
      <c r="E60" s="83">
        <v>130</v>
      </c>
      <c r="F60" s="83" t="s">
        <v>67</v>
      </c>
      <c r="G60" s="87">
        <v>6.44</v>
      </c>
      <c r="H60" s="83">
        <f>L2</f>
        <v>6.17</v>
      </c>
      <c r="I60" s="83">
        <f>S2</f>
        <v>1</v>
      </c>
      <c r="J60" s="88">
        <f t="shared" si="17"/>
        <v>13.61</v>
      </c>
      <c r="K60" s="88">
        <f>W2</f>
        <v>0.8</v>
      </c>
      <c r="L60" s="88">
        <f>AH8</f>
        <v>2.1</v>
      </c>
      <c r="M60" s="103">
        <f>U2</f>
        <v>0.8</v>
      </c>
      <c r="N60" s="87">
        <f>AD22</f>
        <v>0.8640000000000001</v>
      </c>
      <c r="O60" s="83">
        <f>AH31</f>
        <v>0.54</v>
      </c>
      <c r="P60" s="88">
        <f t="shared" si="4"/>
        <v>18.714000000000002</v>
      </c>
      <c r="Q60" s="83">
        <v>1</v>
      </c>
      <c r="R60" s="87">
        <f t="shared" si="16"/>
        <v>18.714000000000002</v>
      </c>
      <c r="S60" s="87">
        <v>1.0609999999999999</v>
      </c>
      <c r="T60" s="87">
        <f t="shared" si="18"/>
        <v>19.855554000000001</v>
      </c>
      <c r="U60" s="87">
        <v>1.5</v>
      </c>
      <c r="V60" s="87">
        <f t="shared" si="19"/>
        <v>29.783331000000004</v>
      </c>
      <c r="W60" s="13">
        <f t="shared" si="20"/>
        <v>9.9277770000000025</v>
      </c>
      <c r="X60" s="87">
        <v>29.5</v>
      </c>
      <c r="Y60" s="13">
        <f t="shared" si="21"/>
        <v>1.0096044406779663</v>
      </c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</row>
    <row r="61" spans="1:76">
      <c r="A61" s="1" t="s">
        <v>55</v>
      </c>
      <c r="B61" s="83">
        <v>3</v>
      </c>
      <c r="C61" s="83">
        <v>60</v>
      </c>
      <c r="D61" s="84">
        <v>70</v>
      </c>
      <c r="E61" s="83">
        <v>130</v>
      </c>
      <c r="F61" s="83" t="s">
        <v>67</v>
      </c>
      <c r="G61" s="87">
        <v>6.44</v>
      </c>
      <c r="H61" s="83">
        <f>L2</f>
        <v>6.17</v>
      </c>
      <c r="I61" s="83">
        <f>S2</f>
        <v>1</v>
      </c>
      <c r="J61" s="88">
        <f t="shared" si="17"/>
        <v>13.61</v>
      </c>
      <c r="K61" s="88">
        <f>W2</f>
        <v>0.8</v>
      </c>
      <c r="L61" s="88">
        <f>AH8</f>
        <v>2.1</v>
      </c>
      <c r="M61" s="103">
        <f>U2</f>
        <v>0.8</v>
      </c>
      <c r="N61" s="87">
        <f>AD22</f>
        <v>0.8640000000000001</v>
      </c>
      <c r="O61" s="83">
        <f>AH31</f>
        <v>0.54</v>
      </c>
      <c r="P61" s="88">
        <f t="shared" si="4"/>
        <v>18.714000000000002</v>
      </c>
      <c r="Q61" s="83">
        <v>1</v>
      </c>
      <c r="R61" s="87">
        <f t="shared" si="16"/>
        <v>18.714000000000002</v>
      </c>
      <c r="S61" s="87">
        <v>1.0609999999999999</v>
      </c>
      <c r="T61" s="87">
        <f t="shared" si="18"/>
        <v>19.855554000000001</v>
      </c>
      <c r="U61" s="87">
        <v>1.5</v>
      </c>
      <c r="V61" s="87">
        <f t="shared" si="19"/>
        <v>29.783331000000004</v>
      </c>
      <c r="W61" s="13">
        <f t="shared" si="20"/>
        <v>9.9277770000000025</v>
      </c>
      <c r="X61" s="87">
        <v>29.5</v>
      </c>
      <c r="Y61" s="13">
        <f t="shared" si="21"/>
        <v>1.0096044406779663</v>
      </c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</row>
    <row r="62" spans="1:76">
      <c r="A62" s="1" t="s">
        <v>56</v>
      </c>
      <c r="B62" s="83">
        <v>3</v>
      </c>
      <c r="C62" s="83">
        <v>60</v>
      </c>
      <c r="D62" s="84">
        <v>70</v>
      </c>
      <c r="E62" s="83">
        <v>130</v>
      </c>
      <c r="F62" s="83" t="s">
        <v>67</v>
      </c>
      <c r="G62" s="87">
        <v>6.44</v>
      </c>
      <c r="H62" s="83">
        <f>L2</f>
        <v>6.17</v>
      </c>
      <c r="I62" s="83">
        <f>S2</f>
        <v>1</v>
      </c>
      <c r="J62" s="88">
        <f t="shared" si="17"/>
        <v>13.61</v>
      </c>
      <c r="K62" s="88">
        <f>W2</f>
        <v>0.8</v>
      </c>
      <c r="L62" s="88">
        <f>AH8</f>
        <v>2.1</v>
      </c>
      <c r="M62" s="103">
        <f>U2</f>
        <v>0.8</v>
      </c>
      <c r="N62" s="87">
        <f>AD22</f>
        <v>0.8640000000000001</v>
      </c>
      <c r="O62" s="83">
        <f>AH31</f>
        <v>0.54</v>
      </c>
      <c r="P62" s="88">
        <f t="shared" si="4"/>
        <v>18.714000000000002</v>
      </c>
      <c r="Q62" s="83">
        <v>1</v>
      </c>
      <c r="R62" s="87">
        <f t="shared" si="16"/>
        <v>18.714000000000002</v>
      </c>
      <c r="S62" s="87">
        <v>1.0609999999999999</v>
      </c>
      <c r="T62" s="87">
        <f t="shared" si="18"/>
        <v>19.855554000000001</v>
      </c>
      <c r="U62" s="87">
        <v>1.5</v>
      </c>
      <c r="V62" s="87">
        <f t="shared" si="19"/>
        <v>29.783331000000004</v>
      </c>
      <c r="W62" s="13">
        <f t="shared" si="20"/>
        <v>9.9277770000000025</v>
      </c>
      <c r="X62" s="87">
        <v>29.5</v>
      </c>
      <c r="Y62" s="13">
        <f t="shared" si="21"/>
        <v>1.0096044406779663</v>
      </c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</row>
    <row r="63" spans="1:76">
      <c r="A63" s="1" t="s">
        <v>57</v>
      </c>
      <c r="B63" s="83">
        <v>3</v>
      </c>
      <c r="C63" s="83">
        <v>60</v>
      </c>
      <c r="D63" s="84">
        <v>70</v>
      </c>
      <c r="E63" s="83">
        <v>130</v>
      </c>
      <c r="F63" s="83" t="s">
        <v>67</v>
      </c>
      <c r="G63" s="87">
        <v>6.44</v>
      </c>
      <c r="H63" s="83">
        <f>L2</f>
        <v>6.17</v>
      </c>
      <c r="I63" s="83">
        <f>S2</f>
        <v>1</v>
      </c>
      <c r="J63" s="88">
        <f t="shared" si="17"/>
        <v>13.61</v>
      </c>
      <c r="K63" s="88">
        <f>W2</f>
        <v>0.8</v>
      </c>
      <c r="L63" s="88">
        <f>AH8</f>
        <v>2.1</v>
      </c>
      <c r="M63" s="103">
        <f>U2</f>
        <v>0.8</v>
      </c>
      <c r="N63" s="87">
        <f>AD22</f>
        <v>0.8640000000000001</v>
      </c>
      <c r="O63" s="83">
        <f>AH31</f>
        <v>0.54</v>
      </c>
      <c r="P63" s="88">
        <f t="shared" si="4"/>
        <v>18.714000000000002</v>
      </c>
      <c r="Q63" s="83">
        <v>1</v>
      </c>
      <c r="R63" s="87">
        <f t="shared" si="16"/>
        <v>18.714000000000002</v>
      </c>
      <c r="S63" s="87">
        <v>1.0609999999999999</v>
      </c>
      <c r="T63" s="87">
        <f t="shared" si="18"/>
        <v>19.855554000000001</v>
      </c>
      <c r="U63" s="87">
        <v>1.5</v>
      </c>
      <c r="V63" s="87">
        <f t="shared" si="19"/>
        <v>29.783331000000004</v>
      </c>
      <c r="W63" s="13">
        <f t="shared" si="20"/>
        <v>9.9277770000000025</v>
      </c>
      <c r="X63" s="87">
        <v>29.5</v>
      </c>
      <c r="Y63" s="13">
        <f t="shared" si="21"/>
        <v>1.0096044406779663</v>
      </c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</row>
    <row r="64" spans="1:76">
      <c r="A64" s="1" t="s">
        <v>58</v>
      </c>
      <c r="B64" s="83">
        <v>4</v>
      </c>
      <c r="C64" s="83">
        <v>80</v>
      </c>
      <c r="D64" s="84">
        <v>70</v>
      </c>
      <c r="E64" s="83">
        <v>150</v>
      </c>
      <c r="F64" s="83" t="s">
        <v>67</v>
      </c>
      <c r="G64" s="87">
        <v>4.5999999999999996</v>
      </c>
      <c r="H64" s="83">
        <f>L2</f>
        <v>6.17</v>
      </c>
      <c r="I64" s="83">
        <f>S2</f>
        <v>1</v>
      </c>
      <c r="J64" s="88">
        <f t="shared" si="17"/>
        <v>11.77</v>
      </c>
      <c r="K64" s="88">
        <f>W2</f>
        <v>0.8</v>
      </c>
      <c r="L64" s="88">
        <f>AH8</f>
        <v>2.1</v>
      </c>
      <c r="M64" s="103">
        <f>U2</f>
        <v>0.8</v>
      </c>
      <c r="N64" s="87">
        <f>AE22</f>
        <v>0.8640000000000001</v>
      </c>
      <c r="O64" s="83">
        <f>AH31</f>
        <v>0.54</v>
      </c>
      <c r="P64" s="88">
        <f t="shared" si="4"/>
        <v>16.873999999999999</v>
      </c>
      <c r="Q64" s="83">
        <v>1</v>
      </c>
      <c r="R64" s="87">
        <f t="shared" si="16"/>
        <v>16.873999999999999</v>
      </c>
      <c r="S64" s="87">
        <v>1.0609999999999999</v>
      </c>
      <c r="T64" s="87">
        <f t="shared" si="18"/>
        <v>17.903313999999998</v>
      </c>
      <c r="U64" s="87">
        <v>1.5</v>
      </c>
      <c r="V64" s="87">
        <f t="shared" si="19"/>
        <v>26.854970999999999</v>
      </c>
      <c r="W64" s="13">
        <f t="shared" si="20"/>
        <v>8.9516570000000009</v>
      </c>
      <c r="X64" s="87">
        <v>29.5</v>
      </c>
      <c r="Y64" s="13">
        <f t="shared" si="21"/>
        <v>0.91033799999999998</v>
      </c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</row>
    <row r="65" spans="1:76">
      <c r="A65" s="1" t="s">
        <v>59</v>
      </c>
      <c r="B65" s="83">
        <v>4</v>
      </c>
      <c r="C65" s="83">
        <v>80</v>
      </c>
      <c r="D65" s="84">
        <v>70</v>
      </c>
      <c r="E65" s="83">
        <v>150</v>
      </c>
      <c r="F65" s="83" t="s">
        <v>67</v>
      </c>
      <c r="G65" s="87">
        <v>4.5999999999999996</v>
      </c>
      <c r="H65" s="83">
        <f>L2</f>
        <v>6.17</v>
      </c>
      <c r="I65" s="83">
        <f>S2</f>
        <v>1</v>
      </c>
      <c r="J65" s="88">
        <f t="shared" si="17"/>
        <v>11.77</v>
      </c>
      <c r="K65" s="88">
        <f>W2</f>
        <v>0.8</v>
      </c>
      <c r="L65" s="88">
        <f>AH8</f>
        <v>2.1</v>
      </c>
      <c r="M65" s="103">
        <f>U2</f>
        <v>0.8</v>
      </c>
      <c r="N65" s="87">
        <f>AE22</f>
        <v>0.8640000000000001</v>
      </c>
      <c r="O65" s="83">
        <f>AH31</f>
        <v>0.54</v>
      </c>
      <c r="P65" s="88">
        <f t="shared" si="4"/>
        <v>16.873999999999999</v>
      </c>
      <c r="Q65" s="83">
        <v>1</v>
      </c>
      <c r="R65" s="87">
        <f t="shared" si="16"/>
        <v>16.873999999999999</v>
      </c>
      <c r="S65" s="87">
        <v>1.0609999999999999</v>
      </c>
      <c r="T65" s="87">
        <f t="shared" si="18"/>
        <v>17.903313999999998</v>
      </c>
      <c r="U65" s="87">
        <v>1.5</v>
      </c>
      <c r="V65" s="87">
        <f t="shared" si="19"/>
        <v>26.854970999999999</v>
      </c>
      <c r="W65" s="13">
        <f t="shared" si="20"/>
        <v>8.9516570000000009</v>
      </c>
      <c r="X65" s="87">
        <v>29.5</v>
      </c>
      <c r="Y65" s="13">
        <f t="shared" si="21"/>
        <v>0.91033799999999998</v>
      </c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</row>
    <row r="66" spans="1:76">
      <c r="A66" s="1" t="s">
        <v>60</v>
      </c>
      <c r="B66" s="83">
        <v>5</v>
      </c>
      <c r="C66" s="83">
        <v>100</v>
      </c>
      <c r="D66" s="84">
        <v>70</v>
      </c>
      <c r="E66" s="83">
        <v>170</v>
      </c>
      <c r="F66" s="83" t="s">
        <v>67</v>
      </c>
      <c r="G66" s="87">
        <v>6.07</v>
      </c>
      <c r="H66" s="83">
        <f>L2</f>
        <v>6.17</v>
      </c>
      <c r="I66" s="83">
        <f>S2</f>
        <v>1</v>
      </c>
      <c r="J66" s="88">
        <f t="shared" si="17"/>
        <v>13.24</v>
      </c>
      <c r="K66" s="88">
        <f>W2</f>
        <v>0.8</v>
      </c>
      <c r="L66" s="88">
        <f>AH8</f>
        <v>2.1</v>
      </c>
      <c r="M66" s="103">
        <f>U2</f>
        <v>0.8</v>
      </c>
      <c r="N66" s="87">
        <f>AF23</f>
        <v>0.87480000000000013</v>
      </c>
      <c r="O66" s="83">
        <f>AI32</f>
        <v>0.60000000000000009</v>
      </c>
      <c r="P66" s="88">
        <f t="shared" si="4"/>
        <v>18.414800000000003</v>
      </c>
      <c r="Q66" s="83">
        <v>1</v>
      </c>
      <c r="R66" s="87">
        <f t="shared" si="16"/>
        <v>18.414800000000003</v>
      </c>
      <c r="S66" s="87">
        <v>1.0609999999999999</v>
      </c>
      <c r="T66" s="87">
        <f t="shared" si="18"/>
        <v>19.538102800000001</v>
      </c>
      <c r="U66" s="87">
        <v>1.5</v>
      </c>
      <c r="V66" s="87">
        <f t="shared" si="19"/>
        <v>29.307154199999999</v>
      </c>
      <c r="W66" s="13">
        <f t="shared" si="20"/>
        <v>9.7690513999999986</v>
      </c>
      <c r="X66" s="87">
        <v>29.5</v>
      </c>
      <c r="Y66" s="13">
        <f t="shared" si="21"/>
        <v>0.99346285423728808</v>
      </c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</row>
    <row r="67" spans="1:76">
      <c r="A67" s="1" t="s">
        <v>61</v>
      </c>
      <c r="B67" s="83">
        <v>5</v>
      </c>
      <c r="C67" s="83">
        <v>100</v>
      </c>
      <c r="D67" s="84">
        <v>70</v>
      </c>
      <c r="E67" s="83">
        <v>170</v>
      </c>
      <c r="F67" s="83" t="s">
        <v>67</v>
      </c>
      <c r="G67" s="87">
        <v>6.07</v>
      </c>
      <c r="H67" s="83">
        <f>L2</f>
        <v>6.17</v>
      </c>
      <c r="I67" s="83">
        <f>S2</f>
        <v>1</v>
      </c>
      <c r="J67" s="88">
        <f t="shared" si="17"/>
        <v>13.24</v>
      </c>
      <c r="K67" s="88">
        <f>W2</f>
        <v>0.8</v>
      </c>
      <c r="L67" s="88">
        <f>AH8</f>
        <v>2.1</v>
      </c>
      <c r="M67" s="103">
        <f>U2</f>
        <v>0.8</v>
      </c>
      <c r="N67" s="87">
        <f>AF23</f>
        <v>0.87480000000000013</v>
      </c>
      <c r="O67" s="83">
        <f>AI32</f>
        <v>0.60000000000000009</v>
      </c>
      <c r="P67" s="88">
        <f t="shared" si="4"/>
        <v>18.414800000000003</v>
      </c>
      <c r="Q67" s="83">
        <v>1</v>
      </c>
      <c r="R67" s="87">
        <f t="shared" si="16"/>
        <v>18.414800000000003</v>
      </c>
      <c r="S67" s="87">
        <v>1.0609999999999999</v>
      </c>
      <c r="T67" s="87">
        <f t="shared" si="18"/>
        <v>19.538102800000001</v>
      </c>
      <c r="U67" s="87">
        <v>1.5</v>
      </c>
      <c r="V67" s="87">
        <f t="shared" si="19"/>
        <v>29.307154199999999</v>
      </c>
      <c r="W67" s="13">
        <f t="shared" si="20"/>
        <v>9.7690513999999986</v>
      </c>
      <c r="X67" s="87">
        <v>29.5</v>
      </c>
      <c r="Y67" s="13">
        <f t="shared" si="21"/>
        <v>0.99346285423728808</v>
      </c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</row>
    <row r="68" spans="1:76">
      <c r="A68" s="1" t="s">
        <v>62</v>
      </c>
      <c r="B68" s="83">
        <v>6</v>
      </c>
      <c r="C68" s="83">
        <v>100</v>
      </c>
      <c r="D68" s="84">
        <v>90</v>
      </c>
      <c r="E68" s="83">
        <v>190</v>
      </c>
      <c r="F68" s="83" t="s">
        <v>71</v>
      </c>
      <c r="G68" s="87">
        <v>6.99</v>
      </c>
      <c r="H68" s="83">
        <f>J2</f>
        <v>8.09</v>
      </c>
      <c r="I68" s="83">
        <f>S2</f>
        <v>1</v>
      </c>
      <c r="J68" s="88">
        <f t="shared" si="17"/>
        <v>16.079999999999998</v>
      </c>
      <c r="K68" s="88">
        <f>W2</f>
        <v>0.8</v>
      </c>
      <c r="L68" s="88">
        <f>AH8</f>
        <v>2.1</v>
      </c>
      <c r="M68" s="103">
        <f>U2</f>
        <v>0.8</v>
      </c>
      <c r="N68" s="87">
        <f>AF24</f>
        <v>0.99360000000000015</v>
      </c>
      <c r="O68" s="83">
        <f>AI33</f>
        <v>0.60000000000000009</v>
      </c>
      <c r="P68" s="88">
        <f t="shared" si="4"/>
        <v>21.3736</v>
      </c>
      <c r="Q68" s="83">
        <v>1</v>
      </c>
      <c r="R68" s="87">
        <f t="shared" si="16"/>
        <v>21.3736</v>
      </c>
      <c r="S68" s="87">
        <v>1.0609999999999999</v>
      </c>
      <c r="T68" s="87">
        <f t="shared" si="18"/>
        <v>22.677389599999998</v>
      </c>
      <c r="U68" s="87">
        <v>1.5</v>
      </c>
      <c r="V68" s="87">
        <f t="shared" si="19"/>
        <v>34.016084399999997</v>
      </c>
      <c r="W68" s="13">
        <f t="shared" si="20"/>
        <v>11.338694799999999</v>
      </c>
      <c r="X68" s="87">
        <v>29.5</v>
      </c>
      <c r="Y68" s="13">
        <f t="shared" si="21"/>
        <v>1.1530876067796609</v>
      </c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</row>
    <row r="69" spans="1:76">
      <c r="A69" s="1" t="s">
        <v>63</v>
      </c>
      <c r="B69" s="83">
        <v>7</v>
      </c>
      <c r="C69" s="83">
        <v>125</v>
      </c>
      <c r="D69" s="84">
        <v>90</v>
      </c>
      <c r="E69" s="83">
        <v>215</v>
      </c>
      <c r="F69" s="83" t="s">
        <v>73</v>
      </c>
      <c r="G69" s="87">
        <v>11.31</v>
      </c>
      <c r="H69" s="83">
        <f>H2</f>
        <v>9.41</v>
      </c>
      <c r="I69" s="83">
        <f>S2</f>
        <v>1</v>
      </c>
      <c r="J69" s="88">
        <f t="shared" si="17"/>
        <v>21.72</v>
      </c>
      <c r="K69" s="88">
        <f>W2</f>
        <v>0.8</v>
      </c>
      <c r="L69" s="88">
        <f>AH8</f>
        <v>2.1</v>
      </c>
      <c r="M69" s="103">
        <f>U2</f>
        <v>0.8</v>
      </c>
      <c r="N69" s="87">
        <f>AG25</f>
        <v>1.3392000000000002</v>
      </c>
      <c r="O69" s="83">
        <f>AI34</f>
        <v>0.78</v>
      </c>
      <c r="P69" s="88">
        <f t="shared" si="4"/>
        <v>27.539200000000001</v>
      </c>
      <c r="Q69" s="83">
        <v>1</v>
      </c>
      <c r="R69" s="87">
        <f t="shared" si="16"/>
        <v>27.539200000000001</v>
      </c>
      <c r="S69" s="87">
        <v>1.0609999999999999</v>
      </c>
      <c r="T69" s="87">
        <f t="shared" si="18"/>
        <v>29.219091200000001</v>
      </c>
      <c r="U69" s="87">
        <v>1.5</v>
      </c>
      <c r="V69" s="87">
        <f t="shared" si="19"/>
        <v>43.828636799999998</v>
      </c>
      <c r="W69" s="13">
        <f t="shared" si="20"/>
        <v>14.609545599999997</v>
      </c>
      <c r="X69" s="87">
        <v>29.5</v>
      </c>
      <c r="Y69" s="13">
        <f t="shared" si="21"/>
        <v>1.4857165016949152</v>
      </c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</row>
    <row r="70" spans="1:76">
      <c r="A70" s="1" t="s">
        <v>64</v>
      </c>
      <c r="B70" s="83">
        <v>8</v>
      </c>
      <c r="C70" s="83">
        <v>150</v>
      </c>
      <c r="D70" s="84">
        <v>110</v>
      </c>
      <c r="E70" s="83">
        <v>260</v>
      </c>
      <c r="F70" s="83" t="s">
        <v>73</v>
      </c>
      <c r="G70" s="87">
        <v>16.13</v>
      </c>
      <c r="H70" s="83">
        <f>H2</f>
        <v>9.41</v>
      </c>
      <c r="I70" s="83">
        <f>S2</f>
        <v>1</v>
      </c>
      <c r="J70" s="88">
        <f t="shared" si="17"/>
        <v>26.54</v>
      </c>
      <c r="K70" s="88">
        <f>W2</f>
        <v>0.8</v>
      </c>
      <c r="L70" s="88">
        <f>AH8</f>
        <v>2.1</v>
      </c>
      <c r="M70" s="103">
        <f>U2</f>
        <v>0.8</v>
      </c>
      <c r="N70" s="87">
        <f>AG25</f>
        <v>1.3392000000000002</v>
      </c>
      <c r="O70" s="83">
        <f>AI34</f>
        <v>0.78</v>
      </c>
      <c r="P70" s="88">
        <f t="shared" si="4"/>
        <v>32.359200000000001</v>
      </c>
      <c r="Q70" s="83">
        <v>1</v>
      </c>
      <c r="R70" s="87">
        <f t="shared" si="16"/>
        <v>32.359200000000001</v>
      </c>
      <c r="S70" s="87">
        <v>1.0609999999999999</v>
      </c>
      <c r="T70" s="87">
        <f t="shared" si="18"/>
        <v>34.333111199999998</v>
      </c>
      <c r="U70" s="87">
        <v>1.5</v>
      </c>
      <c r="V70" s="87">
        <f t="shared" si="19"/>
        <v>51.4996668</v>
      </c>
      <c r="W70" s="13">
        <f t="shared" si="20"/>
        <v>17.166555600000002</v>
      </c>
      <c r="X70" s="87">
        <v>29.5</v>
      </c>
      <c r="Y70" s="13">
        <f t="shared" si="21"/>
        <v>1.7457514169491526</v>
      </c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</row>
    <row r="71" spans="1:76">
      <c r="A71" s="1" t="s">
        <v>65</v>
      </c>
      <c r="B71" s="83">
        <v>8</v>
      </c>
      <c r="C71" s="83">
        <v>200</v>
      </c>
      <c r="D71" s="84">
        <v>110</v>
      </c>
      <c r="E71" s="83">
        <v>310</v>
      </c>
      <c r="F71" s="83" t="s">
        <v>73</v>
      </c>
      <c r="G71" s="87">
        <v>19.61</v>
      </c>
      <c r="H71" s="83">
        <f>H2</f>
        <v>9.41</v>
      </c>
      <c r="I71" s="83">
        <f>S2</f>
        <v>1</v>
      </c>
      <c r="J71" s="88">
        <f t="shared" si="17"/>
        <v>30.02</v>
      </c>
      <c r="K71" s="88">
        <f>W2</f>
        <v>0.8</v>
      </c>
      <c r="L71" s="88">
        <f>AH8</f>
        <v>2.1</v>
      </c>
      <c r="M71" s="103">
        <f>U2</f>
        <v>0.8</v>
      </c>
      <c r="N71" s="87">
        <f>AH25</f>
        <v>1.3824000000000001</v>
      </c>
      <c r="O71" s="83">
        <f>AJ34</f>
        <v>1.0499999999999998</v>
      </c>
      <c r="P71" s="88">
        <f t="shared" si="4"/>
        <v>36.1524</v>
      </c>
      <c r="Q71" s="83">
        <v>1</v>
      </c>
      <c r="R71" s="87">
        <f>Q71*P71</f>
        <v>36.1524</v>
      </c>
      <c r="S71" s="87">
        <v>1.0609999999999999</v>
      </c>
      <c r="T71" s="87">
        <f t="shared" si="18"/>
        <v>38.357696399999995</v>
      </c>
      <c r="U71" s="87">
        <v>1.5</v>
      </c>
      <c r="V71" s="87">
        <f t="shared" si="19"/>
        <v>57.536544599999992</v>
      </c>
      <c r="W71" s="13">
        <f t="shared" si="20"/>
        <v>19.178848199999997</v>
      </c>
      <c r="X71" s="87">
        <v>29.5</v>
      </c>
      <c r="Y71" s="13">
        <f t="shared" si="21"/>
        <v>1.9503913423728811</v>
      </c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</row>
    <row r="72" spans="1:76">
      <c r="A72" s="50"/>
      <c r="B72" s="86"/>
      <c r="C72" s="86"/>
      <c r="D72" s="86"/>
      <c r="E72" s="86"/>
      <c r="F72" s="83"/>
      <c r="G72" s="87"/>
      <c r="H72" s="83"/>
      <c r="I72" s="83"/>
      <c r="J72" s="105"/>
      <c r="K72" s="105"/>
      <c r="L72" s="88"/>
      <c r="M72" s="88"/>
      <c r="N72" s="83"/>
      <c r="O72" s="83"/>
      <c r="P72" s="88"/>
      <c r="Q72" s="83"/>
      <c r="R72" s="87"/>
      <c r="S72" s="87"/>
      <c r="T72" s="87"/>
      <c r="U72" s="87"/>
      <c r="V72" s="87"/>
      <c r="W72" s="24"/>
      <c r="X72" s="24"/>
      <c r="Y72" s="2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</row>
    <row r="73" spans="1:76" s="90" customFormat="1">
      <c r="A73" s="93" t="s">
        <v>188</v>
      </c>
      <c r="B73" s="86"/>
      <c r="C73" s="86"/>
      <c r="D73" s="86"/>
      <c r="E73" s="86"/>
      <c r="F73" s="83" t="s">
        <v>71</v>
      </c>
      <c r="G73" s="87">
        <v>13</v>
      </c>
      <c r="H73" s="83">
        <f>J2</f>
        <v>8.09</v>
      </c>
      <c r="I73" s="83">
        <f>S2</f>
        <v>1</v>
      </c>
      <c r="J73" s="88">
        <f t="shared" si="17"/>
        <v>22.09</v>
      </c>
      <c r="K73" s="88">
        <f>W2</f>
        <v>0.8</v>
      </c>
      <c r="L73" s="88">
        <f>AH8</f>
        <v>2.1</v>
      </c>
      <c r="M73" s="103">
        <f>U2</f>
        <v>0.8</v>
      </c>
      <c r="N73" s="87">
        <f>AF23</f>
        <v>0.87480000000000013</v>
      </c>
      <c r="O73" s="83">
        <f>AI33</f>
        <v>0.60000000000000009</v>
      </c>
      <c r="P73" s="88">
        <f>O73+N73+L73+K73+J73+M73</f>
        <v>27.264800000000001</v>
      </c>
      <c r="Q73" s="83">
        <v>1</v>
      </c>
      <c r="R73" s="87">
        <f>Q73*P73</f>
        <v>27.264800000000001</v>
      </c>
      <c r="S73" s="87">
        <v>1.0609999999999999</v>
      </c>
      <c r="T73" s="87">
        <f>S73*R73</f>
        <v>28.9279528</v>
      </c>
      <c r="U73" s="87">
        <v>1.5</v>
      </c>
      <c r="V73" s="87">
        <f>U73*T73</f>
        <v>43.3919292</v>
      </c>
      <c r="W73" s="96">
        <f>V73-T73</f>
        <v>14.4639764</v>
      </c>
      <c r="X73" s="87">
        <v>29.5</v>
      </c>
      <c r="Y73" s="96">
        <f>V73/X73</f>
        <v>1.4709128542372882</v>
      </c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</row>
    <row r="74" spans="1:76" s="90" customFormat="1">
      <c r="A74" s="93" t="s">
        <v>189</v>
      </c>
      <c r="B74" s="86"/>
      <c r="C74" s="86"/>
      <c r="D74" s="86"/>
      <c r="E74" s="86"/>
      <c r="F74" s="83" t="s">
        <v>71</v>
      </c>
      <c r="G74" s="83">
        <v>23</v>
      </c>
      <c r="H74" s="83">
        <f>J2</f>
        <v>8.09</v>
      </c>
      <c r="I74" s="83">
        <f>S2</f>
        <v>1</v>
      </c>
      <c r="J74" s="88">
        <f t="shared" si="17"/>
        <v>32.090000000000003</v>
      </c>
      <c r="K74" s="88">
        <f>W2</f>
        <v>0.8</v>
      </c>
      <c r="L74" s="88">
        <f>AH8</f>
        <v>2.1</v>
      </c>
      <c r="M74" s="103">
        <f>U2</f>
        <v>0.8</v>
      </c>
      <c r="N74" s="87">
        <f>AF23</f>
        <v>0.87480000000000013</v>
      </c>
      <c r="O74" s="83">
        <f>AI33</f>
        <v>0.60000000000000009</v>
      </c>
      <c r="P74" s="88">
        <f>O74+N74+L74+K74+J74+M74</f>
        <v>37.264800000000001</v>
      </c>
      <c r="Q74" s="83">
        <v>1</v>
      </c>
      <c r="R74" s="87">
        <f>Q74*P74</f>
        <v>37.264800000000001</v>
      </c>
      <c r="S74" s="87">
        <v>1.0609999999999999</v>
      </c>
      <c r="T74" s="87">
        <f>S74*R74</f>
        <v>39.537952799999999</v>
      </c>
      <c r="U74" s="87">
        <v>1.5</v>
      </c>
      <c r="V74" s="87">
        <f>U74*T74</f>
        <v>59.306929199999999</v>
      </c>
      <c r="W74" s="96">
        <f>V74-T74</f>
        <v>19.7689764</v>
      </c>
      <c r="X74" s="87">
        <v>29.5</v>
      </c>
      <c r="Y74" s="96">
        <f>V74/X74</f>
        <v>2.0104043796610167</v>
      </c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</row>
    <row r="75" spans="1:76" s="90" customFormat="1">
      <c r="A75" s="93" t="s">
        <v>190</v>
      </c>
      <c r="B75" s="86"/>
      <c r="C75" s="86"/>
      <c r="D75" s="86"/>
      <c r="E75" s="86"/>
      <c r="F75" s="83" t="s">
        <v>71</v>
      </c>
      <c r="G75" s="83">
        <v>25</v>
      </c>
      <c r="H75" s="83">
        <f>J2</f>
        <v>8.09</v>
      </c>
      <c r="I75" s="83">
        <f>S2</f>
        <v>1</v>
      </c>
      <c r="J75" s="88">
        <f t="shared" si="17"/>
        <v>34.090000000000003</v>
      </c>
      <c r="K75" s="88">
        <f>W2</f>
        <v>0.8</v>
      </c>
      <c r="L75" s="88">
        <f>AH8</f>
        <v>2.1</v>
      </c>
      <c r="M75" s="103">
        <f>U2</f>
        <v>0.8</v>
      </c>
      <c r="N75" s="87">
        <f>AG25</f>
        <v>1.3392000000000002</v>
      </c>
      <c r="O75" s="83">
        <f>AI34</f>
        <v>0.78</v>
      </c>
      <c r="P75" s="88">
        <f>O75+N75+L75+K75+J75+M75</f>
        <v>39.909199999999998</v>
      </c>
      <c r="Q75" s="83">
        <v>1</v>
      </c>
      <c r="R75" s="87">
        <f>Q75*P75</f>
        <v>39.909199999999998</v>
      </c>
      <c r="S75" s="87">
        <v>1.0609999999999999</v>
      </c>
      <c r="T75" s="87">
        <f>S75*R75</f>
        <v>42.343661199999993</v>
      </c>
      <c r="U75" s="87">
        <v>1.5</v>
      </c>
      <c r="V75" s="87">
        <f>U75*T75</f>
        <v>63.515491799999992</v>
      </c>
      <c r="W75" s="96">
        <f>V75-T75</f>
        <v>21.1718306</v>
      </c>
      <c r="X75" s="87">
        <v>29.5</v>
      </c>
      <c r="Y75" s="96">
        <f>V75/X75</f>
        <v>2.1530675186440678</v>
      </c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</row>
    <row r="76" spans="1:76" s="90" customFormat="1">
      <c r="A76" s="93" t="s">
        <v>250</v>
      </c>
      <c r="B76" s="86"/>
      <c r="C76" s="86"/>
      <c r="D76" s="86"/>
      <c r="E76" s="86"/>
      <c r="F76" s="83" t="s">
        <v>71</v>
      </c>
      <c r="G76" s="83">
        <v>25</v>
      </c>
      <c r="H76" s="83">
        <f>J2</f>
        <v>8.09</v>
      </c>
      <c r="I76" s="83">
        <f>S2</f>
        <v>1</v>
      </c>
      <c r="J76" s="88">
        <f t="shared" si="17"/>
        <v>34.090000000000003</v>
      </c>
      <c r="K76" s="88">
        <f>W2</f>
        <v>0.8</v>
      </c>
      <c r="L76" s="88">
        <f>AH8</f>
        <v>2.1</v>
      </c>
      <c r="M76" s="103">
        <f>U2</f>
        <v>0.8</v>
      </c>
      <c r="N76" s="87">
        <f>AG25</f>
        <v>1.3392000000000002</v>
      </c>
      <c r="O76" s="83">
        <f>AI34</f>
        <v>0.78</v>
      </c>
      <c r="P76" s="88">
        <f>O76+N76+L76+K76+J76+M76</f>
        <v>39.909199999999998</v>
      </c>
      <c r="Q76" s="83">
        <v>1</v>
      </c>
      <c r="R76" s="87">
        <f>Q76*P76</f>
        <v>39.909199999999998</v>
      </c>
      <c r="S76" s="87">
        <v>1.0609999999999999</v>
      </c>
      <c r="T76" s="87">
        <f>S76*R76</f>
        <v>42.343661199999993</v>
      </c>
      <c r="U76" s="87">
        <v>1.5</v>
      </c>
      <c r="V76" s="87">
        <f>U76*T76</f>
        <v>63.515491799999992</v>
      </c>
      <c r="W76" s="96">
        <f>V76-T76</f>
        <v>21.1718306</v>
      </c>
      <c r="X76" s="87">
        <v>29.5</v>
      </c>
      <c r="Y76" s="96">
        <f>V76/X76</f>
        <v>2.1530675186440678</v>
      </c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</row>
    <row r="77" spans="1:76" s="90" customFormat="1">
      <c r="A77" s="93" t="s">
        <v>251</v>
      </c>
      <c r="B77" s="86"/>
      <c r="C77" s="86"/>
      <c r="D77" s="86"/>
      <c r="E77" s="86"/>
      <c r="F77" s="83" t="s">
        <v>71</v>
      </c>
      <c r="G77" s="83">
        <v>33</v>
      </c>
      <c r="H77" s="83">
        <f>J2</f>
        <v>8.09</v>
      </c>
      <c r="I77" s="83">
        <f>S2</f>
        <v>1</v>
      </c>
      <c r="J77" s="88">
        <f t="shared" si="17"/>
        <v>42.09</v>
      </c>
      <c r="K77" s="88">
        <f>W2</f>
        <v>0.8</v>
      </c>
      <c r="L77" s="88">
        <f>AH8</f>
        <v>2.1</v>
      </c>
      <c r="M77" s="103">
        <f>U2</f>
        <v>0.8</v>
      </c>
      <c r="N77" s="87">
        <f>AG25</f>
        <v>1.3392000000000002</v>
      </c>
      <c r="O77" s="83">
        <f>AI34</f>
        <v>0.78</v>
      </c>
      <c r="P77" s="88">
        <f>O77+N77+L77+K77+J77+M77</f>
        <v>47.909199999999998</v>
      </c>
      <c r="Q77" s="83">
        <v>1</v>
      </c>
      <c r="R77" s="87">
        <f>Q77*P77</f>
        <v>47.909199999999998</v>
      </c>
      <c r="S77" s="87">
        <v>1.0609999999999999</v>
      </c>
      <c r="T77" s="87">
        <f>S77*R77</f>
        <v>50.831661199999992</v>
      </c>
      <c r="U77" s="87">
        <v>1.5</v>
      </c>
      <c r="V77" s="87">
        <f>U77*T77</f>
        <v>76.247491799999992</v>
      </c>
      <c r="W77" s="96">
        <f>V77-T77</f>
        <v>25.4158306</v>
      </c>
      <c r="X77" s="87">
        <v>29.5</v>
      </c>
      <c r="Y77" s="96">
        <f>V77/X77</f>
        <v>2.5846607389830507</v>
      </c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</row>
    <row r="78" spans="1:76" s="90" customFormat="1">
      <c r="A78" s="93"/>
      <c r="B78" s="86"/>
      <c r="C78" s="86"/>
      <c r="D78" s="86"/>
      <c r="E78" s="86"/>
      <c r="F78" s="83"/>
      <c r="G78" s="87"/>
      <c r="H78" s="83"/>
      <c r="I78" s="83"/>
      <c r="J78" s="105"/>
      <c r="K78" s="105"/>
      <c r="L78" s="88"/>
      <c r="M78" s="88"/>
      <c r="N78" s="83"/>
      <c r="O78" s="83"/>
      <c r="P78" s="88"/>
      <c r="Q78" s="83"/>
      <c r="R78" s="87"/>
      <c r="S78" s="87"/>
      <c r="T78" s="87"/>
      <c r="U78" s="87"/>
      <c r="V78" s="87"/>
      <c r="W78" s="96"/>
      <c r="X78" s="96"/>
      <c r="Y78" s="96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</row>
    <row r="79" spans="1:76">
      <c r="A79" s="50"/>
      <c r="B79" s="86"/>
      <c r="C79" s="86"/>
      <c r="D79" s="86"/>
      <c r="E79" s="86"/>
      <c r="F79" s="83"/>
      <c r="G79" s="87"/>
      <c r="H79" s="83"/>
      <c r="I79" s="83"/>
      <c r="J79" s="105"/>
      <c r="K79" s="105"/>
      <c r="L79" s="88"/>
      <c r="M79" s="88"/>
      <c r="N79" s="83"/>
      <c r="O79" s="83"/>
      <c r="P79" s="88"/>
      <c r="Q79" s="83"/>
      <c r="R79" s="87"/>
      <c r="S79" s="87"/>
      <c r="T79" s="87"/>
      <c r="U79" s="87"/>
      <c r="V79" s="87"/>
      <c r="W79" s="24"/>
      <c r="X79" s="24"/>
      <c r="Y79" s="2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</row>
    <row r="80" spans="1:76" ht="19.5">
      <c r="A80" s="54" t="s">
        <v>198</v>
      </c>
      <c r="B80" s="86"/>
      <c r="C80" s="86"/>
      <c r="D80" s="86"/>
      <c r="E80" s="86"/>
      <c r="F80" s="83" t="s">
        <v>207</v>
      </c>
      <c r="G80" s="83" t="s">
        <v>76</v>
      </c>
      <c r="H80" s="83" t="s">
        <v>77</v>
      </c>
      <c r="I80" s="83" t="s">
        <v>81</v>
      </c>
      <c r="J80" s="83" t="s">
        <v>83</v>
      </c>
      <c r="K80" s="83" t="s">
        <v>187</v>
      </c>
      <c r="L80" s="83" t="s">
        <v>267</v>
      </c>
      <c r="M80" s="83" t="s">
        <v>269</v>
      </c>
      <c r="N80" s="83" t="s">
        <v>84</v>
      </c>
      <c r="O80" s="83" t="s">
        <v>85</v>
      </c>
      <c r="P80" s="83" t="s">
        <v>272</v>
      </c>
      <c r="Q80" s="83" t="s">
        <v>107</v>
      </c>
      <c r="R80" s="83" t="s">
        <v>272</v>
      </c>
      <c r="S80" s="83" t="s">
        <v>87</v>
      </c>
      <c r="T80" s="83" t="s">
        <v>183</v>
      </c>
      <c r="U80" s="83" t="s">
        <v>88</v>
      </c>
      <c r="V80" s="83" t="s">
        <v>106</v>
      </c>
      <c r="W80" s="52" t="s">
        <v>89</v>
      </c>
      <c r="X80" s="52" t="s">
        <v>125</v>
      </c>
      <c r="Y80" s="52" t="s">
        <v>126</v>
      </c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</row>
    <row r="81" spans="1:78">
      <c r="A81" s="50" t="s">
        <v>208</v>
      </c>
      <c r="B81" s="86"/>
      <c r="C81" s="83" t="s">
        <v>67</v>
      </c>
      <c r="D81" s="86"/>
      <c r="E81" s="86"/>
      <c r="F81" s="83">
        <v>1.5</v>
      </c>
      <c r="G81" s="87">
        <v>2.35</v>
      </c>
      <c r="H81" s="83">
        <f>L2</f>
        <v>6.17</v>
      </c>
      <c r="I81" s="83">
        <f>S2</f>
        <v>1</v>
      </c>
      <c r="J81" s="88">
        <f t="shared" ref="J81:J90" si="22">I81+H81+G81+F81</f>
        <v>11.02</v>
      </c>
      <c r="K81" s="88">
        <f>W2</f>
        <v>0.8</v>
      </c>
      <c r="L81" s="88">
        <f>AH8</f>
        <v>2.1</v>
      </c>
      <c r="M81" s="103">
        <f>U2</f>
        <v>0.8</v>
      </c>
      <c r="N81" s="87">
        <f>AD23</f>
        <v>0.81</v>
      </c>
      <c r="O81" s="83">
        <f>AH32</f>
        <v>0.54</v>
      </c>
      <c r="P81" s="88">
        <f t="shared" ref="P81:P90" si="23">O81+N81+L81+K81+J81+M81</f>
        <v>16.07</v>
      </c>
      <c r="Q81" s="83">
        <v>1</v>
      </c>
      <c r="R81" s="87">
        <f t="shared" ref="R81:R90" si="24">Q81*P81</f>
        <v>16.07</v>
      </c>
      <c r="S81" s="83">
        <v>1.0609999999999999</v>
      </c>
      <c r="T81" s="87">
        <f>S81*R81</f>
        <v>17.050270000000001</v>
      </c>
      <c r="U81" s="83">
        <v>1.5</v>
      </c>
      <c r="V81" s="87">
        <f>U81*T81</f>
        <v>25.575405000000003</v>
      </c>
      <c r="W81" s="24">
        <f t="shared" ref="W81:W90" si="25">V81-T81</f>
        <v>8.5251350000000023</v>
      </c>
      <c r="X81" s="87">
        <v>29.5</v>
      </c>
      <c r="Y81" s="24">
        <f t="shared" ref="Y81:Y90" si="26">V81/X81</f>
        <v>0.86696288135593236</v>
      </c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</row>
    <row r="82" spans="1:78">
      <c r="A82" s="50" t="s">
        <v>199</v>
      </c>
      <c r="B82" s="86"/>
      <c r="C82" s="83" t="s">
        <v>67</v>
      </c>
      <c r="D82" s="86"/>
      <c r="E82" s="86"/>
      <c r="F82" s="83">
        <v>1.5</v>
      </c>
      <c r="G82" s="83">
        <v>3.53</v>
      </c>
      <c r="H82" s="83">
        <f>J2</f>
        <v>8.09</v>
      </c>
      <c r="I82" s="83">
        <f>S2</f>
        <v>1</v>
      </c>
      <c r="J82" s="88">
        <f t="shared" si="22"/>
        <v>14.12</v>
      </c>
      <c r="K82" s="88">
        <f>W2</f>
        <v>0.8</v>
      </c>
      <c r="L82" s="88">
        <f>AH8</f>
        <v>2.1</v>
      </c>
      <c r="M82" s="103">
        <f>U2</f>
        <v>0.8</v>
      </c>
      <c r="N82" s="87">
        <f>AE23</f>
        <v>0.85320000000000007</v>
      </c>
      <c r="O82" s="83">
        <f>AH32</f>
        <v>0.54</v>
      </c>
      <c r="P82" s="88">
        <f t="shared" si="23"/>
        <v>19.213200000000001</v>
      </c>
      <c r="Q82" s="83">
        <v>1</v>
      </c>
      <c r="R82" s="87">
        <f t="shared" si="24"/>
        <v>19.213200000000001</v>
      </c>
      <c r="S82" s="83">
        <v>1.0609999999999999</v>
      </c>
      <c r="T82" s="87">
        <f t="shared" ref="T82:T90" si="27">S82*R82</f>
        <v>20.385205199999998</v>
      </c>
      <c r="U82" s="83">
        <v>1.5</v>
      </c>
      <c r="V82" s="87">
        <f t="shared" ref="V82:V90" si="28">U82*T82</f>
        <v>30.577807799999995</v>
      </c>
      <c r="W82" s="24">
        <f t="shared" si="25"/>
        <v>10.192602599999997</v>
      </c>
      <c r="X82" s="87">
        <v>29.5</v>
      </c>
      <c r="Y82" s="24">
        <f t="shared" si="26"/>
        <v>1.0365358576271184</v>
      </c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</row>
    <row r="83" spans="1:78">
      <c r="A83" s="50" t="s">
        <v>200</v>
      </c>
      <c r="B83" s="86"/>
      <c r="C83" s="83" t="s">
        <v>71</v>
      </c>
      <c r="D83" s="86"/>
      <c r="E83" s="86"/>
      <c r="F83" s="83">
        <v>1.5</v>
      </c>
      <c r="G83" s="83">
        <v>4.75</v>
      </c>
      <c r="H83" s="83">
        <f>H2</f>
        <v>9.41</v>
      </c>
      <c r="I83" s="83">
        <f>S2</f>
        <v>1</v>
      </c>
      <c r="J83" s="88">
        <f t="shared" si="22"/>
        <v>16.66</v>
      </c>
      <c r="K83" s="88">
        <f>W2</f>
        <v>0.8</v>
      </c>
      <c r="L83" s="88">
        <f>AH8</f>
        <v>2.1</v>
      </c>
      <c r="M83" s="103">
        <f>U2</f>
        <v>0.8</v>
      </c>
      <c r="N83" s="87">
        <f>AF24</f>
        <v>0.99360000000000015</v>
      </c>
      <c r="O83" s="83">
        <f>AI33</f>
        <v>0.60000000000000009</v>
      </c>
      <c r="P83" s="88">
        <f t="shared" si="23"/>
        <v>21.953600000000002</v>
      </c>
      <c r="Q83" s="83">
        <v>1</v>
      </c>
      <c r="R83" s="87">
        <f t="shared" si="24"/>
        <v>21.953600000000002</v>
      </c>
      <c r="S83" s="83">
        <v>1.0609999999999999</v>
      </c>
      <c r="T83" s="87">
        <f t="shared" si="27"/>
        <v>23.2927696</v>
      </c>
      <c r="U83" s="83">
        <v>1.5</v>
      </c>
      <c r="V83" s="87">
        <f t="shared" si="28"/>
        <v>34.9391544</v>
      </c>
      <c r="W83" s="24">
        <f t="shared" si="25"/>
        <v>11.6463848</v>
      </c>
      <c r="X83" s="87">
        <v>29.5</v>
      </c>
      <c r="Y83" s="24">
        <f t="shared" si="26"/>
        <v>1.1843781152542372</v>
      </c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</row>
    <row r="84" spans="1:78">
      <c r="A84" s="50" t="s">
        <v>201</v>
      </c>
      <c r="B84" s="86"/>
      <c r="C84" s="83" t="s">
        <v>73</v>
      </c>
      <c r="D84" s="86"/>
      <c r="E84" s="86"/>
      <c r="F84" s="83">
        <v>1.5</v>
      </c>
      <c r="G84" s="83">
        <v>12.57</v>
      </c>
      <c r="H84" s="83">
        <f>D2</f>
        <v>10.88</v>
      </c>
      <c r="I84" s="83">
        <f>S2</f>
        <v>1</v>
      </c>
      <c r="J84" s="88">
        <f t="shared" si="22"/>
        <v>25.950000000000003</v>
      </c>
      <c r="K84" s="88">
        <f>W2</f>
        <v>0.8</v>
      </c>
      <c r="L84" s="88">
        <f>AH8</f>
        <v>2.1</v>
      </c>
      <c r="M84" s="103">
        <f>U2</f>
        <v>0.8</v>
      </c>
      <c r="N84" s="87">
        <f>AG25</f>
        <v>1.3392000000000002</v>
      </c>
      <c r="O84" s="83">
        <f>AI34</f>
        <v>0.78</v>
      </c>
      <c r="P84" s="88">
        <f t="shared" si="23"/>
        <v>31.769200000000005</v>
      </c>
      <c r="Q84" s="83">
        <v>1</v>
      </c>
      <c r="R84" s="87">
        <f t="shared" si="24"/>
        <v>31.769200000000005</v>
      </c>
      <c r="S84" s="83">
        <v>1.0609999999999999</v>
      </c>
      <c r="T84" s="87">
        <f t="shared" si="27"/>
        <v>33.707121200000003</v>
      </c>
      <c r="U84" s="83">
        <v>1.35</v>
      </c>
      <c r="V84" s="87">
        <f t="shared" si="28"/>
        <v>45.504613620000008</v>
      </c>
      <c r="W84" s="24">
        <f t="shared" si="25"/>
        <v>11.797492420000005</v>
      </c>
      <c r="X84" s="87">
        <v>29.5</v>
      </c>
      <c r="Y84" s="24">
        <f t="shared" si="26"/>
        <v>1.5425292752542374</v>
      </c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</row>
    <row r="85" spans="1:78">
      <c r="A85" s="50" t="s">
        <v>197</v>
      </c>
      <c r="B85" s="86"/>
      <c r="C85" s="83" t="s">
        <v>67</v>
      </c>
      <c r="D85" s="86"/>
      <c r="E85" s="86"/>
      <c r="F85" s="83">
        <v>1.5</v>
      </c>
      <c r="G85" s="83">
        <v>4.87</v>
      </c>
      <c r="H85" s="83">
        <f>L2</f>
        <v>6.17</v>
      </c>
      <c r="I85" s="83">
        <f>S2</f>
        <v>1</v>
      </c>
      <c r="J85" s="88">
        <f t="shared" si="22"/>
        <v>13.54</v>
      </c>
      <c r="K85" s="88">
        <f>W2</f>
        <v>0.8</v>
      </c>
      <c r="L85" s="88">
        <f>AH8</f>
        <v>2.1</v>
      </c>
      <c r="M85" s="103">
        <f>U2</f>
        <v>0.8</v>
      </c>
      <c r="N85" s="87">
        <f>AE23</f>
        <v>0.85320000000000007</v>
      </c>
      <c r="O85" s="83">
        <f>AH32</f>
        <v>0.54</v>
      </c>
      <c r="P85" s="88">
        <f t="shared" si="23"/>
        <v>18.633199999999999</v>
      </c>
      <c r="Q85" s="83">
        <v>1</v>
      </c>
      <c r="R85" s="87">
        <f t="shared" si="24"/>
        <v>18.633199999999999</v>
      </c>
      <c r="S85" s="83">
        <v>1.0609999999999999</v>
      </c>
      <c r="T85" s="87">
        <f t="shared" si="27"/>
        <v>19.769825199999996</v>
      </c>
      <c r="U85" s="83">
        <v>1.5</v>
      </c>
      <c r="V85" s="87">
        <f t="shared" si="28"/>
        <v>29.654737799999992</v>
      </c>
      <c r="W85" s="24">
        <f t="shared" si="25"/>
        <v>9.8849125999999963</v>
      </c>
      <c r="X85" s="87">
        <v>29.5</v>
      </c>
      <c r="Y85" s="24">
        <f t="shared" si="26"/>
        <v>1.0052453491525422</v>
      </c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</row>
    <row r="86" spans="1:78">
      <c r="A86" s="50" t="s">
        <v>202</v>
      </c>
      <c r="B86" s="86"/>
      <c r="C86" s="83" t="s">
        <v>67</v>
      </c>
      <c r="D86" s="86"/>
      <c r="E86" s="86"/>
      <c r="F86" s="83">
        <v>1.5</v>
      </c>
      <c r="G86" s="83">
        <v>4</v>
      </c>
      <c r="H86" s="83">
        <f>L2</f>
        <v>6.17</v>
      </c>
      <c r="I86" s="83">
        <f>S2</f>
        <v>1</v>
      </c>
      <c r="J86" s="88">
        <f t="shared" si="22"/>
        <v>12.67</v>
      </c>
      <c r="K86" s="88">
        <f>W2</f>
        <v>0.8</v>
      </c>
      <c r="L86" s="88">
        <f>AH8</f>
        <v>2.1</v>
      </c>
      <c r="M86" s="103">
        <f>U2</f>
        <v>0.8</v>
      </c>
      <c r="N86" s="87">
        <f>AE23</f>
        <v>0.85320000000000007</v>
      </c>
      <c r="O86" s="83">
        <f>AH32</f>
        <v>0.54</v>
      </c>
      <c r="P86" s="88">
        <f t="shared" si="23"/>
        <v>17.763200000000001</v>
      </c>
      <c r="Q86" s="83">
        <v>1</v>
      </c>
      <c r="R86" s="87">
        <f t="shared" si="24"/>
        <v>17.763200000000001</v>
      </c>
      <c r="S86" s="83">
        <v>1.0609999999999999</v>
      </c>
      <c r="T86" s="87">
        <f t="shared" si="27"/>
        <v>18.8467552</v>
      </c>
      <c r="U86" s="83">
        <v>1.5</v>
      </c>
      <c r="V86" s="87">
        <f t="shared" si="28"/>
        <v>28.270132799999999</v>
      </c>
      <c r="W86" s="24">
        <f t="shared" si="25"/>
        <v>9.4233775999999985</v>
      </c>
      <c r="X86" s="87">
        <v>29.5</v>
      </c>
      <c r="Y86" s="24">
        <f t="shared" si="26"/>
        <v>0.95830958644067799</v>
      </c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</row>
    <row r="87" spans="1:78">
      <c r="A87" s="50" t="s">
        <v>203</v>
      </c>
      <c r="B87" s="86"/>
      <c r="C87" s="83" t="s">
        <v>67</v>
      </c>
      <c r="D87" s="86"/>
      <c r="E87" s="86"/>
      <c r="F87" s="83">
        <v>1.5</v>
      </c>
      <c r="G87" s="83">
        <v>4.37</v>
      </c>
      <c r="H87" s="83">
        <f>L2</f>
        <v>6.17</v>
      </c>
      <c r="I87" s="83">
        <f>S2</f>
        <v>1</v>
      </c>
      <c r="J87" s="88">
        <f t="shared" si="22"/>
        <v>13.04</v>
      </c>
      <c r="K87" s="88">
        <f>W2</f>
        <v>0.8</v>
      </c>
      <c r="L87" s="88">
        <f>AH8</f>
        <v>2.1</v>
      </c>
      <c r="M87" s="103">
        <f>U2</f>
        <v>0.8</v>
      </c>
      <c r="N87" s="87">
        <f>AF23</f>
        <v>0.87480000000000013</v>
      </c>
      <c r="O87" s="83">
        <f>AI32</f>
        <v>0.60000000000000009</v>
      </c>
      <c r="P87" s="88">
        <f t="shared" si="23"/>
        <v>18.2148</v>
      </c>
      <c r="Q87" s="83">
        <v>1</v>
      </c>
      <c r="R87" s="87">
        <f t="shared" si="24"/>
        <v>18.2148</v>
      </c>
      <c r="S87" s="83">
        <v>1.0609999999999999</v>
      </c>
      <c r="T87" s="87">
        <f t="shared" si="27"/>
        <v>19.325902799999998</v>
      </c>
      <c r="U87" s="83">
        <v>1.5</v>
      </c>
      <c r="V87" s="87">
        <f t="shared" si="28"/>
        <v>28.988854199999999</v>
      </c>
      <c r="W87" s="24">
        <f t="shared" si="25"/>
        <v>9.6629514000000007</v>
      </c>
      <c r="X87" s="87">
        <v>29.5</v>
      </c>
      <c r="Y87" s="24">
        <f t="shared" si="26"/>
        <v>0.98267302372881349</v>
      </c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</row>
    <row r="88" spans="1:78">
      <c r="A88" s="50" t="s">
        <v>204</v>
      </c>
      <c r="B88" s="86"/>
      <c r="C88" s="83" t="s">
        <v>71</v>
      </c>
      <c r="D88" s="86"/>
      <c r="E88" s="86"/>
      <c r="F88" s="83">
        <v>1.5</v>
      </c>
      <c r="G88" s="83">
        <v>4.38</v>
      </c>
      <c r="H88" s="83">
        <f>J2</f>
        <v>8.09</v>
      </c>
      <c r="I88" s="83">
        <f>S2</f>
        <v>1</v>
      </c>
      <c r="J88" s="88">
        <f t="shared" si="22"/>
        <v>14.969999999999999</v>
      </c>
      <c r="K88" s="88">
        <f>W2</f>
        <v>0.8</v>
      </c>
      <c r="L88" s="88">
        <f>AH8</f>
        <v>2.1</v>
      </c>
      <c r="M88" s="103">
        <f>U2</f>
        <v>0.8</v>
      </c>
      <c r="N88" s="87">
        <f>AG24</f>
        <v>1.0908</v>
      </c>
      <c r="O88" s="83">
        <f>AI33</f>
        <v>0.60000000000000009</v>
      </c>
      <c r="P88" s="88">
        <f t="shared" si="23"/>
        <v>20.360800000000001</v>
      </c>
      <c r="Q88" s="83">
        <v>1</v>
      </c>
      <c r="R88" s="87">
        <f t="shared" si="24"/>
        <v>20.360800000000001</v>
      </c>
      <c r="S88" s="83">
        <v>1.0609999999999999</v>
      </c>
      <c r="T88" s="87">
        <f t="shared" si="27"/>
        <v>21.602808799999998</v>
      </c>
      <c r="U88" s="83">
        <v>1.5</v>
      </c>
      <c r="V88" s="87">
        <f t="shared" si="28"/>
        <v>32.404213200000001</v>
      </c>
      <c r="W88" s="24">
        <f t="shared" si="25"/>
        <v>10.801404400000003</v>
      </c>
      <c r="X88" s="87">
        <v>29.5</v>
      </c>
      <c r="Y88" s="24">
        <f t="shared" si="26"/>
        <v>1.0984479050847458</v>
      </c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</row>
    <row r="89" spans="1:78">
      <c r="A89" s="50" t="s">
        <v>205</v>
      </c>
      <c r="B89" s="86"/>
      <c r="C89" s="83" t="s">
        <v>71</v>
      </c>
      <c r="D89" s="86"/>
      <c r="E89" s="86"/>
      <c r="F89" s="83">
        <v>1.5</v>
      </c>
      <c r="G89" s="83">
        <v>6.06</v>
      </c>
      <c r="H89" s="83">
        <f>H2</f>
        <v>9.41</v>
      </c>
      <c r="I89" s="83">
        <f>S2</f>
        <v>1</v>
      </c>
      <c r="J89" s="88">
        <f t="shared" si="22"/>
        <v>17.97</v>
      </c>
      <c r="K89" s="88">
        <f>W2</f>
        <v>0.8</v>
      </c>
      <c r="L89" s="88">
        <f>AH8</f>
        <v>2.1</v>
      </c>
      <c r="M89" s="103">
        <f>U2</f>
        <v>0.8</v>
      </c>
      <c r="N89" s="87">
        <f>AG25</f>
        <v>1.3392000000000002</v>
      </c>
      <c r="O89" s="83">
        <f>AI33</f>
        <v>0.60000000000000009</v>
      </c>
      <c r="P89" s="88">
        <f t="shared" si="23"/>
        <v>23.609199999999998</v>
      </c>
      <c r="Q89" s="83">
        <v>1</v>
      </c>
      <c r="R89" s="87">
        <f t="shared" si="24"/>
        <v>23.609199999999998</v>
      </c>
      <c r="S89" s="83">
        <v>1.0609999999999999</v>
      </c>
      <c r="T89" s="87">
        <f t="shared" si="27"/>
        <v>25.049361199999996</v>
      </c>
      <c r="U89" s="83">
        <v>1.5</v>
      </c>
      <c r="V89" s="87">
        <f t="shared" si="28"/>
        <v>37.574041799999996</v>
      </c>
      <c r="W89" s="24">
        <f t="shared" si="25"/>
        <v>12.5246806</v>
      </c>
      <c r="X89" s="87">
        <v>29.5</v>
      </c>
      <c r="Y89" s="24">
        <f t="shared" si="26"/>
        <v>1.2736963322033896</v>
      </c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</row>
    <row r="90" spans="1:78">
      <c r="A90" s="50" t="s">
        <v>206</v>
      </c>
      <c r="B90" s="86"/>
      <c r="C90" s="83" t="s">
        <v>73</v>
      </c>
      <c r="D90" s="86"/>
      <c r="E90" s="86"/>
      <c r="F90" s="83">
        <v>1.5</v>
      </c>
      <c r="G90" s="83">
        <v>13.92</v>
      </c>
      <c r="H90" s="83">
        <f>D2</f>
        <v>10.88</v>
      </c>
      <c r="I90" s="83">
        <f>S2</f>
        <v>1</v>
      </c>
      <c r="J90" s="88">
        <f t="shared" si="22"/>
        <v>27.3</v>
      </c>
      <c r="K90" s="88">
        <f>W2</f>
        <v>0.8</v>
      </c>
      <c r="L90" s="88">
        <f>AH8</f>
        <v>2.1</v>
      </c>
      <c r="M90" s="103">
        <f>U2</f>
        <v>0.8</v>
      </c>
      <c r="N90" s="87">
        <f>AH25</f>
        <v>1.3824000000000001</v>
      </c>
      <c r="O90" s="83">
        <f>AI34</f>
        <v>0.78</v>
      </c>
      <c r="P90" s="88">
        <f t="shared" si="23"/>
        <v>33.162399999999998</v>
      </c>
      <c r="Q90" s="83">
        <v>1</v>
      </c>
      <c r="R90" s="87">
        <f t="shared" si="24"/>
        <v>33.162399999999998</v>
      </c>
      <c r="S90" s="83">
        <v>1.0609999999999999</v>
      </c>
      <c r="T90" s="87">
        <f t="shared" si="27"/>
        <v>35.185306399999995</v>
      </c>
      <c r="U90" s="83">
        <v>1.35</v>
      </c>
      <c r="V90" s="87">
        <f t="shared" si="28"/>
        <v>47.500163639999997</v>
      </c>
      <c r="W90" s="24">
        <f t="shared" si="25"/>
        <v>12.314857240000002</v>
      </c>
      <c r="X90" s="87">
        <v>29.5</v>
      </c>
      <c r="Y90" s="24">
        <f t="shared" si="26"/>
        <v>1.6101750386440676</v>
      </c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</row>
    <row r="91" spans="1:78">
      <c r="A91" s="50"/>
      <c r="B91" s="86"/>
      <c r="C91" s="86"/>
      <c r="D91" s="86"/>
      <c r="E91" s="86"/>
      <c r="F91" s="83"/>
      <c r="G91" s="87"/>
      <c r="H91" s="83"/>
      <c r="I91" s="83"/>
      <c r="J91" s="105"/>
      <c r="K91" s="105"/>
      <c r="L91" s="88"/>
      <c r="M91" s="88"/>
      <c r="N91" s="83"/>
      <c r="O91" s="83"/>
      <c r="P91" s="88"/>
      <c r="Q91" s="83"/>
      <c r="R91" s="87"/>
      <c r="S91" s="87"/>
      <c r="T91" s="87"/>
      <c r="U91" s="87"/>
      <c r="V91" s="87"/>
      <c r="W91" s="24"/>
      <c r="X91" s="24"/>
      <c r="Y91" s="2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</row>
    <row r="92" spans="1:78" s="108" customFormat="1" ht="21">
      <c r="A92" s="39" t="s">
        <v>287</v>
      </c>
      <c r="B92" s="86"/>
      <c r="C92" s="86"/>
      <c r="D92" s="86"/>
      <c r="E92" s="86"/>
      <c r="F92" s="83"/>
      <c r="G92" s="87"/>
      <c r="H92" s="83"/>
      <c r="I92" s="83"/>
      <c r="J92" s="105"/>
      <c r="K92" s="105"/>
      <c r="L92" s="88"/>
      <c r="M92" s="88"/>
      <c r="N92" s="83"/>
      <c r="O92" s="83"/>
      <c r="P92" s="88"/>
      <c r="Q92" s="83"/>
      <c r="R92" s="87"/>
      <c r="S92" s="87"/>
      <c r="T92" s="87"/>
      <c r="U92" s="87"/>
      <c r="V92" s="87"/>
      <c r="W92" s="96"/>
      <c r="X92" s="96"/>
      <c r="Y92" s="96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5"/>
      <c r="BP92" s="95"/>
      <c r="BQ92" s="95"/>
      <c r="BR92" s="95"/>
      <c r="BS92" s="95"/>
      <c r="BT92" s="95"/>
      <c r="BU92" s="95"/>
      <c r="BV92" s="95"/>
      <c r="BW92" s="95"/>
      <c r="BX92" s="95"/>
    </row>
    <row r="93" spans="1:78" s="108" customFormat="1">
      <c r="A93" s="93" t="s">
        <v>287</v>
      </c>
      <c r="B93" s="86"/>
      <c r="C93" s="86"/>
      <c r="D93" s="86"/>
      <c r="E93" s="86"/>
      <c r="F93" s="83"/>
      <c r="G93" s="87" t="s">
        <v>243</v>
      </c>
      <c r="H93" s="83" t="s">
        <v>244</v>
      </c>
      <c r="I93" s="83" t="s">
        <v>245</v>
      </c>
      <c r="J93" s="105" t="s">
        <v>246</v>
      </c>
      <c r="K93" s="83" t="s">
        <v>187</v>
      </c>
      <c r="L93" s="83" t="s">
        <v>182</v>
      </c>
      <c r="M93" s="105" t="s">
        <v>292</v>
      </c>
      <c r="N93" s="88" t="s">
        <v>176</v>
      </c>
      <c r="O93" s="88" t="s">
        <v>177</v>
      </c>
      <c r="P93" s="83" t="s">
        <v>293</v>
      </c>
      <c r="Q93" s="83" t="s">
        <v>117</v>
      </c>
      <c r="R93" s="88" t="s">
        <v>293</v>
      </c>
      <c r="S93" s="83" t="s">
        <v>178</v>
      </c>
      <c r="T93" s="87" t="s">
        <v>247</v>
      </c>
      <c r="U93" s="87" t="s">
        <v>179</v>
      </c>
      <c r="V93" s="87" t="s">
        <v>248</v>
      </c>
      <c r="W93" s="87" t="s">
        <v>181</v>
      </c>
      <c r="X93" s="87" t="s">
        <v>180</v>
      </c>
      <c r="Y93" s="96" t="s">
        <v>249</v>
      </c>
      <c r="Z93" s="96"/>
      <c r="AA93" s="96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</row>
    <row r="94" spans="1:78" s="108" customFormat="1">
      <c r="A94" s="93" t="s">
        <v>288</v>
      </c>
      <c r="B94" s="86"/>
      <c r="C94" s="86"/>
      <c r="D94" s="86"/>
      <c r="E94" s="86"/>
      <c r="F94" s="83"/>
      <c r="G94" s="87">
        <v>115</v>
      </c>
      <c r="H94" s="83">
        <f>H2</f>
        <v>9.41</v>
      </c>
      <c r="I94" s="83">
        <v>1.5</v>
      </c>
      <c r="J94" s="105">
        <f>I94+H94+G94</f>
        <v>125.91</v>
      </c>
      <c r="K94" s="105">
        <f>W2</f>
        <v>0.8</v>
      </c>
      <c r="L94" s="105">
        <f>AH8</f>
        <v>2.1</v>
      </c>
      <c r="M94" s="105">
        <v>0.8</v>
      </c>
      <c r="N94" s="88">
        <v>1.0476000000000001</v>
      </c>
      <c r="O94" s="88">
        <v>0.57000000000000006</v>
      </c>
      <c r="P94" s="105">
        <f>O94+N94+M94+L94+K94+J94</f>
        <v>131.2276</v>
      </c>
      <c r="Q94" s="83">
        <v>1</v>
      </c>
      <c r="R94" s="88">
        <f>Q94*P94</f>
        <v>131.2276</v>
      </c>
      <c r="S94" s="83">
        <v>1.0609999999999999</v>
      </c>
      <c r="T94" s="87">
        <f>S94*R94</f>
        <v>139.23248359999999</v>
      </c>
      <c r="U94" s="87">
        <v>1.3</v>
      </c>
      <c r="V94" s="87">
        <f>U94*T94</f>
        <v>181.00222868</v>
      </c>
      <c r="W94" s="87">
        <f>V94-T94</f>
        <v>41.769745080000007</v>
      </c>
      <c r="X94" s="87">
        <v>29.5</v>
      </c>
      <c r="Y94" s="96">
        <f>V94/X94</f>
        <v>6.1356687688135594</v>
      </c>
      <c r="Z94" s="96"/>
      <c r="AA94" s="96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/>
      <c r="BZ94" s="95"/>
    </row>
    <row r="95" spans="1:78" s="108" customFormat="1">
      <c r="A95" s="93" t="s">
        <v>289</v>
      </c>
      <c r="B95" s="86"/>
      <c r="C95" s="86"/>
      <c r="D95" s="86"/>
      <c r="E95" s="86"/>
      <c r="F95" s="83"/>
      <c r="G95" s="87">
        <v>140</v>
      </c>
      <c r="H95" s="83">
        <f>H2</f>
        <v>9.41</v>
      </c>
      <c r="I95" s="83">
        <v>1.5</v>
      </c>
      <c r="J95" s="105">
        <f>I95+H95+G95</f>
        <v>150.91</v>
      </c>
      <c r="K95" s="105">
        <f>W2</f>
        <v>0.8</v>
      </c>
      <c r="L95" s="105">
        <f>AH8</f>
        <v>2.1</v>
      </c>
      <c r="M95" s="105">
        <v>0.8</v>
      </c>
      <c r="N95" s="88">
        <v>1.0476000000000001</v>
      </c>
      <c r="O95" s="88">
        <v>0.57000000000000006</v>
      </c>
      <c r="P95" s="105">
        <f>O95+N95+M95+L95+K95+J95</f>
        <v>156.2276</v>
      </c>
      <c r="Q95" s="83">
        <v>1</v>
      </c>
      <c r="R95" s="88">
        <f>Q95*P95</f>
        <v>156.2276</v>
      </c>
      <c r="S95" s="83">
        <v>1.0609999999999999</v>
      </c>
      <c r="T95" s="87">
        <f>S95*R95</f>
        <v>165.75748359999997</v>
      </c>
      <c r="U95" s="87">
        <v>1.3</v>
      </c>
      <c r="V95" s="87">
        <f>U95*T95</f>
        <v>215.48472867999996</v>
      </c>
      <c r="W95" s="87">
        <f>V95-T95</f>
        <v>49.727245079999989</v>
      </c>
      <c r="X95" s="87">
        <v>29.5</v>
      </c>
      <c r="Y95" s="96">
        <f>V95/X95</f>
        <v>7.304567073898304</v>
      </c>
      <c r="Z95" s="96"/>
      <c r="AA95" s="96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5"/>
      <c r="BP95" s="95"/>
      <c r="BQ95" s="95"/>
      <c r="BR95" s="95"/>
      <c r="BS95" s="95"/>
      <c r="BT95" s="95"/>
      <c r="BU95" s="95"/>
      <c r="BV95" s="95"/>
      <c r="BW95" s="95"/>
      <c r="BX95" s="95"/>
      <c r="BY95" s="95"/>
      <c r="BZ95" s="95"/>
    </row>
    <row r="96" spans="1:78" s="108" customFormat="1">
      <c r="A96" s="93"/>
      <c r="B96" s="86"/>
      <c r="C96" s="86"/>
      <c r="D96" s="86"/>
      <c r="E96" s="86"/>
      <c r="F96" s="83"/>
      <c r="G96" s="87"/>
      <c r="H96" s="83"/>
      <c r="I96" s="83"/>
      <c r="J96" s="105"/>
      <c r="K96" s="105"/>
      <c r="L96" s="105"/>
      <c r="M96" s="105"/>
      <c r="N96" s="88"/>
      <c r="O96" s="88"/>
      <c r="P96" s="83"/>
      <c r="Q96" s="83"/>
      <c r="R96" s="88"/>
      <c r="S96" s="83"/>
      <c r="T96" s="87"/>
      <c r="U96" s="87"/>
      <c r="V96" s="87"/>
      <c r="W96" s="87"/>
      <c r="X96" s="87"/>
      <c r="Y96" s="96"/>
      <c r="Z96" s="96"/>
      <c r="AA96" s="96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5"/>
      <c r="BP96" s="95"/>
      <c r="BQ96" s="95"/>
      <c r="BR96" s="95"/>
      <c r="BS96" s="95"/>
      <c r="BT96" s="95"/>
      <c r="BU96" s="95"/>
      <c r="BV96" s="95"/>
      <c r="BW96" s="95"/>
      <c r="BX96" s="95"/>
      <c r="BY96" s="95"/>
      <c r="BZ96" s="95"/>
    </row>
    <row r="97" spans="1:78" s="108" customFormat="1">
      <c r="A97" s="93" t="s">
        <v>290</v>
      </c>
      <c r="B97" s="86"/>
      <c r="C97" s="86"/>
      <c r="D97" s="86"/>
      <c r="E97" s="86"/>
      <c r="F97" s="83"/>
      <c r="G97" s="87">
        <v>145</v>
      </c>
      <c r="H97" s="83">
        <f>H2</f>
        <v>9.41</v>
      </c>
      <c r="I97" s="83">
        <v>1.5</v>
      </c>
      <c r="J97" s="105">
        <f>I97+H97+G97</f>
        <v>155.91</v>
      </c>
      <c r="K97" s="105">
        <f>W2</f>
        <v>0.8</v>
      </c>
      <c r="L97" s="105">
        <f>AH8</f>
        <v>2.1</v>
      </c>
      <c r="M97" s="105">
        <v>0.8</v>
      </c>
      <c r="N97" s="88">
        <v>1.1232000000000002</v>
      </c>
      <c r="O97" s="88">
        <v>0.75</v>
      </c>
      <c r="P97" s="105">
        <f>O97+N97+M97+L97+K97+J97</f>
        <v>161.48320000000001</v>
      </c>
      <c r="Q97" s="83">
        <v>1</v>
      </c>
      <c r="R97" s="88">
        <f>Q97*P97</f>
        <v>161.48320000000001</v>
      </c>
      <c r="S97" s="83">
        <v>1.0609999999999999</v>
      </c>
      <c r="T97" s="87">
        <f>S97*R97</f>
        <v>171.33367520000002</v>
      </c>
      <c r="U97" s="87">
        <v>1.25</v>
      </c>
      <c r="V97" s="87">
        <f>U97*T97</f>
        <v>214.16709400000002</v>
      </c>
      <c r="W97" s="87">
        <f>V97-T97</f>
        <v>42.833418800000004</v>
      </c>
      <c r="X97" s="87">
        <v>29.5</v>
      </c>
      <c r="Y97" s="96">
        <f>V97/X97</f>
        <v>7.2599014915254241</v>
      </c>
      <c r="Z97" s="96"/>
      <c r="AA97" s="96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5"/>
      <c r="BP97" s="95"/>
      <c r="BQ97" s="95"/>
      <c r="BR97" s="95"/>
      <c r="BS97" s="95"/>
      <c r="BT97" s="95"/>
      <c r="BU97" s="95"/>
      <c r="BV97" s="95"/>
      <c r="BW97" s="95"/>
      <c r="BX97" s="95"/>
      <c r="BY97" s="95"/>
      <c r="BZ97" s="95"/>
    </row>
    <row r="98" spans="1:78" s="108" customFormat="1">
      <c r="A98" s="93" t="s">
        <v>291</v>
      </c>
      <c r="B98" s="86"/>
      <c r="C98" s="86"/>
      <c r="D98" s="86"/>
      <c r="E98" s="86"/>
      <c r="F98" s="83"/>
      <c r="G98" s="87">
        <v>175</v>
      </c>
      <c r="H98" s="83">
        <f>H2</f>
        <v>9.41</v>
      </c>
      <c r="I98" s="83">
        <v>1.5</v>
      </c>
      <c r="J98" s="105">
        <f>I98+H98+G98</f>
        <v>185.91</v>
      </c>
      <c r="K98" s="105">
        <f>W2</f>
        <v>0.8</v>
      </c>
      <c r="L98" s="105">
        <f>AH8</f>
        <v>2.1</v>
      </c>
      <c r="M98" s="105">
        <v>0.8</v>
      </c>
      <c r="N98" s="88">
        <v>1.1232000000000002</v>
      </c>
      <c r="O98" s="88">
        <v>0.75</v>
      </c>
      <c r="P98" s="105">
        <f>O98+N98+M98+L98+K98+J98</f>
        <v>191.48320000000001</v>
      </c>
      <c r="Q98" s="83">
        <v>1</v>
      </c>
      <c r="R98" s="88">
        <f>Q98*P98</f>
        <v>191.48320000000001</v>
      </c>
      <c r="S98" s="83">
        <v>1.0609999999999999</v>
      </c>
      <c r="T98" s="87">
        <f>S98*R98</f>
        <v>203.1636752</v>
      </c>
      <c r="U98" s="87">
        <v>1.25</v>
      </c>
      <c r="V98" s="87">
        <f>U98*T98</f>
        <v>253.95459399999999</v>
      </c>
      <c r="W98" s="87">
        <f>V98-T98</f>
        <v>50.790918799999986</v>
      </c>
      <c r="X98" s="87">
        <v>29.5</v>
      </c>
      <c r="Y98" s="96">
        <f>V98/X98</f>
        <v>8.6086303050847448</v>
      </c>
      <c r="Z98" s="96"/>
      <c r="AA98" s="96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5"/>
      <c r="BP98" s="95"/>
      <c r="BQ98" s="95"/>
      <c r="BR98" s="95"/>
      <c r="BS98" s="95"/>
      <c r="BT98" s="95"/>
      <c r="BU98" s="95"/>
      <c r="BV98" s="95"/>
      <c r="BW98" s="95"/>
      <c r="BX98" s="95"/>
      <c r="BY98" s="95"/>
      <c r="BZ98" s="95"/>
    </row>
    <row r="99" spans="1:78" s="108" customFormat="1">
      <c r="A99" s="93"/>
      <c r="B99" s="86"/>
      <c r="C99" s="86"/>
      <c r="D99" s="86"/>
      <c r="E99" s="86"/>
      <c r="F99" s="83"/>
      <c r="G99" s="87"/>
      <c r="H99" s="83"/>
      <c r="I99" s="83"/>
      <c r="J99" s="105"/>
      <c r="K99" s="105"/>
      <c r="L99" s="105"/>
      <c r="M99" s="105"/>
      <c r="N99" s="88"/>
      <c r="O99" s="88"/>
      <c r="P99" s="83"/>
      <c r="Q99" s="83"/>
      <c r="R99" s="88"/>
      <c r="S99" s="83"/>
      <c r="T99" s="87"/>
      <c r="U99" s="87"/>
      <c r="V99" s="87"/>
      <c r="W99" s="87"/>
      <c r="X99" s="87"/>
      <c r="Y99" s="96"/>
      <c r="Z99" s="96"/>
      <c r="AA99" s="96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5"/>
      <c r="BP99" s="95"/>
      <c r="BQ99" s="95"/>
      <c r="BR99" s="95"/>
      <c r="BS99" s="95"/>
      <c r="BT99" s="95"/>
      <c r="BU99" s="95"/>
      <c r="BV99" s="95"/>
      <c r="BW99" s="95"/>
      <c r="BX99" s="95"/>
      <c r="BY99" s="95"/>
      <c r="BZ99" s="95"/>
    </row>
    <row r="100" spans="1:78" s="108" customFormat="1">
      <c r="A100" s="93"/>
      <c r="B100" s="86"/>
      <c r="C100" s="86"/>
      <c r="D100" s="86"/>
      <c r="E100" s="86"/>
      <c r="F100" s="83"/>
      <c r="G100" s="87"/>
      <c r="H100" s="83"/>
      <c r="I100" s="83"/>
      <c r="J100" s="105"/>
      <c r="K100" s="105"/>
      <c r="L100" s="88"/>
      <c r="M100" s="88"/>
      <c r="N100" s="83"/>
      <c r="O100" s="83"/>
      <c r="P100" s="88"/>
      <c r="Q100" s="83"/>
      <c r="R100" s="87"/>
      <c r="S100" s="87"/>
      <c r="T100" s="87"/>
      <c r="U100" s="87"/>
      <c r="V100" s="87"/>
      <c r="W100" s="96"/>
      <c r="X100" s="96"/>
      <c r="Y100" s="96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</row>
    <row r="101" spans="1:78" s="108" customFormat="1">
      <c r="A101" s="93"/>
      <c r="B101" s="86"/>
      <c r="C101" s="86"/>
      <c r="D101" s="86"/>
      <c r="E101" s="86"/>
      <c r="F101" s="83"/>
      <c r="G101" s="87"/>
      <c r="H101" s="83"/>
      <c r="I101" s="83"/>
      <c r="J101" s="105"/>
      <c r="K101" s="105"/>
      <c r="L101" s="88"/>
      <c r="M101" s="88"/>
      <c r="N101" s="83"/>
      <c r="O101" s="83"/>
      <c r="P101" s="88"/>
      <c r="Q101" s="83"/>
      <c r="R101" s="87"/>
      <c r="S101" s="87"/>
      <c r="T101" s="87"/>
      <c r="U101" s="87"/>
      <c r="V101" s="87"/>
      <c r="W101" s="96"/>
      <c r="X101" s="96"/>
      <c r="Y101" s="96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</row>
    <row r="102" spans="1:78" s="108" customFormat="1" ht="21">
      <c r="A102" s="39" t="s">
        <v>316</v>
      </c>
      <c r="E102" s="95" t="s">
        <v>320</v>
      </c>
      <c r="F102" s="95" t="s">
        <v>321</v>
      </c>
      <c r="G102" s="95" t="s">
        <v>322</v>
      </c>
      <c r="H102" s="95" t="s">
        <v>77</v>
      </c>
      <c r="I102" s="95" t="s">
        <v>81</v>
      </c>
      <c r="J102" s="95" t="s">
        <v>83</v>
      </c>
      <c r="K102" s="83" t="s">
        <v>187</v>
      </c>
      <c r="L102" s="83" t="s">
        <v>182</v>
      </c>
      <c r="M102" s="95" t="s">
        <v>268</v>
      </c>
      <c r="N102" s="95" t="s">
        <v>84</v>
      </c>
      <c r="O102" s="95" t="s">
        <v>85</v>
      </c>
      <c r="P102" s="95" t="s">
        <v>272</v>
      </c>
      <c r="Q102" s="95" t="s">
        <v>107</v>
      </c>
      <c r="R102" s="95" t="s">
        <v>272</v>
      </c>
      <c r="S102" s="95" t="s">
        <v>87</v>
      </c>
      <c r="T102" s="83" t="s">
        <v>183</v>
      </c>
      <c r="U102" s="95" t="s">
        <v>88</v>
      </c>
      <c r="V102" s="95" t="s">
        <v>184</v>
      </c>
      <c r="W102" s="95" t="s">
        <v>89</v>
      </c>
      <c r="X102" s="95" t="s">
        <v>125</v>
      </c>
      <c r="Y102" s="95" t="s">
        <v>126</v>
      </c>
      <c r="Z102" s="96"/>
      <c r="AA102" s="96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5"/>
      <c r="BP102" s="95"/>
      <c r="BQ102" s="95"/>
      <c r="BR102" s="95"/>
      <c r="BS102" s="95"/>
      <c r="BT102" s="95"/>
      <c r="BU102" s="95"/>
      <c r="BV102" s="95"/>
      <c r="BW102" s="95"/>
      <c r="BX102" s="95"/>
      <c r="BY102" s="95"/>
      <c r="BZ102" s="95"/>
    </row>
    <row r="103" spans="1:78" s="108" customFormat="1">
      <c r="A103" s="108" t="s">
        <v>317</v>
      </c>
      <c r="E103" s="95">
        <v>11.98</v>
      </c>
      <c r="F103" s="95">
        <v>4.66</v>
      </c>
      <c r="G103" s="95">
        <v>2</v>
      </c>
      <c r="H103" s="83">
        <f>J2</f>
        <v>8.09</v>
      </c>
      <c r="I103" s="83">
        <f>S2</f>
        <v>1</v>
      </c>
      <c r="J103" s="83">
        <f>I103+H103+G103+F103+E103</f>
        <v>27.73</v>
      </c>
      <c r="K103" s="83">
        <f>W2</f>
        <v>0.8</v>
      </c>
      <c r="L103" s="83">
        <f>AH8</f>
        <v>2.1</v>
      </c>
      <c r="M103" s="83">
        <f>U2</f>
        <v>0.8</v>
      </c>
      <c r="N103" s="87">
        <f>AG24</f>
        <v>1.0908</v>
      </c>
      <c r="O103" s="83">
        <f>AI33</f>
        <v>0.60000000000000009</v>
      </c>
      <c r="P103" s="101">
        <f>O103+N103+M103+J103+L103+K103</f>
        <v>33.120799999999996</v>
      </c>
      <c r="Q103" s="83">
        <v>1</v>
      </c>
      <c r="R103" s="87">
        <f>Q103*P103</f>
        <v>33.120799999999996</v>
      </c>
      <c r="S103" s="83">
        <v>1.0609999999999999</v>
      </c>
      <c r="T103" s="87">
        <f>S103*R103</f>
        <v>35.141168799999996</v>
      </c>
      <c r="U103" s="83">
        <v>1.4</v>
      </c>
      <c r="V103" s="87">
        <f>U103*T103</f>
        <v>49.197636319999994</v>
      </c>
      <c r="W103" s="87">
        <f t="shared" ref="W103:W112" si="29">V103-T103</f>
        <v>14.056467519999998</v>
      </c>
      <c r="X103" s="87">
        <v>30.5</v>
      </c>
      <c r="Y103" s="97">
        <f t="shared" ref="Y103:Y112" si="30">V103/X103</f>
        <v>1.6130372563934423</v>
      </c>
      <c r="Z103" s="96"/>
      <c r="AA103" s="96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5"/>
      <c r="BP103" s="95"/>
      <c r="BQ103" s="95"/>
      <c r="BR103" s="95"/>
      <c r="BS103" s="95"/>
      <c r="BT103" s="95"/>
      <c r="BU103" s="95"/>
      <c r="BV103" s="95"/>
      <c r="BW103" s="95"/>
      <c r="BX103" s="95"/>
      <c r="BY103" s="95"/>
      <c r="BZ103" s="95"/>
    </row>
    <row r="104" spans="1:78" s="108" customFormat="1">
      <c r="A104" s="108" t="s">
        <v>318</v>
      </c>
      <c r="E104" s="95">
        <v>11.98</v>
      </c>
      <c r="F104" s="95">
        <v>4.66</v>
      </c>
      <c r="G104" s="95">
        <v>2</v>
      </c>
      <c r="H104" s="83">
        <f>J2</f>
        <v>8.09</v>
      </c>
      <c r="I104" s="83">
        <f>S2</f>
        <v>1</v>
      </c>
      <c r="J104" s="83">
        <f t="shared" ref="J104:J112" si="31">I104+H104+G104+F104+E104</f>
        <v>27.73</v>
      </c>
      <c r="K104" s="83">
        <f>W2</f>
        <v>0.8</v>
      </c>
      <c r="L104" s="83">
        <f>AH8</f>
        <v>2.1</v>
      </c>
      <c r="M104" s="83">
        <f>U2</f>
        <v>0.8</v>
      </c>
      <c r="N104" s="87">
        <f>AG24</f>
        <v>1.0908</v>
      </c>
      <c r="O104" s="83">
        <f>AI33</f>
        <v>0.60000000000000009</v>
      </c>
      <c r="P104" s="101">
        <f t="shared" ref="P104:P112" si="32">O104+N104+M104+J104+L104+K104</f>
        <v>33.120799999999996</v>
      </c>
      <c r="Q104" s="83">
        <v>1</v>
      </c>
      <c r="R104" s="87">
        <f t="shared" ref="R104:R112" si="33">Q104*P104</f>
        <v>33.120799999999996</v>
      </c>
      <c r="S104" s="83">
        <v>1.0609999999999999</v>
      </c>
      <c r="T104" s="87">
        <f t="shared" ref="T104:T112" si="34">S104*R104</f>
        <v>35.141168799999996</v>
      </c>
      <c r="U104" s="83">
        <v>1.4</v>
      </c>
      <c r="V104" s="87">
        <f t="shared" ref="V104:V112" si="35">U104*T104</f>
        <v>49.197636319999994</v>
      </c>
      <c r="W104" s="87">
        <f t="shared" si="29"/>
        <v>14.056467519999998</v>
      </c>
      <c r="X104" s="87">
        <v>30.5</v>
      </c>
      <c r="Y104" s="97">
        <f t="shared" si="30"/>
        <v>1.6130372563934423</v>
      </c>
      <c r="Z104" s="96"/>
      <c r="AA104" s="96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5"/>
      <c r="BP104" s="95"/>
      <c r="BQ104" s="95"/>
      <c r="BR104" s="95"/>
      <c r="BS104" s="95"/>
      <c r="BT104" s="95"/>
      <c r="BU104" s="95"/>
      <c r="BV104" s="95"/>
      <c r="BW104" s="95"/>
      <c r="BX104" s="95"/>
      <c r="BY104" s="95"/>
      <c r="BZ104" s="95"/>
    </row>
    <row r="105" spans="1:78" s="108" customFormat="1">
      <c r="A105" s="108" t="s">
        <v>319</v>
      </c>
      <c r="E105" s="95">
        <v>11.86</v>
      </c>
      <c r="F105" s="95">
        <v>4.66</v>
      </c>
      <c r="G105" s="95">
        <v>2</v>
      </c>
      <c r="H105" s="83">
        <f>J2</f>
        <v>8.09</v>
      </c>
      <c r="I105" s="83">
        <f>S2</f>
        <v>1</v>
      </c>
      <c r="J105" s="83">
        <f t="shared" si="31"/>
        <v>27.61</v>
      </c>
      <c r="K105" s="83">
        <f>W2</f>
        <v>0.8</v>
      </c>
      <c r="L105" s="83">
        <f>AH8</f>
        <v>2.1</v>
      </c>
      <c r="M105" s="83">
        <f>U2</f>
        <v>0.8</v>
      </c>
      <c r="N105" s="87">
        <f>AG24</f>
        <v>1.0908</v>
      </c>
      <c r="O105" s="83">
        <f>AI33</f>
        <v>0.60000000000000009</v>
      </c>
      <c r="P105" s="101">
        <f t="shared" si="32"/>
        <v>33.000799999999998</v>
      </c>
      <c r="Q105" s="83">
        <v>1</v>
      </c>
      <c r="R105" s="87">
        <f t="shared" si="33"/>
        <v>33.000799999999998</v>
      </c>
      <c r="S105" s="83">
        <v>1.0609999999999999</v>
      </c>
      <c r="T105" s="87">
        <f t="shared" si="34"/>
        <v>35.013848799999998</v>
      </c>
      <c r="U105" s="83">
        <v>1.4</v>
      </c>
      <c r="V105" s="87">
        <f t="shared" si="35"/>
        <v>49.019388319999997</v>
      </c>
      <c r="W105" s="87">
        <f t="shared" si="29"/>
        <v>14.005539519999999</v>
      </c>
      <c r="X105" s="87">
        <v>30.5</v>
      </c>
      <c r="Y105" s="97">
        <f t="shared" si="30"/>
        <v>1.6071930596721311</v>
      </c>
      <c r="Z105" s="96"/>
      <c r="AA105" s="96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5"/>
      <c r="BP105" s="95"/>
      <c r="BQ105" s="95"/>
      <c r="BR105" s="95"/>
      <c r="BS105" s="95"/>
      <c r="BT105" s="95"/>
      <c r="BU105" s="95"/>
      <c r="BV105" s="95"/>
      <c r="BW105" s="95"/>
      <c r="BX105" s="95"/>
      <c r="BY105" s="95"/>
      <c r="BZ105" s="95"/>
    </row>
    <row r="106" spans="1:78" s="108" customFormat="1">
      <c r="A106" s="108" t="s">
        <v>167</v>
      </c>
      <c r="E106" s="95">
        <v>11.88</v>
      </c>
      <c r="F106" s="95">
        <v>4.66</v>
      </c>
      <c r="G106" s="95">
        <v>2</v>
      </c>
      <c r="H106" s="83">
        <f>J2</f>
        <v>8.09</v>
      </c>
      <c r="I106" s="83">
        <f>S2</f>
        <v>1</v>
      </c>
      <c r="J106" s="83">
        <f t="shared" si="31"/>
        <v>27.630000000000003</v>
      </c>
      <c r="K106" s="83">
        <f>W2</f>
        <v>0.8</v>
      </c>
      <c r="L106" s="83">
        <f>AH8</f>
        <v>2.1</v>
      </c>
      <c r="M106" s="83">
        <f>U2</f>
        <v>0.8</v>
      </c>
      <c r="N106" s="87">
        <f>AG24</f>
        <v>1.0908</v>
      </c>
      <c r="O106" s="83">
        <f>AI33</f>
        <v>0.60000000000000009</v>
      </c>
      <c r="P106" s="101">
        <f t="shared" si="32"/>
        <v>33.020800000000001</v>
      </c>
      <c r="Q106" s="83">
        <v>1</v>
      </c>
      <c r="R106" s="87">
        <f t="shared" si="33"/>
        <v>33.020800000000001</v>
      </c>
      <c r="S106" s="83">
        <v>1.0609999999999999</v>
      </c>
      <c r="T106" s="87">
        <f t="shared" si="34"/>
        <v>35.035068799999998</v>
      </c>
      <c r="U106" s="83">
        <v>1.4</v>
      </c>
      <c r="V106" s="87">
        <f t="shared" si="35"/>
        <v>49.049096319999997</v>
      </c>
      <c r="W106" s="87">
        <f t="shared" si="29"/>
        <v>14.014027519999999</v>
      </c>
      <c r="X106" s="87">
        <v>30.5</v>
      </c>
      <c r="Y106" s="97">
        <f t="shared" si="30"/>
        <v>1.6081670924590163</v>
      </c>
      <c r="Z106" s="96"/>
      <c r="AA106" s="96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5"/>
      <c r="BP106" s="95"/>
      <c r="BQ106" s="95"/>
      <c r="BR106" s="95"/>
      <c r="BS106" s="95"/>
      <c r="BT106" s="95"/>
      <c r="BU106" s="95"/>
      <c r="BV106" s="95"/>
      <c r="BW106" s="95"/>
      <c r="BX106" s="95"/>
      <c r="BY106" s="95"/>
      <c r="BZ106" s="95"/>
    </row>
    <row r="107" spans="1:78" s="108" customFormat="1">
      <c r="A107" s="108" t="s">
        <v>168</v>
      </c>
      <c r="E107" s="95">
        <v>11.86</v>
      </c>
      <c r="F107" s="95">
        <v>4.66</v>
      </c>
      <c r="G107" s="95">
        <v>2</v>
      </c>
      <c r="H107" s="83">
        <f>H2</f>
        <v>9.41</v>
      </c>
      <c r="I107" s="83">
        <f>S2</f>
        <v>1</v>
      </c>
      <c r="J107" s="83">
        <f t="shared" si="31"/>
        <v>28.93</v>
      </c>
      <c r="K107" s="83">
        <f>W2</f>
        <v>0.8</v>
      </c>
      <c r="L107" s="83">
        <f>AH8</f>
        <v>2.1</v>
      </c>
      <c r="M107" s="83">
        <f>U2</f>
        <v>0.8</v>
      </c>
      <c r="N107" s="87">
        <f>AG25</f>
        <v>1.3392000000000002</v>
      </c>
      <c r="O107" s="83">
        <f>AI34</f>
        <v>0.78</v>
      </c>
      <c r="P107" s="101">
        <f t="shared" si="32"/>
        <v>34.749199999999995</v>
      </c>
      <c r="Q107" s="83">
        <v>1</v>
      </c>
      <c r="R107" s="87">
        <f t="shared" si="33"/>
        <v>34.749199999999995</v>
      </c>
      <c r="S107" s="83">
        <v>1.0609999999999999</v>
      </c>
      <c r="T107" s="87">
        <f t="shared" si="34"/>
        <v>36.868901199999989</v>
      </c>
      <c r="U107" s="83">
        <v>1.4</v>
      </c>
      <c r="V107" s="87">
        <f t="shared" si="35"/>
        <v>51.616461679999979</v>
      </c>
      <c r="W107" s="87">
        <f t="shared" si="29"/>
        <v>14.74756047999999</v>
      </c>
      <c r="X107" s="87">
        <v>30.5</v>
      </c>
      <c r="Y107" s="97">
        <f t="shared" si="30"/>
        <v>1.6923430059016387</v>
      </c>
      <c r="Z107" s="96"/>
      <c r="AA107" s="96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5"/>
      <c r="BP107" s="95"/>
      <c r="BQ107" s="95"/>
      <c r="BR107" s="95"/>
      <c r="BS107" s="95"/>
      <c r="BT107" s="95"/>
      <c r="BU107" s="95"/>
      <c r="BV107" s="95"/>
      <c r="BW107" s="95"/>
      <c r="BX107" s="95"/>
      <c r="BY107" s="95"/>
      <c r="BZ107" s="95"/>
    </row>
    <row r="108" spans="1:78" s="108" customFormat="1">
      <c r="A108" s="108" t="s">
        <v>169</v>
      </c>
      <c r="E108" s="95">
        <v>12.42</v>
      </c>
      <c r="F108" s="95">
        <v>4.66</v>
      </c>
      <c r="G108" s="95">
        <v>2</v>
      </c>
      <c r="H108" s="83">
        <f>H2</f>
        <v>9.41</v>
      </c>
      <c r="I108" s="83">
        <f>S2</f>
        <v>1</v>
      </c>
      <c r="J108" s="83">
        <f t="shared" si="31"/>
        <v>29.490000000000002</v>
      </c>
      <c r="K108" s="83">
        <f>W2</f>
        <v>0.8</v>
      </c>
      <c r="L108" s="83">
        <f>AH8</f>
        <v>2.1</v>
      </c>
      <c r="M108" s="83">
        <f>U2</f>
        <v>0.8</v>
      </c>
      <c r="N108" s="87">
        <f>AG25</f>
        <v>1.3392000000000002</v>
      </c>
      <c r="O108" s="83">
        <f>AI34</f>
        <v>0.78</v>
      </c>
      <c r="P108" s="101">
        <f t="shared" si="32"/>
        <v>35.309199999999997</v>
      </c>
      <c r="Q108" s="83">
        <v>1</v>
      </c>
      <c r="R108" s="87">
        <f t="shared" si="33"/>
        <v>35.309199999999997</v>
      </c>
      <c r="S108" s="83">
        <v>1.0609999999999999</v>
      </c>
      <c r="T108" s="87">
        <f t="shared" si="34"/>
        <v>37.463061199999991</v>
      </c>
      <c r="U108" s="83">
        <v>1.4</v>
      </c>
      <c r="V108" s="87">
        <f t="shared" si="35"/>
        <v>52.448285679999984</v>
      </c>
      <c r="W108" s="87">
        <f t="shared" si="29"/>
        <v>14.985224479999992</v>
      </c>
      <c r="X108" s="87">
        <v>30.5</v>
      </c>
      <c r="Y108" s="97">
        <f t="shared" si="30"/>
        <v>1.7196159239344257</v>
      </c>
      <c r="Z108" s="96"/>
      <c r="AA108" s="96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  <c r="BS108" s="95"/>
      <c r="BT108" s="95"/>
      <c r="BU108" s="95"/>
      <c r="BV108" s="95"/>
      <c r="BW108" s="95"/>
      <c r="BX108" s="95"/>
      <c r="BY108" s="95"/>
      <c r="BZ108" s="95"/>
    </row>
    <row r="109" spans="1:78" s="108" customFormat="1">
      <c r="A109" s="108" t="s">
        <v>170</v>
      </c>
      <c r="E109" s="95">
        <v>13</v>
      </c>
      <c r="F109" s="95">
        <v>4.66</v>
      </c>
      <c r="G109" s="95">
        <v>2</v>
      </c>
      <c r="H109" s="83">
        <f>H2</f>
        <v>9.41</v>
      </c>
      <c r="I109" s="83">
        <f>S2</f>
        <v>1</v>
      </c>
      <c r="J109" s="83">
        <f t="shared" si="31"/>
        <v>30.07</v>
      </c>
      <c r="K109" s="83">
        <f>W2</f>
        <v>0.8</v>
      </c>
      <c r="L109" s="83">
        <f>AH8</f>
        <v>2.1</v>
      </c>
      <c r="M109" s="83">
        <f>U2</f>
        <v>0.8</v>
      </c>
      <c r="N109" s="87">
        <f>AG25</f>
        <v>1.3392000000000002</v>
      </c>
      <c r="O109" s="83">
        <f>AI34</f>
        <v>0.78</v>
      </c>
      <c r="P109" s="101">
        <f t="shared" si="32"/>
        <v>35.889199999999995</v>
      </c>
      <c r="Q109" s="83">
        <v>1</v>
      </c>
      <c r="R109" s="87">
        <f t="shared" si="33"/>
        <v>35.889199999999995</v>
      </c>
      <c r="S109" s="83">
        <v>1.0609999999999999</v>
      </c>
      <c r="T109" s="87">
        <f t="shared" si="34"/>
        <v>38.078441199999993</v>
      </c>
      <c r="U109" s="83">
        <v>1.4</v>
      </c>
      <c r="V109" s="87">
        <f t="shared" si="35"/>
        <v>53.309817679999988</v>
      </c>
      <c r="W109" s="87">
        <f t="shared" si="29"/>
        <v>15.231376479999994</v>
      </c>
      <c r="X109" s="87">
        <v>30.5</v>
      </c>
      <c r="Y109" s="97">
        <f t="shared" si="30"/>
        <v>1.7478628747540979</v>
      </c>
      <c r="Z109" s="96"/>
      <c r="AA109" s="96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5"/>
      <c r="BP109" s="95"/>
      <c r="BQ109" s="95"/>
      <c r="BR109" s="95"/>
      <c r="BS109" s="95"/>
      <c r="BT109" s="95"/>
      <c r="BU109" s="95"/>
      <c r="BV109" s="95"/>
      <c r="BW109" s="95"/>
      <c r="BX109" s="95"/>
      <c r="BY109" s="95"/>
      <c r="BZ109" s="95"/>
    </row>
    <row r="110" spans="1:78" s="108" customFormat="1">
      <c r="A110" s="108" t="s">
        <v>171</v>
      </c>
      <c r="E110" s="95">
        <v>13.809999999999999</v>
      </c>
      <c r="F110" s="95">
        <v>4.66</v>
      </c>
      <c r="G110" s="95">
        <v>2</v>
      </c>
      <c r="H110" s="83">
        <f>H2</f>
        <v>9.41</v>
      </c>
      <c r="I110" s="83">
        <f>S2</f>
        <v>1</v>
      </c>
      <c r="J110" s="83">
        <f t="shared" si="31"/>
        <v>30.88</v>
      </c>
      <c r="K110" s="83">
        <f>W2</f>
        <v>0.8</v>
      </c>
      <c r="L110" s="83">
        <f>AH8</f>
        <v>2.1</v>
      </c>
      <c r="M110" s="83">
        <f>U2</f>
        <v>0.8</v>
      </c>
      <c r="N110" s="87">
        <f>AG25</f>
        <v>1.3392000000000002</v>
      </c>
      <c r="O110" s="83">
        <f>AI34</f>
        <v>0.78</v>
      </c>
      <c r="P110" s="101">
        <f t="shared" si="32"/>
        <v>36.699199999999998</v>
      </c>
      <c r="Q110" s="83">
        <v>1</v>
      </c>
      <c r="R110" s="87">
        <f t="shared" si="33"/>
        <v>36.699199999999998</v>
      </c>
      <c r="S110" s="83">
        <v>1.0609999999999999</v>
      </c>
      <c r="T110" s="87">
        <f t="shared" si="34"/>
        <v>38.937851199999997</v>
      </c>
      <c r="U110" s="83">
        <v>1.4</v>
      </c>
      <c r="V110" s="87">
        <f t="shared" si="35"/>
        <v>54.512991679999992</v>
      </c>
      <c r="W110" s="87">
        <f t="shared" si="29"/>
        <v>15.575140479999995</v>
      </c>
      <c r="X110" s="87">
        <v>30.5</v>
      </c>
      <c r="Y110" s="97">
        <f t="shared" si="30"/>
        <v>1.7873112026229505</v>
      </c>
      <c r="Z110" s="96"/>
      <c r="AA110" s="96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  <c r="BU110" s="95"/>
      <c r="BV110" s="95"/>
      <c r="BW110" s="95"/>
      <c r="BX110" s="95"/>
      <c r="BY110" s="95"/>
      <c r="BZ110" s="95"/>
    </row>
    <row r="111" spans="1:78" s="108" customFormat="1">
      <c r="A111" s="108" t="s">
        <v>172</v>
      </c>
      <c r="E111" s="95">
        <v>14.11</v>
      </c>
      <c r="F111" s="95">
        <v>4.66</v>
      </c>
      <c r="G111" s="95">
        <v>2</v>
      </c>
      <c r="H111" s="83">
        <f>H2</f>
        <v>9.41</v>
      </c>
      <c r="I111" s="83">
        <f>S2</f>
        <v>1</v>
      </c>
      <c r="J111" s="83">
        <f t="shared" si="31"/>
        <v>31.18</v>
      </c>
      <c r="K111" s="83">
        <f>W2</f>
        <v>0.8</v>
      </c>
      <c r="L111" s="83">
        <f>AH8</f>
        <v>2.1</v>
      </c>
      <c r="M111" s="83">
        <f>U2</f>
        <v>0.8</v>
      </c>
      <c r="N111" s="87">
        <f>AG25</f>
        <v>1.3392000000000002</v>
      </c>
      <c r="O111" s="83">
        <f>AI34</f>
        <v>0.78</v>
      </c>
      <c r="P111" s="101">
        <f t="shared" si="32"/>
        <v>36.999199999999995</v>
      </c>
      <c r="Q111" s="83">
        <v>1</v>
      </c>
      <c r="R111" s="87">
        <f t="shared" si="33"/>
        <v>36.999199999999995</v>
      </c>
      <c r="S111" s="83">
        <v>1.0609999999999999</v>
      </c>
      <c r="T111" s="87">
        <f t="shared" si="34"/>
        <v>39.256151199999991</v>
      </c>
      <c r="U111" s="83">
        <v>1.4</v>
      </c>
      <c r="V111" s="87">
        <f t="shared" si="35"/>
        <v>54.958611679999983</v>
      </c>
      <c r="W111" s="87">
        <f t="shared" si="29"/>
        <v>15.702460479999992</v>
      </c>
      <c r="X111" s="87">
        <v>30.5</v>
      </c>
      <c r="Y111" s="97">
        <f t="shared" si="30"/>
        <v>1.8019216944262288</v>
      </c>
      <c r="Z111" s="96"/>
      <c r="AA111" s="96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5"/>
      <c r="BP111" s="95"/>
      <c r="BQ111" s="95"/>
      <c r="BR111" s="95"/>
      <c r="BS111" s="95"/>
      <c r="BT111" s="95"/>
      <c r="BU111" s="95"/>
      <c r="BV111" s="95"/>
      <c r="BW111" s="95"/>
      <c r="BX111" s="95"/>
      <c r="BY111" s="95"/>
      <c r="BZ111" s="95"/>
    </row>
    <row r="112" spans="1:78" s="108" customFormat="1">
      <c r="A112" s="108" t="s">
        <v>173</v>
      </c>
      <c r="E112" s="95">
        <v>14.599999999999998</v>
      </c>
      <c r="F112" s="95">
        <v>4.66</v>
      </c>
      <c r="G112" s="95">
        <v>2</v>
      </c>
      <c r="H112" s="83">
        <f>H2</f>
        <v>9.41</v>
      </c>
      <c r="I112" s="83">
        <f>S2</f>
        <v>1</v>
      </c>
      <c r="J112" s="83">
        <f t="shared" si="31"/>
        <v>31.669999999999998</v>
      </c>
      <c r="K112" s="83">
        <f>W2</f>
        <v>0.8</v>
      </c>
      <c r="L112" s="83">
        <f>AH8</f>
        <v>2.1</v>
      </c>
      <c r="M112" s="83">
        <f>U2</f>
        <v>0.8</v>
      </c>
      <c r="N112" s="87">
        <f>AG25</f>
        <v>1.3392000000000002</v>
      </c>
      <c r="O112" s="83">
        <f>AI34</f>
        <v>0.78</v>
      </c>
      <c r="P112" s="101">
        <f t="shared" si="32"/>
        <v>37.489199999999997</v>
      </c>
      <c r="Q112" s="83">
        <v>1</v>
      </c>
      <c r="R112" s="87">
        <f t="shared" si="33"/>
        <v>37.489199999999997</v>
      </c>
      <c r="S112" s="83">
        <v>1.0609999999999999</v>
      </c>
      <c r="T112" s="87">
        <f t="shared" si="34"/>
        <v>39.776041199999995</v>
      </c>
      <c r="U112" s="83">
        <v>1.4</v>
      </c>
      <c r="V112" s="87">
        <f t="shared" si="35"/>
        <v>55.68645767999999</v>
      </c>
      <c r="W112" s="87">
        <f t="shared" si="29"/>
        <v>15.910416479999995</v>
      </c>
      <c r="X112" s="87">
        <v>30.5</v>
      </c>
      <c r="Y112" s="97">
        <f t="shared" si="30"/>
        <v>1.8257854977049177</v>
      </c>
      <c r="Z112" s="96"/>
      <c r="AA112" s="96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5"/>
      <c r="BP112" s="95"/>
      <c r="BQ112" s="95"/>
      <c r="BR112" s="95"/>
      <c r="BS112" s="95"/>
      <c r="BT112" s="95"/>
      <c r="BU112" s="95"/>
      <c r="BV112" s="95"/>
      <c r="BW112" s="95"/>
      <c r="BX112" s="95"/>
      <c r="BY112" s="95"/>
      <c r="BZ112" s="95"/>
    </row>
    <row r="113" spans="1:76" s="108" customFormat="1">
      <c r="A113" s="93"/>
      <c r="B113" s="86"/>
      <c r="C113" s="86"/>
      <c r="D113" s="86"/>
      <c r="E113" s="86"/>
      <c r="F113" s="83"/>
      <c r="G113" s="87"/>
      <c r="H113" s="83"/>
      <c r="I113" s="83"/>
      <c r="J113" s="105"/>
      <c r="K113" s="105"/>
      <c r="L113" s="88"/>
      <c r="M113" s="88"/>
      <c r="N113" s="83"/>
      <c r="O113" s="83"/>
      <c r="P113" s="88"/>
      <c r="Q113" s="83"/>
      <c r="R113" s="87"/>
      <c r="S113" s="87"/>
      <c r="T113" s="87"/>
      <c r="U113" s="87"/>
      <c r="V113" s="87"/>
      <c r="W113" s="96"/>
      <c r="X113" s="96"/>
      <c r="Y113" s="96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</row>
    <row r="114" spans="1:76" s="108" customFormat="1">
      <c r="A114" s="93"/>
      <c r="B114" s="86"/>
      <c r="C114" s="86"/>
      <c r="D114" s="86"/>
      <c r="E114" s="86"/>
      <c r="F114" s="83"/>
      <c r="G114" s="87"/>
      <c r="H114" s="83"/>
      <c r="I114" s="83"/>
      <c r="J114" s="105"/>
      <c r="K114" s="105"/>
      <c r="L114" s="88"/>
      <c r="M114" s="88"/>
      <c r="N114" s="83"/>
      <c r="O114" s="83"/>
      <c r="P114" s="88"/>
      <c r="Q114" s="83"/>
      <c r="R114" s="87"/>
      <c r="S114" s="87"/>
      <c r="T114" s="87"/>
      <c r="U114" s="87"/>
      <c r="V114" s="87"/>
      <c r="W114" s="96"/>
      <c r="X114" s="96"/>
      <c r="Y114" s="96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5"/>
      <c r="BK114" s="95"/>
      <c r="BL114" s="95"/>
      <c r="BM114" s="95"/>
      <c r="BN114" s="95"/>
      <c r="BO114" s="95"/>
      <c r="BP114" s="95"/>
      <c r="BQ114" s="95"/>
      <c r="BR114" s="95"/>
      <c r="BS114" s="95"/>
      <c r="BT114" s="95"/>
      <c r="BU114" s="95"/>
      <c r="BV114" s="95"/>
      <c r="BW114" s="95"/>
      <c r="BX114" s="95"/>
    </row>
    <row r="115" spans="1:76">
      <c r="A115" s="50"/>
      <c r="B115" s="86"/>
      <c r="C115" s="86"/>
      <c r="D115" s="86"/>
      <c r="E115" s="86"/>
      <c r="F115" s="83"/>
      <c r="G115" s="87"/>
      <c r="H115" s="83"/>
      <c r="I115" s="83"/>
      <c r="J115" s="105"/>
      <c r="K115" s="105"/>
      <c r="L115" s="88"/>
      <c r="M115" s="88"/>
      <c r="N115" s="83"/>
      <c r="O115" s="83"/>
      <c r="P115" s="88"/>
      <c r="Q115" s="83"/>
      <c r="R115" s="87"/>
      <c r="S115" s="87"/>
      <c r="T115" s="87"/>
      <c r="U115" s="87"/>
      <c r="V115" s="87"/>
      <c r="W115" s="24"/>
      <c r="X115" s="24"/>
      <c r="Y115" s="2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</row>
    <row r="116" spans="1:76" ht="19.5">
      <c r="A116" s="37" t="s">
        <v>127</v>
      </c>
      <c r="B116" s="86"/>
      <c r="C116" s="86"/>
      <c r="D116" s="86"/>
      <c r="E116" s="86"/>
      <c r="F116" s="84" t="s">
        <v>213</v>
      </c>
      <c r="G116" s="84" t="s">
        <v>76</v>
      </c>
      <c r="H116" s="83" t="s">
        <v>77</v>
      </c>
      <c r="I116" s="83" t="s">
        <v>81</v>
      </c>
      <c r="J116" s="83" t="s">
        <v>83</v>
      </c>
      <c r="K116" s="83" t="s">
        <v>187</v>
      </c>
      <c r="L116" s="83" t="s">
        <v>267</v>
      </c>
      <c r="M116" s="83" t="s">
        <v>269</v>
      </c>
      <c r="N116" s="83" t="s">
        <v>176</v>
      </c>
      <c r="O116" s="83" t="s">
        <v>177</v>
      </c>
      <c r="P116" s="83" t="s">
        <v>272</v>
      </c>
      <c r="Q116" s="83" t="s">
        <v>107</v>
      </c>
      <c r="R116" s="83" t="s">
        <v>272</v>
      </c>
      <c r="S116" s="83" t="s">
        <v>87</v>
      </c>
      <c r="T116" s="83" t="s">
        <v>183</v>
      </c>
      <c r="U116" s="83" t="s">
        <v>88</v>
      </c>
      <c r="V116" s="95" t="s">
        <v>184</v>
      </c>
      <c r="W116" s="52" t="s">
        <v>89</v>
      </c>
      <c r="X116" s="52" t="s">
        <v>125</v>
      </c>
      <c r="Y116" s="52" t="s">
        <v>126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</row>
    <row r="117" spans="1:76">
      <c r="A117" s="53" t="s">
        <v>128</v>
      </c>
      <c r="B117" s="86"/>
      <c r="C117" s="86"/>
      <c r="D117" s="86"/>
      <c r="E117" s="86"/>
      <c r="F117" s="84"/>
      <c r="G117" s="93">
        <v>12.2</v>
      </c>
      <c r="H117" s="83">
        <f>J2</f>
        <v>8.09</v>
      </c>
      <c r="I117" s="83">
        <f>S2</f>
        <v>1</v>
      </c>
      <c r="J117" s="83">
        <f t="shared" ref="J117:J123" si="36">I117+H117+G117</f>
        <v>21.29</v>
      </c>
      <c r="K117" s="88">
        <f>W2</f>
        <v>0.8</v>
      </c>
      <c r="L117" s="83">
        <f>AH8</f>
        <v>2.1</v>
      </c>
      <c r="M117" s="103">
        <f>U2</f>
        <v>0.8</v>
      </c>
      <c r="N117" s="87">
        <f>AG24</f>
        <v>1.0908</v>
      </c>
      <c r="O117" s="83">
        <f>AJ33</f>
        <v>0.78</v>
      </c>
      <c r="P117" s="88">
        <f t="shared" ref="P117:P123" si="37">O117+N117+L117+K117+J117+M117</f>
        <v>26.860800000000001</v>
      </c>
      <c r="Q117" s="83">
        <v>1</v>
      </c>
      <c r="R117" s="83">
        <f t="shared" ref="R117:R123" si="38">Q117*P117</f>
        <v>26.860800000000001</v>
      </c>
      <c r="S117" s="83">
        <v>1.0609999999999999</v>
      </c>
      <c r="T117" s="87">
        <f t="shared" ref="T117:T123" si="39">S117*R117</f>
        <v>28.499308799999998</v>
      </c>
      <c r="U117" s="87">
        <v>1.4</v>
      </c>
      <c r="V117" s="87">
        <f t="shared" ref="V117:V123" si="40">U117*T117</f>
        <v>39.899032319999996</v>
      </c>
      <c r="W117" s="24">
        <f t="shared" ref="W117:W123" si="41">V117-T117</f>
        <v>11.399723519999998</v>
      </c>
      <c r="X117" s="87">
        <v>29.5</v>
      </c>
      <c r="Y117" s="24">
        <f t="shared" ref="Y117:Y123" si="42">V117/X117</f>
        <v>1.3525095701694914</v>
      </c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</row>
    <row r="118" spans="1:76">
      <c r="A118" s="53" t="s">
        <v>129</v>
      </c>
      <c r="B118" s="86"/>
      <c r="C118" s="86"/>
      <c r="D118" s="86"/>
      <c r="E118" s="86"/>
      <c r="F118" s="84"/>
      <c r="G118" s="93">
        <v>28.8</v>
      </c>
      <c r="H118" s="83">
        <f>H2</f>
        <v>9.41</v>
      </c>
      <c r="I118" s="83">
        <f>S2</f>
        <v>1</v>
      </c>
      <c r="J118" s="83">
        <f t="shared" si="36"/>
        <v>39.21</v>
      </c>
      <c r="K118" s="88">
        <f>W2</f>
        <v>0.8</v>
      </c>
      <c r="L118" s="83">
        <f>AH8</f>
        <v>2.1</v>
      </c>
      <c r="M118" s="103">
        <f>U2</f>
        <v>0.8</v>
      </c>
      <c r="N118" s="87">
        <f>AH25</f>
        <v>1.3824000000000001</v>
      </c>
      <c r="O118" s="83">
        <f>AK34</f>
        <v>1.1400000000000001</v>
      </c>
      <c r="P118" s="88">
        <f t="shared" si="37"/>
        <v>45.432400000000001</v>
      </c>
      <c r="Q118" s="83">
        <v>1</v>
      </c>
      <c r="R118" s="83">
        <f t="shared" si="38"/>
        <v>45.432400000000001</v>
      </c>
      <c r="S118" s="83">
        <v>1.0609999999999999</v>
      </c>
      <c r="T118" s="87">
        <f t="shared" si="39"/>
        <v>48.203776399999995</v>
      </c>
      <c r="U118" s="87">
        <v>1.4</v>
      </c>
      <c r="V118" s="87">
        <f t="shared" si="40"/>
        <v>67.485286959999982</v>
      </c>
      <c r="W118" s="24">
        <f t="shared" si="41"/>
        <v>19.281510559999987</v>
      </c>
      <c r="X118" s="87">
        <v>29.5</v>
      </c>
      <c r="Y118" s="24">
        <f t="shared" si="42"/>
        <v>2.2876368461016945</v>
      </c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</row>
    <row r="119" spans="1:76">
      <c r="A119" s="53" t="s">
        <v>130</v>
      </c>
      <c r="B119" s="86"/>
      <c r="C119" s="86"/>
      <c r="D119" s="86"/>
      <c r="E119" s="86"/>
      <c r="F119" s="84"/>
      <c r="G119" s="93">
        <v>47.1</v>
      </c>
      <c r="H119" s="83">
        <f>H2</f>
        <v>9.41</v>
      </c>
      <c r="I119" s="83">
        <f>S2</f>
        <v>1</v>
      </c>
      <c r="J119" s="83">
        <f t="shared" si="36"/>
        <v>57.510000000000005</v>
      </c>
      <c r="K119" s="88">
        <f>W2</f>
        <v>0.8</v>
      </c>
      <c r="L119" s="83">
        <f>AH8</f>
        <v>2.1</v>
      </c>
      <c r="M119" s="103">
        <f>U2</f>
        <v>0.8</v>
      </c>
      <c r="N119" s="87">
        <f>AJ25</f>
        <v>1.7064000000000001</v>
      </c>
      <c r="O119" s="83">
        <f>AK34</f>
        <v>1.1400000000000001</v>
      </c>
      <c r="P119" s="88">
        <f t="shared" si="37"/>
        <v>64.056400000000011</v>
      </c>
      <c r="Q119" s="83">
        <v>1</v>
      </c>
      <c r="R119" s="83">
        <f t="shared" si="38"/>
        <v>64.056400000000011</v>
      </c>
      <c r="S119" s="83">
        <v>1.0609999999999999</v>
      </c>
      <c r="T119" s="87">
        <f t="shared" si="39"/>
        <v>67.963840400000009</v>
      </c>
      <c r="U119" s="87">
        <v>1.3</v>
      </c>
      <c r="V119" s="87">
        <f t="shared" si="40"/>
        <v>88.352992520000015</v>
      </c>
      <c r="W119" s="24">
        <f t="shared" si="41"/>
        <v>20.389152120000006</v>
      </c>
      <c r="X119" s="87">
        <v>29.5</v>
      </c>
      <c r="Y119" s="24">
        <f t="shared" si="42"/>
        <v>2.9950166955932209</v>
      </c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</row>
    <row r="120" spans="1:76">
      <c r="A120" s="53" t="s">
        <v>131</v>
      </c>
      <c r="B120" s="86"/>
      <c r="C120" s="86"/>
      <c r="D120" s="86"/>
      <c r="E120" s="86"/>
      <c r="F120" s="84"/>
      <c r="G120" s="93">
        <v>58.4</v>
      </c>
      <c r="H120" s="83">
        <f>H2</f>
        <v>9.41</v>
      </c>
      <c r="I120" s="83">
        <f>S2</f>
        <v>1</v>
      </c>
      <c r="J120" s="83">
        <f t="shared" si="36"/>
        <v>68.81</v>
      </c>
      <c r="K120" s="88">
        <f>W2</f>
        <v>0.8</v>
      </c>
      <c r="L120" s="83">
        <f>AH8</f>
        <v>2.1</v>
      </c>
      <c r="M120" s="103">
        <f>U2</f>
        <v>0.8</v>
      </c>
      <c r="N120" s="87">
        <f>AL25</f>
        <v>1.9224000000000001</v>
      </c>
      <c r="O120" s="83">
        <f>AK34</f>
        <v>1.1400000000000001</v>
      </c>
      <c r="P120" s="88">
        <f t="shared" si="37"/>
        <v>75.572400000000002</v>
      </c>
      <c r="Q120" s="83">
        <v>1</v>
      </c>
      <c r="R120" s="83">
        <f t="shared" si="38"/>
        <v>75.572400000000002</v>
      </c>
      <c r="S120" s="83">
        <v>1.0609999999999999</v>
      </c>
      <c r="T120" s="87">
        <f t="shared" si="39"/>
        <v>80.182316399999991</v>
      </c>
      <c r="U120" s="87">
        <v>1.25</v>
      </c>
      <c r="V120" s="87">
        <f t="shared" si="40"/>
        <v>100.22789549999999</v>
      </c>
      <c r="W120" s="24">
        <f t="shared" si="41"/>
        <v>20.045579099999998</v>
      </c>
      <c r="X120" s="87">
        <v>29.5</v>
      </c>
      <c r="Y120" s="24">
        <f t="shared" si="42"/>
        <v>3.3975557796610167</v>
      </c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</row>
    <row r="121" spans="1:76">
      <c r="A121" s="93" t="s">
        <v>210</v>
      </c>
      <c r="B121" s="86"/>
      <c r="C121" s="86"/>
      <c r="D121" s="86"/>
      <c r="E121" s="86"/>
      <c r="F121" s="84">
        <v>10.199999999999999</v>
      </c>
      <c r="G121" s="93">
        <v>11.9</v>
      </c>
      <c r="H121" s="83">
        <f>H3</f>
        <v>0</v>
      </c>
      <c r="I121" s="83">
        <f>S2</f>
        <v>1</v>
      </c>
      <c r="J121" s="83">
        <f t="shared" si="36"/>
        <v>12.9</v>
      </c>
      <c r="K121" s="88">
        <f>W2</f>
        <v>0.8</v>
      </c>
      <c r="L121" s="83">
        <f>AH8</f>
        <v>2.1</v>
      </c>
      <c r="M121" s="103">
        <f>U2</f>
        <v>0.8</v>
      </c>
      <c r="N121" s="87">
        <f>AH24</f>
        <v>1.2096000000000002</v>
      </c>
      <c r="O121" s="83">
        <f>AJ33</f>
        <v>0.78</v>
      </c>
      <c r="P121" s="88">
        <f t="shared" si="37"/>
        <v>18.589600000000001</v>
      </c>
      <c r="Q121" s="83">
        <v>1</v>
      </c>
      <c r="R121" s="83">
        <f t="shared" si="38"/>
        <v>18.589600000000001</v>
      </c>
      <c r="S121" s="83">
        <v>1.0609999999999999</v>
      </c>
      <c r="T121" s="87">
        <f t="shared" si="39"/>
        <v>19.723565600000001</v>
      </c>
      <c r="U121" s="87">
        <v>1.25</v>
      </c>
      <c r="V121" s="87">
        <f t="shared" si="40"/>
        <v>24.654457000000001</v>
      </c>
      <c r="W121" s="96">
        <f t="shared" si="41"/>
        <v>4.9308914000000001</v>
      </c>
      <c r="X121" s="87">
        <v>29.5</v>
      </c>
      <c r="Y121" s="96">
        <f t="shared" si="42"/>
        <v>0.83574430508474584</v>
      </c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</row>
    <row r="122" spans="1:76" s="90" customFormat="1">
      <c r="A122" s="93" t="s">
        <v>211</v>
      </c>
      <c r="B122" s="86"/>
      <c r="C122" s="86"/>
      <c r="D122" s="86"/>
      <c r="E122" s="86"/>
      <c r="F122" s="84">
        <v>14.4</v>
      </c>
      <c r="G122" s="93">
        <v>49.7</v>
      </c>
      <c r="H122" s="83">
        <f>H4</f>
        <v>0</v>
      </c>
      <c r="I122" s="83">
        <f>S2</f>
        <v>1</v>
      </c>
      <c r="J122" s="83">
        <f t="shared" si="36"/>
        <v>50.7</v>
      </c>
      <c r="K122" s="88">
        <f>W2</f>
        <v>0.8</v>
      </c>
      <c r="L122" s="83">
        <f>AH8</f>
        <v>2.1</v>
      </c>
      <c r="M122" s="103">
        <f>U2</f>
        <v>0.8</v>
      </c>
      <c r="N122" s="87">
        <f>AL25</f>
        <v>1.9224000000000001</v>
      </c>
      <c r="O122" s="83">
        <f>AK34</f>
        <v>1.1400000000000001</v>
      </c>
      <c r="P122" s="88">
        <f t="shared" si="37"/>
        <v>57.462400000000002</v>
      </c>
      <c r="Q122" s="83">
        <v>1</v>
      </c>
      <c r="R122" s="83">
        <f t="shared" si="38"/>
        <v>57.462400000000002</v>
      </c>
      <c r="S122" s="83">
        <v>1.0609999999999999</v>
      </c>
      <c r="T122" s="87">
        <f t="shared" si="39"/>
        <v>60.967606400000001</v>
      </c>
      <c r="U122" s="87">
        <v>1.25</v>
      </c>
      <c r="V122" s="87">
        <f t="shared" si="40"/>
        <v>76.209508</v>
      </c>
      <c r="W122" s="96">
        <f t="shared" si="41"/>
        <v>15.241901599999998</v>
      </c>
      <c r="X122" s="87">
        <v>29.5</v>
      </c>
      <c r="Y122" s="96">
        <f t="shared" si="42"/>
        <v>2.5833731525423729</v>
      </c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5"/>
      <c r="BK122" s="95"/>
      <c r="BL122" s="95"/>
      <c r="BM122" s="95"/>
      <c r="BN122" s="95"/>
      <c r="BO122" s="95"/>
      <c r="BP122" s="95"/>
      <c r="BQ122" s="95"/>
      <c r="BR122" s="95"/>
      <c r="BS122" s="95"/>
      <c r="BT122" s="95"/>
      <c r="BU122" s="95"/>
      <c r="BV122" s="95"/>
      <c r="BW122" s="95"/>
      <c r="BX122" s="95"/>
    </row>
    <row r="123" spans="1:76" s="90" customFormat="1">
      <c r="A123" s="93" t="s">
        <v>212</v>
      </c>
      <c r="B123" s="86"/>
      <c r="C123" s="86"/>
      <c r="D123" s="86"/>
      <c r="E123" s="86"/>
      <c r="F123" s="84">
        <v>14.4</v>
      </c>
      <c r="G123" s="93">
        <v>76.599999999999994</v>
      </c>
      <c r="H123" s="83">
        <f>H5</f>
        <v>0</v>
      </c>
      <c r="I123" s="83">
        <f>S2</f>
        <v>1</v>
      </c>
      <c r="J123" s="83">
        <f t="shared" si="36"/>
        <v>77.599999999999994</v>
      </c>
      <c r="K123" s="88">
        <f>W2</f>
        <v>0.8</v>
      </c>
      <c r="L123" s="83">
        <f>AH8</f>
        <v>2.1</v>
      </c>
      <c r="M123" s="103">
        <f>U2</f>
        <v>0.8</v>
      </c>
      <c r="N123" s="87">
        <f>AN25</f>
        <v>2.1384000000000003</v>
      </c>
      <c r="O123" s="83">
        <f>AK34</f>
        <v>1.1400000000000001</v>
      </c>
      <c r="P123" s="88">
        <f t="shared" si="37"/>
        <v>84.578399999999988</v>
      </c>
      <c r="Q123" s="83">
        <v>1</v>
      </c>
      <c r="R123" s="83">
        <f t="shared" si="38"/>
        <v>84.578399999999988</v>
      </c>
      <c r="S123" s="83">
        <v>1.0609999999999999</v>
      </c>
      <c r="T123" s="87">
        <f t="shared" si="39"/>
        <v>89.737682399999983</v>
      </c>
      <c r="U123" s="87">
        <v>1.25</v>
      </c>
      <c r="V123" s="87">
        <f t="shared" si="40"/>
        <v>112.17210299999998</v>
      </c>
      <c r="W123" s="96">
        <f t="shared" si="41"/>
        <v>22.434420599999996</v>
      </c>
      <c r="X123" s="87">
        <v>29.5</v>
      </c>
      <c r="Y123" s="96">
        <f t="shared" si="42"/>
        <v>3.8024441694915248</v>
      </c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  <c r="BI123" s="95"/>
      <c r="BJ123" s="95"/>
      <c r="BK123" s="95"/>
      <c r="BL123" s="95"/>
      <c r="BM123" s="95"/>
      <c r="BN123" s="95"/>
      <c r="BO123" s="95"/>
      <c r="BP123" s="95"/>
      <c r="BQ123" s="95"/>
      <c r="BR123" s="95"/>
      <c r="BS123" s="95"/>
      <c r="BT123" s="95"/>
      <c r="BU123" s="95"/>
      <c r="BV123" s="95"/>
      <c r="BW123" s="95"/>
      <c r="BX123" s="95"/>
    </row>
    <row r="124" spans="1:76" s="90" customFormat="1">
      <c r="B124" s="86"/>
      <c r="C124" s="86"/>
      <c r="D124" s="86"/>
      <c r="E124" s="86"/>
      <c r="F124" s="83"/>
      <c r="G124" s="86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7"/>
      <c r="U124" s="87"/>
      <c r="V124" s="87"/>
      <c r="W124" s="96"/>
      <c r="X124" s="96"/>
      <c r="Y124" s="96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  <c r="AY124" s="95"/>
      <c r="AZ124" s="95"/>
      <c r="BA124" s="95"/>
      <c r="BB124" s="95"/>
      <c r="BC124" s="95"/>
      <c r="BD124" s="95"/>
      <c r="BE124" s="95"/>
      <c r="BF124" s="95"/>
      <c r="BG124" s="95"/>
      <c r="BH124" s="95"/>
      <c r="BI124" s="95"/>
      <c r="BJ124" s="95"/>
      <c r="BK124" s="95"/>
      <c r="BL124" s="95"/>
      <c r="BM124" s="95"/>
      <c r="BN124" s="95"/>
      <c r="BO124" s="95"/>
      <c r="BP124" s="95"/>
      <c r="BQ124" s="95"/>
      <c r="BR124" s="95"/>
      <c r="BS124" s="95"/>
      <c r="BT124" s="95"/>
      <c r="BU124" s="95"/>
      <c r="BV124" s="95"/>
      <c r="BW124" s="95"/>
      <c r="BX124" s="95"/>
    </row>
    <row r="125" spans="1:76">
      <c r="A125" s="51"/>
      <c r="B125" s="86"/>
      <c r="C125" s="86"/>
      <c r="D125" s="86"/>
      <c r="E125" s="86"/>
      <c r="F125" s="83"/>
      <c r="G125" s="86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7"/>
      <c r="U125" s="87"/>
      <c r="V125" s="87"/>
      <c r="W125" s="24"/>
      <c r="X125" s="24"/>
      <c r="Y125" s="2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</row>
    <row r="126" spans="1:76" ht="19.5">
      <c r="A126" s="37" t="s">
        <v>132</v>
      </c>
      <c r="B126" s="86"/>
      <c r="C126" s="86"/>
      <c r="D126" s="86"/>
      <c r="E126" s="86"/>
      <c r="F126" s="83"/>
      <c r="G126" s="84" t="s">
        <v>76</v>
      </c>
      <c r="H126" s="83" t="s">
        <v>77</v>
      </c>
      <c r="I126" s="83" t="s">
        <v>81</v>
      </c>
      <c r="J126" s="83" t="s">
        <v>83</v>
      </c>
      <c r="K126" s="83" t="s">
        <v>187</v>
      </c>
      <c r="L126" s="83" t="s">
        <v>267</v>
      </c>
      <c r="M126" s="83" t="s">
        <v>269</v>
      </c>
      <c r="N126" s="83" t="s">
        <v>176</v>
      </c>
      <c r="O126" s="83" t="s">
        <v>177</v>
      </c>
      <c r="P126" s="83" t="s">
        <v>272</v>
      </c>
      <c r="Q126" s="83" t="s">
        <v>107</v>
      </c>
      <c r="R126" s="83" t="s">
        <v>272</v>
      </c>
      <c r="S126" s="83" t="s">
        <v>87</v>
      </c>
      <c r="T126" s="83" t="s">
        <v>183</v>
      </c>
      <c r="U126" s="83" t="s">
        <v>88</v>
      </c>
      <c r="V126" s="83" t="s">
        <v>106</v>
      </c>
      <c r="W126" s="52" t="s">
        <v>89</v>
      </c>
      <c r="X126" s="52" t="s">
        <v>125</v>
      </c>
      <c r="Y126" s="52" t="s">
        <v>126</v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</row>
    <row r="127" spans="1:76">
      <c r="A127" s="53" t="s">
        <v>133</v>
      </c>
      <c r="B127" s="86"/>
      <c r="C127" s="86"/>
      <c r="D127" s="86"/>
      <c r="E127" s="86"/>
      <c r="F127" s="83"/>
      <c r="G127" s="93">
        <v>25.3</v>
      </c>
      <c r="H127" s="83">
        <f>J2</f>
        <v>8.09</v>
      </c>
      <c r="I127" s="83">
        <f>S2</f>
        <v>1</v>
      </c>
      <c r="J127" s="83">
        <f>I127+H127+G127</f>
        <v>34.39</v>
      </c>
      <c r="K127" s="88">
        <f>W2</f>
        <v>0.8</v>
      </c>
      <c r="L127" s="83">
        <f>AH8</f>
        <v>2.1</v>
      </c>
      <c r="M127" s="103">
        <f>U2</f>
        <v>0.8</v>
      </c>
      <c r="N127" s="87">
        <f>AG25</f>
        <v>1.3392000000000002</v>
      </c>
      <c r="O127" s="83">
        <f>AJ34</f>
        <v>1.0499999999999998</v>
      </c>
      <c r="P127" s="88">
        <f>O127+N127+L127+K127+J127+M127</f>
        <v>40.479199999999999</v>
      </c>
      <c r="Q127" s="83">
        <v>1</v>
      </c>
      <c r="R127" s="83">
        <f>Q127*P127</f>
        <v>40.479199999999999</v>
      </c>
      <c r="S127" s="83">
        <v>1.0609999999999999</v>
      </c>
      <c r="T127" s="87">
        <f>S127*R127</f>
        <v>42.948431199999995</v>
      </c>
      <c r="U127" s="87">
        <v>1.4</v>
      </c>
      <c r="V127" s="87">
        <f>U127*T127</f>
        <v>60.127803679999985</v>
      </c>
      <c r="W127" s="24">
        <f>V127-T127</f>
        <v>17.179372479999991</v>
      </c>
      <c r="X127" s="87">
        <v>29.5</v>
      </c>
      <c r="Y127" s="24">
        <f>V127/X127</f>
        <v>2.0382306332203384</v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</row>
    <row r="128" spans="1:76">
      <c r="A128" s="53" t="s">
        <v>134</v>
      </c>
      <c r="B128" s="86"/>
      <c r="C128" s="86"/>
      <c r="D128" s="86"/>
      <c r="E128" s="86"/>
      <c r="F128" s="83"/>
      <c r="G128" s="93">
        <v>24.7</v>
      </c>
      <c r="H128" s="83">
        <f>J2</f>
        <v>8.09</v>
      </c>
      <c r="I128" s="83">
        <f>S2</f>
        <v>1</v>
      </c>
      <c r="J128" s="83">
        <f>I128+H128+G128</f>
        <v>33.79</v>
      </c>
      <c r="K128" s="88">
        <f>W2</f>
        <v>0.8</v>
      </c>
      <c r="L128" s="83">
        <f>AH8</f>
        <v>2.1</v>
      </c>
      <c r="M128" s="103">
        <f>U2</f>
        <v>0.8</v>
      </c>
      <c r="N128" s="87">
        <f>AG25</f>
        <v>1.3392000000000002</v>
      </c>
      <c r="O128" s="83">
        <f>AJ34</f>
        <v>1.0499999999999998</v>
      </c>
      <c r="P128" s="88">
        <f>O128+N128+L128+K128+J128+M128</f>
        <v>39.879199999999997</v>
      </c>
      <c r="Q128" s="83">
        <v>1</v>
      </c>
      <c r="R128" s="83">
        <f>Q128*P128</f>
        <v>39.879199999999997</v>
      </c>
      <c r="S128" s="83">
        <v>1.0609999999999999</v>
      </c>
      <c r="T128" s="87">
        <f>S128*R128</f>
        <v>42.311831199999993</v>
      </c>
      <c r="U128" s="87">
        <v>1.4</v>
      </c>
      <c r="V128" s="87">
        <f>U128*T128</f>
        <v>59.236563679999989</v>
      </c>
      <c r="W128" s="24">
        <f>V128-T128</f>
        <v>16.924732479999996</v>
      </c>
      <c r="X128" s="87">
        <v>29.5</v>
      </c>
      <c r="Y128" s="24">
        <f>V128/X128</f>
        <v>2.0080191077966099</v>
      </c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</row>
    <row r="129" spans="1:78">
      <c r="A129" s="53" t="s">
        <v>135</v>
      </c>
      <c r="B129" s="86"/>
      <c r="C129" s="86"/>
      <c r="D129" s="86"/>
      <c r="E129" s="86"/>
      <c r="F129" s="83"/>
      <c r="G129" s="93">
        <v>23.9</v>
      </c>
      <c r="H129" s="83">
        <f>J2</f>
        <v>8.09</v>
      </c>
      <c r="I129" s="83">
        <f>S2</f>
        <v>1</v>
      </c>
      <c r="J129" s="83">
        <f>I129+H129+G129</f>
        <v>32.989999999999995</v>
      </c>
      <c r="K129" s="88">
        <f>W2</f>
        <v>0.8</v>
      </c>
      <c r="L129" s="83">
        <f>AH8</f>
        <v>2.1</v>
      </c>
      <c r="M129" s="103">
        <f>U2</f>
        <v>0.8</v>
      </c>
      <c r="N129" s="87">
        <f>AG25</f>
        <v>1.3392000000000002</v>
      </c>
      <c r="O129" s="83">
        <f>AJ34</f>
        <v>1.0499999999999998</v>
      </c>
      <c r="P129" s="88">
        <f>O129+N129+L129+K129+J129+M129</f>
        <v>39.079199999999993</v>
      </c>
      <c r="Q129" s="83">
        <v>1</v>
      </c>
      <c r="R129" s="83">
        <f>Q129*P129</f>
        <v>39.079199999999993</v>
      </c>
      <c r="S129" s="83">
        <v>1.0609999999999999</v>
      </c>
      <c r="T129" s="87">
        <f>S129*R129</f>
        <v>41.463031199999989</v>
      </c>
      <c r="U129" s="87">
        <v>1.4</v>
      </c>
      <c r="V129" s="87">
        <f>U129*T129</f>
        <v>58.048243679999977</v>
      </c>
      <c r="W129" s="24">
        <f>V129-T129</f>
        <v>16.585212479999988</v>
      </c>
      <c r="X129" s="87">
        <v>29.5</v>
      </c>
      <c r="Y129" s="24">
        <f>V129/X129</f>
        <v>1.9677370738983042</v>
      </c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</row>
    <row r="130" spans="1:78">
      <c r="A130" s="51"/>
      <c r="B130" s="86"/>
      <c r="C130" s="86"/>
      <c r="D130" s="86"/>
      <c r="E130" s="86"/>
      <c r="F130" s="83"/>
      <c r="G130" s="9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7"/>
      <c r="U130" s="87"/>
      <c r="V130" s="87"/>
      <c r="W130" s="24"/>
      <c r="X130" s="24"/>
      <c r="Y130" s="2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</row>
    <row r="131" spans="1:78" s="108" customFormat="1">
      <c r="B131" s="86"/>
      <c r="C131" s="86"/>
      <c r="D131" s="86"/>
      <c r="E131" s="86"/>
      <c r="F131" s="83"/>
      <c r="G131" s="9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7"/>
      <c r="U131" s="87"/>
      <c r="V131" s="87"/>
      <c r="W131" s="96"/>
      <c r="X131" s="96"/>
      <c r="Y131" s="96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/>
      <c r="BJ131" s="95"/>
      <c r="BK131" s="95"/>
      <c r="BL131" s="95"/>
      <c r="BM131" s="95"/>
      <c r="BN131" s="95"/>
      <c r="BO131" s="95"/>
      <c r="BP131" s="95"/>
      <c r="BQ131" s="95"/>
      <c r="BR131" s="95"/>
      <c r="BS131" s="95"/>
      <c r="BT131" s="95"/>
      <c r="BU131" s="95"/>
      <c r="BV131" s="95"/>
      <c r="BW131" s="95"/>
      <c r="BX131" s="95"/>
    </row>
    <row r="132" spans="1:78" s="108" customFormat="1">
      <c r="Z132" s="96"/>
      <c r="AA132" s="96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  <c r="AZ132" s="95"/>
      <c r="BA132" s="95"/>
      <c r="BB132" s="95"/>
      <c r="BC132" s="95"/>
      <c r="BD132" s="95"/>
      <c r="BE132" s="95"/>
      <c r="BF132" s="95"/>
      <c r="BG132" s="95"/>
      <c r="BH132" s="95"/>
      <c r="BI132" s="95"/>
      <c r="BJ132" s="95"/>
      <c r="BK132" s="95"/>
      <c r="BL132" s="95"/>
      <c r="BM132" s="95"/>
      <c r="BN132" s="95"/>
      <c r="BO132" s="95"/>
      <c r="BP132" s="95"/>
      <c r="BQ132" s="95"/>
      <c r="BR132" s="95"/>
      <c r="BS132" s="95"/>
      <c r="BT132" s="95"/>
      <c r="BU132" s="95"/>
      <c r="BV132" s="95"/>
      <c r="BW132" s="95"/>
      <c r="BX132" s="95"/>
      <c r="BY132" s="95"/>
      <c r="BZ132" s="95"/>
    </row>
    <row r="133" spans="1:78" s="108" customFormat="1">
      <c r="Z133" s="96"/>
      <c r="AA133" s="96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  <c r="AZ133" s="95"/>
      <c r="BA133" s="95"/>
      <c r="BB133" s="95"/>
      <c r="BC133" s="95"/>
      <c r="BD133" s="95"/>
      <c r="BE133" s="95"/>
      <c r="BF133" s="95"/>
      <c r="BG133" s="95"/>
      <c r="BH133" s="95"/>
      <c r="BI133" s="95"/>
      <c r="BJ133" s="95"/>
      <c r="BK133" s="95"/>
      <c r="BL133" s="95"/>
      <c r="BM133" s="95"/>
      <c r="BN133" s="95"/>
      <c r="BO133" s="95"/>
      <c r="BP133" s="95"/>
      <c r="BQ133" s="95"/>
      <c r="BR133" s="95"/>
      <c r="BS133" s="95"/>
      <c r="BT133" s="95"/>
      <c r="BU133" s="95"/>
      <c r="BV133" s="95"/>
      <c r="BW133" s="95"/>
      <c r="BX133" s="95"/>
      <c r="BY133" s="95"/>
      <c r="BZ133" s="95"/>
    </row>
    <row r="134" spans="1:78" s="108" customFormat="1">
      <c r="Z134" s="96"/>
      <c r="AA134" s="96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  <c r="AY134" s="95"/>
      <c r="AZ134" s="95"/>
      <c r="BA134" s="95"/>
      <c r="BB134" s="95"/>
      <c r="BC134" s="95"/>
      <c r="BD134" s="95"/>
      <c r="BE134" s="95"/>
      <c r="BF134" s="95"/>
      <c r="BG134" s="95"/>
      <c r="BH134" s="95"/>
      <c r="BI134" s="95"/>
      <c r="BJ134" s="95"/>
      <c r="BK134" s="95"/>
      <c r="BL134" s="95"/>
      <c r="BM134" s="95"/>
      <c r="BN134" s="95"/>
      <c r="BO134" s="95"/>
      <c r="BP134" s="95"/>
      <c r="BQ134" s="95"/>
      <c r="BR134" s="95"/>
      <c r="BS134" s="95"/>
      <c r="BT134" s="95"/>
      <c r="BU134" s="95"/>
      <c r="BV134" s="95"/>
      <c r="BW134" s="95"/>
      <c r="BX134" s="95"/>
      <c r="BY134" s="95"/>
      <c r="BZ134" s="95"/>
    </row>
    <row r="135" spans="1:78" s="108" customFormat="1">
      <c r="Z135" s="96"/>
      <c r="AA135" s="96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  <c r="AZ135" s="9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  <c r="BM135" s="95"/>
      <c r="BN135" s="95"/>
      <c r="BO135" s="95"/>
      <c r="BP135" s="95"/>
      <c r="BQ135" s="95"/>
      <c r="BR135" s="95"/>
      <c r="BS135" s="95"/>
      <c r="BT135" s="95"/>
      <c r="BU135" s="95"/>
      <c r="BV135" s="95"/>
      <c r="BW135" s="95"/>
      <c r="BX135" s="95"/>
      <c r="BY135" s="95"/>
      <c r="BZ135" s="95"/>
    </row>
    <row r="136" spans="1:78" s="108" customFormat="1">
      <c r="Z136" s="96"/>
      <c r="AA136" s="96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  <c r="AY136" s="95"/>
      <c r="AZ136" s="95"/>
      <c r="BA136" s="95"/>
      <c r="BB136" s="95"/>
      <c r="BC136" s="95"/>
      <c r="BD136" s="95"/>
      <c r="BE136" s="95"/>
      <c r="BF136" s="95"/>
      <c r="BG136" s="95"/>
      <c r="BH136" s="95"/>
      <c r="BI136" s="95"/>
      <c r="BJ136" s="95"/>
      <c r="BK136" s="95"/>
      <c r="BL136" s="95"/>
      <c r="BM136" s="95"/>
      <c r="BN136" s="95"/>
      <c r="BO136" s="95"/>
      <c r="BP136" s="95"/>
      <c r="BQ136" s="95"/>
      <c r="BR136" s="95"/>
      <c r="BS136" s="95"/>
      <c r="BT136" s="95"/>
      <c r="BU136" s="95"/>
      <c r="BV136" s="95"/>
      <c r="BW136" s="95"/>
      <c r="BX136" s="95"/>
      <c r="BY136" s="95"/>
      <c r="BZ136" s="95"/>
    </row>
    <row r="137" spans="1:78" s="108" customFormat="1">
      <c r="Z137" s="96"/>
      <c r="AA137" s="96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  <c r="AZ137" s="95"/>
      <c r="BA137" s="95"/>
      <c r="BB137" s="95"/>
      <c r="BC137" s="95"/>
      <c r="BD137" s="95"/>
      <c r="BE137" s="95"/>
      <c r="BF137" s="95"/>
      <c r="BG137" s="95"/>
      <c r="BH137" s="95"/>
      <c r="BI137" s="95"/>
      <c r="BJ137" s="95"/>
      <c r="BK137" s="95"/>
      <c r="BL137" s="95"/>
      <c r="BM137" s="95"/>
      <c r="BN137" s="95"/>
      <c r="BO137" s="95"/>
      <c r="BP137" s="95"/>
      <c r="BQ137" s="95"/>
      <c r="BR137" s="95"/>
      <c r="BS137" s="95"/>
      <c r="BT137" s="95"/>
      <c r="BU137" s="95"/>
      <c r="BV137" s="95"/>
      <c r="BW137" s="95"/>
      <c r="BX137" s="95"/>
      <c r="BY137" s="95"/>
      <c r="BZ137" s="95"/>
    </row>
    <row r="138" spans="1:78" s="108" customFormat="1">
      <c r="B138" s="86"/>
      <c r="C138" s="86"/>
      <c r="D138" s="86"/>
      <c r="E138" s="86"/>
      <c r="F138" s="83"/>
      <c r="G138" s="9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7"/>
      <c r="U138" s="87"/>
      <c r="V138" s="87"/>
      <c r="W138" s="96"/>
      <c r="X138" s="96"/>
      <c r="Y138" s="96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  <c r="AZ138" s="95"/>
      <c r="BA138" s="95"/>
      <c r="BB138" s="95"/>
      <c r="BC138" s="95"/>
      <c r="BD138" s="95"/>
      <c r="BE138" s="95"/>
      <c r="BF138" s="95"/>
      <c r="BG138" s="95"/>
      <c r="BH138" s="95"/>
      <c r="BI138" s="95"/>
      <c r="BJ138" s="95"/>
      <c r="BK138" s="95"/>
      <c r="BL138" s="95"/>
      <c r="BM138" s="95"/>
      <c r="BN138" s="95"/>
      <c r="BO138" s="95"/>
      <c r="BP138" s="95"/>
      <c r="BQ138" s="95"/>
      <c r="BR138" s="95"/>
      <c r="BS138" s="95"/>
      <c r="BT138" s="95"/>
      <c r="BU138" s="95"/>
      <c r="BV138" s="95"/>
      <c r="BW138" s="95"/>
      <c r="BX138" s="95"/>
    </row>
    <row r="139" spans="1:78" s="108" customFormat="1">
      <c r="B139" s="86"/>
      <c r="C139" s="86"/>
      <c r="D139" s="86"/>
      <c r="E139" s="86"/>
      <c r="F139" s="83"/>
      <c r="G139" s="9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7"/>
      <c r="U139" s="87"/>
      <c r="V139" s="87"/>
      <c r="W139" s="96"/>
      <c r="X139" s="96"/>
      <c r="Y139" s="96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5"/>
      <c r="BK139" s="95"/>
      <c r="BL139" s="95"/>
      <c r="BM139" s="95"/>
      <c r="BN139" s="95"/>
      <c r="BO139" s="95"/>
      <c r="BP139" s="95"/>
      <c r="BQ139" s="95"/>
      <c r="BR139" s="95"/>
      <c r="BS139" s="95"/>
      <c r="BT139" s="95"/>
      <c r="BU139" s="95"/>
      <c r="BV139" s="95"/>
      <c r="BW139" s="95"/>
      <c r="BX139" s="95"/>
    </row>
    <row r="140" spans="1:78">
      <c r="A140" s="51"/>
      <c r="B140" s="86"/>
      <c r="C140" s="86"/>
      <c r="D140" s="86"/>
      <c r="E140" s="86"/>
      <c r="F140" s="83"/>
      <c r="G140" s="9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7"/>
      <c r="U140" s="87"/>
      <c r="V140" s="87"/>
      <c r="W140" s="24"/>
      <c r="X140" s="24"/>
      <c r="Y140" s="2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</row>
    <row r="141" spans="1:78" ht="19.5">
      <c r="A141" s="37" t="s">
        <v>136</v>
      </c>
      <c r="B141" s="86"/>
      <c r="C141" s="86"/>
      <c r="D141" s="86"/>
      <c r="E141" s="86"/>
      <c r="F141" s="83"/>
      <c r="G141" s="84" t="s">
        <v>76</v>
      </c>
      <c r="H141" s="83" t="s">
        <v>77</v>
      </c>
      <c r="I141" s="83" t="s">
        <v>81</v>
      </c>
      <c r="J141" s="83" t="s">
        <v>83</v>
      </c>
      <c r="K141" s="83" t="s">
        <v>187</v>
      </c>
      <c r="L141" s="83" t="s">
        <v>267</v>
      </c>
      <c r="M141" s="83" t="s">
        <v>269</v>
      </c>
      <c r="N141" s="83" t="s">
        <v>176</v>
      </c>
      <c r="O141" s="83" t="s">
        <v>177</v>
      </c>
      <c r="P141" s="83" t="s">
        <v>272</v>
      </c>
      <c r="Q141" s="83" t="s">
        <v>107</v>
      </c>
      <c r="R141" s="83" t="s">
        <v>272</v>
      </c>
      <c r="S141" s="83" t="s">
        <v>87</v>
      </c>
      <c r="T141" s="83" t="s">
        <v>183</v>
      </c>
      <c r="U141" s="83" t="s">
        <v>88</v>
      </c>
      <c r="V141" s="83" t="s">
        <v>106</v>
      </c>
      <c r="W141" s="52" t="s">
        <v>89</v>
      </c>
      <c r="X141" s="52" t="s">
        <v>125</v>
      </c>
      <c r="Y141" s="52" t="s">
        <v>126</v>
      </c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</row>
    <row r="142" spans="1:78">
      <c r="A142" s="53" t="s">
        <v>137</v>
      </c>
      <c r="B142" s="86"/>
      <c r="C142" s="86"/>
      <c r="D142" s="86"/>
      <c r="E142" s="86"/>
      <c r="F142" s="83"/>
      <c r="G142" s="93">
        <v>28.8</v>
      </c>
      <c r="H142" s="83">
        <f>H2</f>
        <v>9.41</v>
      </c>
      <c r="I142" s="83">
        <f>S2</f>
        <v>1</v>
      </c>
      <c r="J142" s="83">
        <f t="shared" ref="J142:J148" si="43">I142+H142+G142</f>
        <v>39.21</v>
      </c>
      <c r="K142" s="88">
        <f>W2</f>
        <v>0.8</v>
      </c>
      <c r="L142" s="83">
        <f>AH8</f>
        <v>2.1</v>
      </c>
      <c r="M142" s="103">
        <f>U2</f>
        <v>0.8</v>
      </c>
      <c r="N142" s="87">
        <f>AG25</f>
        <v>1.3392000000000002</v>
      </c>
      <c r="O142" s="83">
        <f>AI34</f>
        <v>0.78</v>
      </c>
      <c r="P142" s="88">
        <f t="shared" ref="P142:P148" si="44">O142+N142+L142+K142+J142+M142</f>
        <v>45.029199999999996</v>
      </c>
      <c r="Q142" s="83">
        <v>1</v>
      </c>
      <c r="R142" s="83">
        <f t="shared" ref="R142:R148" si="45">Q142*P142</f>
        <v>45.029199999999996</v>
      </c>
      <c r="S142" s="83">
        <v>1.0609999999999999</v>
      </c>
      <c r="T142" s="87">
        <f t="shared" ref="T142:T148" si="46">S142*R142</f>
        <v>47.77598119999999</v>
      </c>
      <c r="U142" s="87">
        <v>1.3</v>
      </c>
      <c r="V142" s="87">
        <f t="shared" ref="V142:V148" si="47">U142*T142</f>
        <v>62.108775559999991</v>
      </c>
      <c r="W142" s="24">
        <f t="shared" ref="W142:W148" si="48">V142-T142</f>
        <v>14.332794360000001</v>
      </c>
      <c r="X142" s="87">
        <v>29.5</v>
      </c>
      <c r="Y142" s="24">
        <f t="shared" ref="Y142:Y148" si="49">V142/X142</f>
        <v>2.1053822223728811</v>
      </c>
      <c r="Z142" s="52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</row>
    <row r="143" spans="1:78">
      <c r="A143" s="53" t="s">
        <v>138</v>
      </c>
      <c r="B143" s="86"/>
      <c r="C143" s="86"/>
      <c r="D143" s="86"/>
      <c r="E143" s="86"/>
      <c r="F143" s="83"/>
      <c r="G143" s="93">
        <v>17</v>
      </c>
      <c r="H143" s="83">
        <f>J2</f>
        <v>8.09</v>
      </c>
      <c r="I143" s="83">
        <f>S2</f>
        <v>1</v>
      </c>
      <c r="J143" s="83">
        <f t="shared" si="43"/>
        <v>26.09</v>
      </c>
      <c r="K143" s="88">
        <f>W2</f>
        <v>0.8</v>
      </c>
      <c r="L143" s="83">
        <f>AH8</f>
        <v>2.1</v>
      </c>
      <c r="M143" s="103">
        <f>U2</f>
        <v>0.8</v>
      </c>
      <c r="N143" s="87">
        <f>AG24</f>
        <v>1.0908</v>
      </c>
      <c r="O143" s="83">
        <f>AI34</f>
        <v>0.78</v>
      </c>
      <c r="P143" s="88">
        <f t="shared" si="44"/>
        <v>31.660800000000002</v>
      </c>
      <c r="Q143" s="83">
        <v>1</v>
      </c>
      <c r="R143" s="83">
        <f t="shared" si="45"/>
        <v>31.660800000000002</v>
      </c>
      <c r="S143" s="83">
        <v>1.0609999999999999</v>
      </c>
      <c r="T143" s="87">
        <f t="shared" si="46"/>
        <v>33.592108799999998</v>
      </c>
      <c r="U143" s="87">
        <v>1.4</v>
      </c>
      <c r="V143" s="87">
        <f t="shared" si="47"/>
        <v>47.028952319999995</v>
      </c>
      <c r="W143" s="24">
        <f t="shared" si="48"/>
        <v>13.436843519999996</v>
      </c>
      <c r="X143" s="87">
        <v>29.5</v>
      </c>
      <c r="Y143" s="24">
        <f t="shared" si="49"/>
        <v>1.5942017735593219</v>
      </c>
      <c r="Z143" s="52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</row>
    <row r="144" spans="1:78">
      <c r="A144" s="53" t="s">
        <v>139</v>
      </c>
      <c r="B144" s="86"/>
      <c r="C144" s="86"/>
      <c r="D144" s="86"/>
      <c r="E144" s="86"/>
      <c r="F144" s="83"/>
      <c r="G144" s="93">
        <v>17</v>
      </c>
      <c r="H144" s="83">
        <f>J2</f>
        <v>8.09</v>
      </c>
      <c r="I144" s="83">
        <f>S2</f>
        <v>1</v>
      </c>
      <c r="J144" s="83">
        <f t="shared" si="43"/>
        <v>26.09</v>
      </c>
      <c r="K144" s="88">
        <f>W2</f>
        <v>0.8</v>
      </c>
      <c r="L144" s="83">
        <f>AH8</f>
        <v>2.1</v>
      </c>
      <c r="M144" s="103">
        <f>U2</f>
        <v>0.8</v>
      </c>
      <c r="N144" s="87">
        <f>AG24</f>
        <v>1.0908</v>
      </c>
      <c r="O144" s="83">
        <f>AI34</f>
        <v>0.78</v>
      </c>
      <c r="P144" s="88">
        <f t="shared" si="44"/>
        <v>31.660800000000002</v>
      </c>
      <c r="Q144" s="83">
        <v>1</v>
      </c>
      <c r="R144" s="83">
        <f t="shared" si="45"/>
        <v>31.660800000000002</v>
      </c>
      <c r="S144" s="83">
        <v>1.0609999999999999</v>
      </c>
      <c r="T144" s="87">
        <f t="shared" si="46"/>
        <v>33.592108799999998</v>
      </c>
      <c r="U144" s="87">
        <v>1.4</v>
      </c>
      <c r="V144" s="87">
        <f t="shared" si="47"/>
        <v>47.028952319999995</v>
      </c>
      <c r="W144" s="24">
        <f t="shared" si="48"/>
        <v>13.436843519999996</v>
      </c>
      <c r="X144" s="87">
        <v>29.5</v>
      </c>
      <c r="Y144" s="24">
        <f t="shared" si="49"/>
        <v>1.5942017735593219</v>
      </c>
      <c r="Z144" s="2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</row>
    <row r="145" spans="1:76">
      <c r="A145" s="53" t="s">
        <v>140</v>
      </c>
      <c r="B145" s="86"/>
      <c r="C145" s="86"/>
      <c r="D145" s="86"/>
      <c r="E145" s="86"/>
      <c r="F145" s="83"/>
      <c r="G145" s="93">
        <v>73</v>
      </c>
      <c r="H145" s="83">
        <f>H2</f>
        <v>9.41</v>
      </c>
      <c r="I145" s="83">
        <f>S2</f>
        <v>1</v>
      </c>
      <c r="J145" s="83">
        <f t="shared" si="43"/>
        <v>83.41</v>
      </c>
      <c r="K145" s="88">
        <f>W2</f>
        <v>0.8</v>
      </c>
      <c r="L145" s="83">
        <f>AH8</f>
        <v>2.1</v>
      </c>
      <c r="M145" s="103">
        <f>U2</f>
        <v>0.8</v>
      </c>
      <c r="N145" s="87">
        <f>AN25</f>
        <v>2.1384000000000003</v>
      </c>
      <c r="O145" s="83">
        <f>AK34</f>
        <v>1.1400000000000001</v>
      </c>
      <c r="P145" s="88">
        <f t="shared" si="44"/>
        <v>90.38839999999999</v>
      </c>
      <c r="Q145" s="83">
        <v>1</v>
      </c>
      <c r="R145" s="83">
        <f t="shared" si="45"/>
        <v>90.38839999999999</v>
      </c>
      <c r="S145" s="83">
        <v>1.0609999999999999</v>
      </c>
      <c r="T145" s="87">
        <f t="shared" si="46"/>
        <v>95.902092399999987</v>
      </c>
      <c r="U145" s="87">
        <v>1.4</v>
      </c>
      <c r="V145" s="87">
        <f t="shared" si="47"/>
        <v>134.26292935999999</v>
      </c>
      <c r="W145" s="24">
        <f t="shared" si="48"/>
        <v>38.36083696</v>
      </c>
      <c r="X145" s="87">
        <v>29.5</v>
      </c>
      <c r="Y145" s="24">
        <f t="shared" si="49"/>
        <v>4.5512857410169483</v>
      </c>
      <c r="Z145" s="2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</row>
    <row r="146" spans="1:76">
      <c r="A146" s="53" t="s">
        <v>141</v>
      </c>
      <c r="B146" s="86"/>
      <c r="C146" s="86"/>
      <c r="D146" s="86"/>
      <c r="E146" s="86"/>
      <c r="F146" s="83"/>
      <c r="G146" s="93">
        <v>49</v>
      </c>
      <c r="H146" s="83">
        <f>J2</f>
        <v>8.09</v>
      </c>
      <c r="I146" s="83">
        <f>S2</f>
        <v>1</v>
      </c>
      <c r="J146" s="83">
        <f t="shared" si="43"/>
        <v>58.09</v>
      </c>
      <c r="K146" s="88">
        <f>W2</f>
        <v>0.8</v>
      </c>
      <c r="L146" s="83">
        <f>AH8</f>
        <v>2.1</v>
      </c>
      <c r="M146" s="103">
        <f>U2</f>
        <v>0.8</v>
      </c>
      <c r="N146" s="87">
        <f>AN25</f>
        <v>2.1384000000000003</v>
      </c>
      <c r="O146" s="83">
        <f>AK33</f>
        <v>1.1400000000000001</v>
      </c>
      <c r="P146" s="88">
        <f t="shared" si="44"/>
        <v>65.068399999999997</v>
      </c>
      <c r="Q146" s="83">
        <v>1</v>
      </c>
      <c r="R146" s="83">
        <f t="shared" si="45"/>
        <v>65.068399999999997</v>
      </c>
      <c r="S146" s="83">
        <v>1.0609999999999999</v>
      </c>
      <c r="T146" s="87">
        <f t="shared" si="46"/>
        <v>69.037572399999988</v>
      </c>
      <c r="U146" s="87">
        <v>1.5</v>
      </c>
      <c r="V146" s="87">
        <f t="shared" si="47"/>
        <v>103.55635859999998</v>
      </c>
      <c r="W146" s="24">
        <f t="shared" si="48"/>
        <v>34.518786199999994</v>
      </c>
      <c r="X146" s="87">
        <v>29.5</v>
      </c>
      <c r="Y146" s="24">
        <f t="shared" si="49"/>
        <v>3.5103850372881351</v>
      </c>
      <c r="Z146" s="2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</row>
    <row r="147" spans="1:76">
      <c r="A147" s="53" t="s">
        <v>142</v>
      </c>
      <c r="B147" s="86"/>
      <c r="C147" s="86"/>
      <c r="D147" s="86"/>
      <c r="E147" s="86"/>
      <c r="F147" s="83"/>
      <c r="G147" s="93">
        <v>49</v>
      </c>
      <c r="H147" s="83">
        <f>J2</f>
        <v>8.09</v>
      </c>
      <c r="I147" s="83">
        <f>S2</f>
        <v>1</v>
      </c>
      <c r="J147" s="83">
        <f t="shared" si="43"/>
        <v>58.09</v>
      </c>
      <c r="K147" s="88">
        <f>W2</f>
        <v>0.8</v>
      </c>
      <c r="L147" s="83">
        <f>AH8</f>
        <v>2.1</v>
      </c>
      <c r="M147" s="103">
        <f>U2</f>
        <v>0.8</v>
      </c>
      <c r="N147" s="87">
        <f>AN25</f>
        <v>2.1384000000000003</v>
      </c>
      <c r="O147" s="83">
        <f>AK33</f>
        <v>1.1400000000000001</v>
      </c>
      <c r="P147" s="88">
        <f t="shared" si="44"/>
        <v>65.068399999999997</v>
      </c>
      <c r="Q147" s="83">
        <v>1</v>
      </c>
      <c r="R147" s="83">
        <f t="shared" si="45"/>
        <v>65.068399999999997</v>
      </c>
      <c r="S147" s="83">
        <v>1.0609999999999999</v>
      </c>
      <c r="T147" s="87">
        <f t="shared" si="46"/>
        <v>69.037572399999988</v>
      </c>
      <c r="U147" s="87">
        <v>1.5</v>
      </c>
      <c r="V147" s="87">
        <f t="shared" si="47"/>
        <v>103.55635859999998</v>
      </c>
      <c r="W147" s="24">
        <f t="shared" si="48"/>
        <v>34.518786199999994</v>
      </c>
      <c r="X147" s="87">
        <v>29.5</v>
      </c>
      <c r="Y147" s="24">
        <f t="shared" si="49"/>
        <v>3.5103850372881351</v>
      </c>
      <c r="Z147" s="2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</row>
    <row r="148" spans="1:76">
      <c r="A148" s="53" t="s">
        <v>143</v>
      </c>
      <c r="B148" s="86"/>
      <c r="C148" s="86"/>
      <c r="D148" s="86"/>
      <c r="E148" s="86"/>
      <c r="F148" s="83"/>
      <c r="G148" s="93">
        <v>31</v>
      </c>
      <c r="H148" s="83">
        <f>H2</f>
        <v>9.41</v>
      </c>
      <c r="I148" s="83">
        <f>S2</f>
        <v>1</v>
      </c>
      <c r="J148" s="83">
        <f t="shared" si="43"/>
        <v>41.41</v>
      </c>
      <c r="K148" s="88">
        <f>W2</f>
        <v>0.8</v>
      </c>
      <c r="L148" s="83">
        <f>AH8</f>
        <v>2.1</v>
      </c>
      <c r="M148" s="103">
        <f>U2</f>
        <v>0.8</v>
      </c>
      <c r="N148" s="87">
        <f>AH25</f>
        <v>1.3824000000000001</v>
      </c>
      <c r="O148" s="83">
        <f>AK33</f>
        <v>1.1400000000000001</v>
      </c>
      <c r="P148" s="88">
        <f t="shared" si="44"/>
        <v>47.632399999999997</v>
      </c>
      <c r="Q148" s="83">
        <v>1</v>
      </c>
      <c r="R148" s="83">
        <f t="shared" si="45"/>
        <v>47.632399999999997</v>
      </c>
      <c r="S148" s="83">
        <v>1.0609999999999999</v>
      </c>
      <c r="T148" s="87">
        <f t="shared" si="46"/>
        <v>50.537976399999991</v>
      </c>
      <c r="U148" s="87">
        <v>1.4</v>
      </c>
      <c r="V148" s="87">
        <f t="shared" si="47"/>
        <v>70.753166959999987</v>
      </c>
      <c r="W148" s="24">
        <f t="shared" si="48"/>
        <v>20.215190559999996</v>
      </c>
      <c r="X148" s="87">
        <v>29.5</v>
      </c>
      <c r="Y148" s="24">
        <f t="shared" si="49"/>
        <v>2.3984124393220334</v>
      </c>
      <c r="Z148" s="2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</row>
    <row r="149" spans="1:76">
      <c r="A149" s="51"/>
      <c r="B149" s="86"/>
      <c r="C149" s="86"/>
      <c r="D149" s="86"/>
      <c r="E149" s="86"/>
      <c r="F149" s="83"/>
      <c r="G149" s="9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7"/>
      <c r="U149" s="87"/>
      <c r="V149" s="87"/>
      <c r="W149" s="24"/>
      <c r="X149" s="24"/>
      <c r="Y149" s="24"/>
      <c r="Z149" s="2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</row>
    <row r="150" spans="1:76">
      <c r="A150" s="51"/>
      <c r="B150" s="86"/>
      <c r="C150" s="86"/>
      <c r="D150" s="86"/>
      <c r="E150" s="86"/>
      <c r="F150" s="83"/>
      <c r="G150" s="9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7"/>
      <c r="U150" s="87"/>
      <c r="V150" s="87"/>
      <c r="W150" s="24"/>
      <c r="X150" s="24"/>
      <c r="Y150" s="24"/>
      <c r="Z150" s="2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</row>
    <row r="151" spans="1:76" ht="19.5">
      <c r="A151" s="37" t="s">
        <v>144</v>
      </c>
      <c r="B151" s="86"/>
      <c r="C151" s="86"/>
      <c r="D151" s="86"/>
      <c r="E151" s="86"/>
      <c r="F151" s="83"/>
      <c r="G151" s="84" t="s">
        <v>76</v>
      </c>
      <c r="H151" s="83" t="s">
        <v>77</v>
      </c>
      <c r="I151" s="83" t="s">
        <v>81</v>
      </c>
      <c r="J151" s="83" t="s">
        <v>83</v>
      </c>
      <c r="K151" s="83" t="s">
        <v>187</v>
      </c>
      <c r="L151" s="83" t="s">
        <v>267</v>
      </c>
      <c r="M151" s="83" t="s">
        <v>269</v>
      </c>
      <c r="N151" s="83" t="s">
        <v>176</v>
      </c>
      <c r="O151" s="83" t="s">
        <v>177</v>
      </c>
      <c r="P151" s="83" t="s">
        <v>272</v>
      </c>
      <c r="Q151" s="83" t="s">
        <v>107</v>
      </c>
      <c r="R151" s="83" t="s">
        <v>272</v>
      </c>
      <c r="S151" s="83" t="s">
        <v>87</v>
      </c>
      <c r="T151" s="83" t="s">
        <v>183</v>
      </c>
      <c r="U151" s="83" t="s">
        <v>88</v>
      </c>
      <c r="V151" s="83" t="s">
        <v>106</v>
      </c>
      <c r="W151" s="52" t="s">
        <v>89</v>
      </c>
      <c r="X151" s="52" t="s">
        <v>125</v>
      </c>
      <c r="Y151" s="52" t="s">
        <v>126</v>
      </c>
      <c r="Z151" s="2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</row>
    <row r="152" spans="1:76">
      <c r="A152" s="53" t="s">
        <v>145</v>
      </c>
      <c r="B152" s="86"/>
      <c r="C152" s="86"/>
      <c r="D152" s="86"/>
      <c r="E152" s="86"/>
      <c r="F152" s="83"/>
      <c r="G152" s="93">
        <v>6.2</v>
      </c>
      <c r="H152" s="83">
        <f>L2</f>
        <v>6.17</v>
      </c>
      <c r="I152" s="83">
        <f>S2</f>
        <v>1</v>
      </c>
      <c r="J152" s="83">
        <f t="shared" ref="J152:J160" si="50">I152+H152+G152</f>
        <v>13.370000000000001</v>
      </c>
      <c r="K152" s="88">
        <f>W2</f>
        <v>0.8</v>
      </c>
      <c r="L152" s="83">
        <f>AH8</f>
        <v>2.1</v>
      </c>
      <c r="M152" s="103">
        <f>U2</f>
        <v>0.8</v>
      </c>
      <c r="N152" s="87">
        <f>AE23</f>
        <v>0.85320000000000007</v>
      </c>
      <c r="O152" s="83">
        <f>AH32</f>
        <v>0.54</v>
      </c>
      <c r="P152" s="88">
        <f t="shared" ref="P152:P160" si="51">O152+N152+L152+K152+J152+M152</f>
        <v>18.463200000000004</v>
      </c>
      <c r="Q152" s="83">
        <v>1</v>
      </c>
      <c r="R152" s="83">
        <f t="shared" ref="R152:R160" si="52">Q152*P152</f>
        <v>18.463200000000004</v>
      </c>
      <c r="S152" s="83">
        <v>1.0609999999999999</v>
      </c>
      <c r="T152" s="87">
        <f t="shared" ref="T152:T160" si="53">S152*R152</f>
        <v>19.589455200000003</v>
      </c>
      <c r="U152" s="87">
        <v>1.45</v>
      </c>
      <c r="V152" s="87">
        <f t="shared" ref="V152:V160" si="54">U152*T152</f>
        <v>28.404710040000005</v>
      </c>
      <c r="W152" s="24">
        <f t="shared" ref="W152:W160" si="55">V152-T152</f>
        <v>8.8152548400000015</v>
      </c>
      <c r="X152" s="87">
        <v>29.5</v>
      </c>
      <c r="Y152" s="24">
        <f t="shared" ref="Y152:Y160" si="56">V152/X152</f>
        <v>0.96287152677966115</v>
      </c>
      <c r="Z152" s="2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</row>
    <row r="153" spans="1:76">
      <c r="A153" s="53" t="s">
        <v>146</v>
      </c>
      <c r="B153" s="86"/>
      <c r="C153" s="86"/>
      <c r="D153" s="86"/>
      <c r="E153" s="86"/>
      <c r="F153" s="83"/>
      <c r="G153" s="93">
        <v>6.2</v>
      </c>
      <c r="H153" s="83">
        <f>L2</f>
        <v>6.17</v>
      </c>
      <c r="I153" s="83">
        <f>S2</f>
        <v>1</v>
      </c>
      <c r="J153" s="83">
        <f t="shared" si="50"/>
        <v>13.370000000000001</v>
      </c>
      <c r="K153" s="88">
        <f>W2</f>
        <v>0.8</v>
      </c>
      <c r="L153" s="83">
        <f>AH8</f>
        <v>2.1</v>
      </c>
      <c r="M153" s="103">
        <f>U2</f>
        <v>0.8</v>
      </c>
      <c r="N153" s="87">
        <f>AE23</f>
        <v>0.85320000000000007</v>
      </c>
      <c r="O153" s="83">
        <f>AH32</f>
        <v>0.54</v>
      </c>
      <c r="P153" s="88">
        <f t="shared" si="51"/>
        <v>18.463200000000004</v>
      </c>
      <c r="Q153" s="83">
        <v>1</v>
      </c>
      <c r="R153" s="83">
        <f t="shared" si="52"/>
        <v>18.463200000000004</v>
      </c>
      <c r="S153" s="83">
        <v>1.0609999999999999</v>
      </c>
      <c r="T153" s="87">
        <f t="shared" si="53"/>
        <v>19.589455200000003</v>
      </c>
      <c r="U153" s="87">
        <v>1.45</v>
      </c>
      <c r="V153" s="87">
        <f t="shared" si="54"/>
        <v>28.404710040000005</v>
      </c>
      <c r="W153" s="24">
        <f t="shared" si="55"/>
        <v>8.8152548400000015</v>
      </c>
      <c r="X153" s="87">
        <v>29.5</v>
      </c>
      <c r="Y153" s="24">
        <f t="shared" si="56"/>
        <v>0.96287152677966115</v>
      </c>
      <c r="Z153" s="2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</row>
    <row r="154" spans="1:76">
      <c r="A154" s="53" t="s">
        <v>147</v>
      </c>
      <c r="B154" s="86"/>
      <c r="C154" s="86"/>
      <c r="D154" s="86"/>
      <c r="E154" s="86"/>
      <c r="F154" s="83"/>
      <c r="G154" s="93">
        <v>6.2</v>
      </c>
      <c r="H154" s="83">
        <f>L2</f>
        <v>6.17</v>
      </c>
      <c r="I154" s="83">
        <f>S2</f>
        <v>1</v>
      </c>
      <c r="J154" s="83">
        <f t="shared" si="50"/>
        <v>13.370000000000001</v>
      </c>
      <c r="K154" s="88">
        <f>W2</f>
        <v>0.8</v>
      </c>
      <c r="L154" s="83">
        <f>AH8</f>
        <v>2.1</v>
      </c>
      <c r="M154" s="103">
        <f>U2</f>
        <v>0.8</v>
      </c>
      <c r="N154" s="87">
        <f>AE23</f>
        <v>0.85320000000000007</v>
      </c>
      <c r="O154" s="83">
        <f>AH32</f>
        <v>0.54</v>
      </c>
      <c r="P154" s="88">
        <f t="shared" si="51"/>
        <v>18.463200000000004</v>
      </c>
      <c r="Q154" s="83">
        <v>1</v>
      </c>
      <c r="R154" s="83">
        <f t="shared" si="52"/>
        <v>18.463200000000004</v>
      </c>
      <c r="S154" s="83">
        <v>1.0609999999999999</v>
      </c>
      <c r="T154" s="87">
        <f t="shared" si="53"/>
        <v>19.589455200000003</v>
      </c>
      <c r="U154" s="87">
        <v>1.45</v>
      </c>
      <c r="V154" s="87">
        <f t="shared" si="54"/>
        <v>28.404710040000005</v>
      </c>
      <c r="W154" s="24">
        <f t="shared" si="55"/>
        <v>8.8152548400000015</v>
      </c>
      <c r="X154" s="87">
        <v>29.5</v>
      </c>
      <c r="Y154" s="24">
        <f t="shared" si="56"/>
        <v>0.96287152677966115</v>
      </c>
      <c r="Z154" s="2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</row>
    <row r="155" spans="1:76">
      <c r="A155" s="53" t="s">
        <v>148</v>
      </c>
      <c r="B155" s="86"/>
      <c r="C155" s="86"/>
      <c r="D155" s="86"/>
      <c r="E155" s="86"/>
      <c r="F155" s="83"/>
      <c r="G155" s="93">
        <v>6.2</v>
      </c>
      <c r="H155" s="83">
        <f>L2</f>
        <v>6.17</v>
      </c>
      <c r="I155" s="83">
        <f>S2</f>
        <v>1</v>
      </c>
      <c r="J155" s="83">
        <f t="shared" si="50"/>
        <v>13.370000000000001</v>
      </c>
      <c r="K155" s="88">
        <f>W2</f>
        <v>0.8</v>
      </c>
      <c r="L155" s="83">
        <f>AH8</f>
        <v>2.1</v>
      </c>
      <c r="M155" s="103">
        <f>U2</f>
        <v>0.8</v>
      </c>
      <c r="N155" s="87">
        <f>AE23</f>
        <v>0.85320000000000007</v>
      </c>
      <c r="O155" s="83">
        <f>AH32</f>
        <v>0.54</v>
      </c>
      <c r="P155" s="88">
        <f t="shared" si="51"/>
        <v>18.463200000000004</v>
      </c>
      <c r="Q155" s="83">
        <v>1</v>
      </c>
      <c r="R155" s="83">
        <f t="shared" si="52"/>
        <v>18.463200000000004</v>
      </c>
      <c r="S155" s="83">
        <v>1.0609999999999999</v>
      </c>
      <c r="T155" s="87">
        <f t="shared" si="53"/>
        <v>19.589455200000003</v>
      </c>
      <c r="U155" s="87">
        <v>1.45</v>
      </c>
      <c r="V155" s="87">
        <f t="shared" si="54"/>
        <v>28.404710040000005</v>
      </c>
      <c r="W155" s="24">
        <f t="shared" si="55"/>
        <v>8.8152548400000015</v>
      </c>
      <c r="X155" s="87">
        <v>29.5</v>
      </c>
      <c r="Y155" s="24">
        <f t="shared" si="56"/>
        <v>0.96287152677966115</v>
      </c>
      <c r="Z155" s="52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</row>
    <row r="156" spans="1:76">
      <c r="A156" s="53" t="s">
        <v>149</v>
      </c>
      <c r="B156" s="86"/>
      <c r="C156" s="86"/>
      <c r="D156" s="86"/>
      <c r="E156" s="86"/>
      <c r="F156" s="83"/>
      <c r="G156" s="93">
        <v>14</v>
      </c>
      <c r="H156" s="83">
        <f>J2</f>
        <v>8.09</v>
      </c>
      <c r="I156" s="83">
        <f>S2</f>
        <v>1</v>
      </c>
      <c r="J156" s="83">
        <f t="shared" si="50"/>
        <v>23.09</v>
      </c>
      <c r="K156" s="88">
        <f>W2</f>
        <v>0.8</v>
      </c>
      <c r="L156" s="83">
        <f>AH8</f>
        <v>2.1</v>
      </c>
      <c r="M156" s="103">
        <f>U2</f>
        <v>0.8</v>
      </c>
      <c r="N156" s="87">
        <f>AF24</f>
        <v>0.99360000000000015</v>
      </c>
      <c r="O156" s="83">
        <f>AI33</f>
        <v>0.60000000000000009</v>
      </c>
      <c r="P156" s="88">
        <f t="shared" si="51"/>
        <v>28.383600000000001</v>
      </c>
      <c r="Q156" s="83">
        <v>1</v>
      </c>
      <c r="R156" s="83">
        <f t="shared" si="52"/>
        <v>28.383600000000001</v>
      </c>
      <c r="S156" s="83">
        <v>1.0609999999999999</v>
      </c>
      <c r="T156" s="87">
        <f t="shared" si="53"/>
        <v>30.114999600000001</v>
      </c>
      <c r="U156" s="87">
        <v>1.45</v>
      </c>
      <c r="V156" s="87">
        <f t="shared" si="54"/>
        <v>43.666749420000002</v>
      </c>
      <c r="W156" s="24">
        <f t="shared" si="55"/>
        <v>13.551749820000001</v>
      </c>
      <c r="X156" s="87">
        <v>29.5</v>
      </c>
      <c r="Y156" s="24">
        <f t="shared" si="56"/>
        <v>1.4802287938983052</v>
      </c>
      <c r="Z156" s="52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</row>
    <row r="157" spans="1:76">
      <c r="A157" s="53" t="s">
        <v>150</v>
      </c>
      <c r="B157" s="86"/>
      <c r="C157" s="86"/>
      <c r="D157" s="86"/>
      <c r="E157" s="86"/>
      <c r="F157" s="83"/>
      <c r="G157" s="93">
        <v>14</v>
      </c>
      <c r="H157" s="83">
        <f>J2</f>
        <v>8.09</v>
      </c>
      <c r="I157" s="83">
        <f>S2</f>
        <v>1</v>
      </c>
      <c r="J157" s="83">
        <f t="shared" si="50"/>
        <v>23.09</v>
      </c>
      <c r="K157" s="88">
        <f>W2</f>
        <v>0.8</v>
      </c>
      <c r="L157" s="83">
        <f>AH8</f>
        <v>2.1</v>
      </c>
      <c r="M157" s="103">
        <f>U2</f>
        <v>0.8</v>
      </c>
      <c r="N157" s="87">
        <f>AF24</f>
        <v>0.99360000000000015</v>
      </c>
      <c r="O157" s="83">
        <f>AI33</f>
        <v>0.60000000000000009</v>
      </c>
      <c r="P157" s="88">
        <f t="shared" si="51"/>
        <v>28.383600000000001</v>
      </c>
      <c r="Q157" s="83">
        <v>1</v>
      </c>
      <c r="R157" s="83">
        <f t="shared" si="52"/>
        <v>28.383600000000001</v>
      </c>
      <c r="S157" s="83">
        <v>1.0609999999999999</v>
      </c>
      <c r="T157" s="87">
        <f t="shared" si="53"/>
        <v>30.114999600000001</v>
      </c>
      <c r="U157" s="87">
        <v>1.45</v>
      </c>
      <c r="V157" s="87">
        <f t="shared" si="54"/>
        <v>43.666749420000002</v>
      </c>
      <c r="W157" s="24">
        <f t="shared" si="55"/>
        <v>13.551749820000001</v>
      </c>
      <c r="X157" s="87">
        <v>29.5</v>
      </c>
      <c r="Y157" s="24">
        <f t="shared" si="56"/>
        <v>1.4802287938983052</v>
      </c>
      <c r="Z157" s="52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</row>
    <row r="158" spans="1:76">
      <c r="A158" s="53" t="s">
        <v>151</v>
      </c>
      <c r="B158" s="86"/>
      <c r="C158" s="86"/>
      <c r="D158" s="86"/>
      <c r="E158" s="86"/>
      <c r="F158" s="83"/>
      <c r="G158" s="93">
        <v>14</v>
      </c>
      <c r="H158" s="83">
        <f>J2</f>
        <v>8.09</v>
      </c>
      <c r="I158" s="83">
        <f>S2</f>
        <v>1</v>
      </c>
      <c r="J158" s="83">
        <f t="shared" si="50"/>
        <v>23.09</v>
      </c>
      <c r="K158" s="88">
        <f>W2</f>
        <v>0.8</v>
      </c>
      <c r="L158" s="83">
        <f>AH8</f>
        <v>2.1</v>
      </c>
      <c r="M158" s="103">
        <f>U2</f>
        <v>0.8</v>
      </c>
      <c r="N158" s="87">
        <f>AF24</f>
        <v>0.99360000000000015</v>
      </c>
      <c r="O158" s="83">
        <f>AI33</f>
        <v>0.60000000000000009</v>
      </c>
      <c r="P158" s="88">
        <f t="shared" si="51"/>
        <v>28.383600000000001</v>
      </c>
      <c r="Q158" s="83">
        <v>1</v>
      </c>
      <c r="R158" s="83">
        <f t="shared" si="52"/>
        <v>28.383600000000001</v>
      </c>
      <c r="S158" s="83">
        <v>1.0609999999999999</v>
      </c>
      <c r="T158" s="87">
        <f t="shared" si="53"/>
        <v>30.114999600000001</v>
      </c>
      <c r="U158" s="87">
        <v>1.45</v>
      </c>
      <c r="V158" s="87">
        <f t="shared" si="54"/>
        <v>43.666749420000002</v>
      </c>
      <c r="W158" s="24">
        <f t="shared" si="55"/>
        <v>13.551749820000001</v>
      </c>
      <c r="X158" s="87">
        <v>29.5</v>
      </c>
      <c r="Y158" s="24">
        <f t="shared" si="56"/>
        <v>1.4802287938983052</v>
      </c>
      <c r="Z158" s="52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</row>
    <row r="159" spans="1:76">
      <c r="A159" s="53" t="s">
        <v>152</v>
      </c>
      <c r="B159" s="86"/>
      <c r="C159" s="86"/>
      <c r="D159" s="86"/>
      <c r="E159" s="86"/>
      <c r="F159" s="83"/>
      <c r="G159" s="93">
        <v>14</v>
      </c>
      <c r="H159" s="83">
        <f>J2</f>
        <v>8.09</v>
      </c>
      <c r="I159" s="83">
        <f>S2</f>
        <v>1</v>
      </c>
      <c r="J159" s="83">
        <f t="shared" si="50"/>
        <v>23.09</v>
      </c>
      <c r="K159" s="88">
        <f>W2</f>
        <v>0.8</v>
      </c>
      <c r="L159" s="83">
        <f>AH8</f>
        <v>2.1</v>
      </c>
      <c r="M159" s="103">
        <f>U2</f>
        <v>0.8</v>
      </c>
      <c r="N159" s="87">
        <f>AF24</f>
        <v>0.99360000000000015</v>
      </c>
      <c r="O159" s="83">
        <f>AI33</f>
        <v>0.60000000000000009</v>
      </c>
      <c r="P159" s="88">
        <f t="shared" si="51"/>
        <v>28.383600000000001</v>
      </c>
      <c r="Q159" s="83">
        <v>1</v>
      </c>
      <c r="R159" s="83">
        <f t="shared" si="52"/>
        <v>28.383600000000001</v>
      </c>
      <c r="S159" s="83">
        <v>1.0609999999999999</v>
      </c>
      <c r="T159" s="87">
        <f t="shared" si="53"/>
        <v>30.114999600000001</v>
      </c>
      <c r="U159" s="87">
        <v>1.45</v>
      </c>
      <c r="V159" s="87">
        <f t="shared" si="54"/>
        <v>43.666749420000002</v>
      </c>
      <c r="W159" s="24">
        <f t="shared" si="55"/>
        <v>13.551749820000001</v>
      </c>
      <c r="X159" s="87">
        <v>29.5</v>
      </c>
      <c r="Y159" s="24">
        <f t="shared" si="56"/>
        <v>1.4802287938983052</v>
      </c>
      <c r="Z159" s="52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</row>
    <row r="160" spans="1:76">
      <c r="A160" s="53" t="s">
        <v>153</v>
      </c>
      <c r="B160" s="86"/>
      <c r="C160" s="86"/>
      <c r="D160" s="86"/>
      <c r="E160" s="86"/>
      <c r="F160" s="83"/>
      <c r="G160" s="93">
        <v>13</v>
      </c>
      <c r="H160" s="83">
        <f>J2</f>
        <v>8.09</v>
      </c>
      <c r="I160" s="83">
        <f>S2</f>
        <v>1</v>
      </c>
      <c r="J160" s="83">
        <f t="shared" si="50"/>
        <v>22.09</v>
      </c>
      <c r="K160" s="88">
        <f>W2</f>
        <v>0.8</v>
      </c>
      <c r="L160" s="83">
        <f>AH8</f>
        <v>2.1</v>
      </c>
      <c r="M160" s="103">
        <f>U2</f>
        <v>0.8</v>
      </c>
      <c r="N160" s="87">
        <f>AF24</f>
        <v>0.99360000000000015</v>
      </c>
      <c r="O160" s="83">
        <f>AI33</f>
        <v>0.60000000000000009</v>
      </c>
      <c r="P160" s="88">
        <f t="shared" si="51"/>
        <v>27.383600000000001</v>
      </c>
      <c r="Q160" s="83">
        <v>1</v>
      </c>
      <c r="R160" s="83">
        <f t="shared" si="52"/>
        <v>27.383600000000001</v>
      </c>
      <c r="S160" s="83">
        <v>1.0609999999999999</v>
      </c>
      <c r="T160" s="87">
        <f t="shared" si="53"/>
        <v>29.053999600000001</v>
      </c>
      <c r="U160" s="87">
        <v>1.45</v>
      </c>
      <c r="V160" s="87">
        <f t="shared" si="54"/>
        <v>42.128299419999998</v>
      </c>
      <c r="W160" s="24">
        <f t="shared" si="55"/>
        <v>13.074299819999997</v>
      </c>
      <c r="X160" s="87">
        <v>29.5</v>
      </c>
      <c r="Y160" s="24">
        <f t="shared" si="56"/>
        <v>1.4280779464406779</v>
      </c>
      <c r="Z160" s="52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</row>
    <row r="161" spans="1:76">
      <c r="A161" s="51"/>
      <c r="B161" s="86"/>
      <c r="C161" s="86"/>
      <c r="D161" s="86"/>
      <c r="E161" s="86"/>
      <c r="F161" s="83"/>
      <c r="G161" s="9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7"/>
      <c r="U161" s="87"/>
      <c r="V161" s="87"/>
      <c r="W161" s="24"/>
      <c r="X161" s="24"/>
      <c r="Y161" s="24"/>
      <c r="Z161" s="52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</row>
    <row r="162" spans="1:76">
      <c r="A162" s="51"/>
      <c r="B162" s="86"/>
      <c r="C162" s="86"/>
      <c r="D162" s="86"/>
      <c r="E162" s="86"/>
      <c r="F162" s="83"/>
      <c r="G162" s="9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7"/>
      <c r="U162" s="87"/>
      <c r="V162" s="87"/>
      <c r="W162" s="24"/>
      <c r="X162" s="24"/>
      <c r="Y162" s="24"/>
      <c r="Z162" s="52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</row>
    <row r="163" spans="1:76" ht="21">
      <c r="A163" s="39" t="s">
        <v>154</v>
      </c>
      <c r="B163" s="86"/>
      <c r="C163" s="86"/>
      <c r="D163" s="86"/>
      <c r="E163" s="86"/>
      <c r="F163" s="83"/>
      <c r="G163" s="84" t="s">
        <v>76</v>
      </c>
      <c r="H163" s="83" t="s">
        <v>77</v>
      </c>
      <c r="I163" s="83" t="s">
        <v>81</v>
      </c>
      <c r="J163" s="83" t="s">
        <v>83</v>
      </c>
      <c r="K163" s="83" t="s">
        <v>187</v>
      </c>
      <c r="L163" s="83" t="s">
        <v>267</v>
      </c>
      <c r="M163" s="83" t="s">
        <v>269</v>
      </c>
      <c r="N163" s="83" t="s">
        <v>176</v>
      </c>
      <c r="O163" s="83" t="s">
        <v>177</v>
      </c>
      <c r="P163" s="83" t="s">
        <v>272</v>
      </c>
      <c r="Q163" s="83" t="s">
        <v>107</v>
      </c>
      <c r="R163" s="83" t="s">
        <v>272</v>
      </c>
      <c r="S163" s="83" t="s">
        <v>87</v>
      </c>
      <c r="T163" s="83" t="s">
        <v>183</v>
      </c>
      <c r="U163" s="83" t="s">
        <v>88</v>
      </c>
      <c r="V163" s="83" t="s">
        <v>106</v>
      </c>
      <c r="W163" s="52" t="s">
        <v>89</v>
      </c>
      <c r="X163" s="52" t="s">
        <v>125</v>
      </c>
      <c r="Y163" s="52" t="s">
        <v>126</v>
      </c>
      <c r="Z163" s="52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</row>
    <row r="164" spans="1:76">
      <c r="A164" s="40" t="s">
        <v>155</v>
      </c>
      <c r="B164" s="86"/>
      <c r="C164" s="86"/>
      <c r="D164" s="86"/>
      <c r="E164" s="86"/>
      <c r="F164" s="83"/>
      <c r="G164" s="93">
        <v>30.42</v>
      </c>
      <c r="H164" s="83">
        <f>J2</f>
        <v>8.09</v>
      </c>
      <c r="I164" s="83">
        <f>S2</f>
        <v>1</v>
      </c>
      <c r="J164" s="83">
        <f t="shared" ref="J164:J169" si="57">I164+H164+G164</f>
        <v>39.510000000000005</v>
      </c>
      <c r="K164" s="88">
        <f>W2</f>
        <v>0.8</v>
      </c>
      <c r="L164" s="83">
        <f>AH8</f>
        <v>2.1</v>
      </c>
      <c r="M164" s="103">
        <f>U2</f>
        <v>0.8</v>
      </c>
      <c r="N164" s="87">
        <f>AH24</f>
        <v>1.2096000000000002</v>
      </c>
      <c r="O164" s="83">
        <f>AJ33</f>
        <v>0.78</v>
      </c>
      <c r="P164" s="88">
        <f t="shared" ref="P164:P169" si="58">O164+N164+L164+K164+J164+M164</f>
        <v>45.199600000000004</v>
      </c>
      <c r="Q164" s="83">
        <v>1</v>
      </c>
      <c r="R164" s="83">
        <f t="shared" ref="R164:R169" si="59">Q164*P164</f>
        <v>45.199600000000004</v>
      </c>
      <c r="S164" s="83">
        <v>1.0609999999999999</v>
      </c>
      <c r="T164" s="87">
        <f t="shared" ref="T164:T169" si="60">S164*R164</f>
        <v>47.9567756</v>
      </c>
      <c r="U164" s="87">
        <v>1.5</v>
      </c>
      <c r="V164" s="87">
        <f t="shared" ref="V164:V169" si="61">U164*T164</f>
        <v>71.935163399999993</v>
      </c>
      <c r="W164" s="24">
        <f t="shared" ref="W164:W169" si="62">V164-T164</f>
        <v>23.978387799999993</v>
      </c>
      <c r="X164" s="87">
        <v>29.5</v>
      </c>
      <c r="Y164" s="24">
        <f t="shared" ref="Y164:Y169" si="63">V164/X164</f>
        <v>2.438480115254237</v>
      </c>
      <c r="Z164" s="52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</row>
    <row r="165" spans="1:76">
      <c r="A165" s="40" t="s">
        <v>156</v>
      </c>
      <c r="B165" s="86"/>
      <c r="C165" s="86"/>
      <c r="D165" s="86"/>
      <c r="E165" s="86"/>
      <c r="F165" s="83"/>
      <c r="G165" s="93">
        <v>25.28</v>
      </c>
      <c r="H165" s="83">
        <f>J2</f>
        <v>8.09</v>
      </c>
      <c r="I165" s="83">
        <f>S2</f>
        <v>1</v>
      </c>
      <c r="J165" s="83">
        <f t="shared" si="57"/>
        <v>34.370000000000005</v>
      </c>
      <c r="K165" s="88">
        <f>W2</f>
        <v>0.8</v>
      </c>
      <c r="L165" s="83">
        <f>AH8</f>
        <v>2.1</v>
      </c>
      <c r="M165" s="103">
        <f>U2</f>
        <v>0.8</v>
      </c>
      <c r="N165" s="87">
        <f>AH24</f>
        <v>1.2096000000000002</v>
      </c>
      <c r="O165" s="83">
        <f>AJ33</f>
        <v>0.78</v>
      </c>
      <c r="P165" s="88">
        <f t="shared" si="58"/>
        <v>40.059600000000003</v>
      </c>
      <c r="Q165" s="83">
        <v>1</v>
      </c>
      <c r="R165" s="83">
        <f t="shared" si="59"/>
        <v>40.059600000000003</v>
      </c>
      <c r="S165" s="83">
        <v>1.0609999999999999</v>
      </c>
      <c r="T165" s="87">
        <f t="shared" si="60"/>
        <v>42.503235600000004</v>
      </c>
      <c r="U165" s="87">
        <v>1.5</v>
      </c>
      <c r="V165" s="87">
        <f t="shared" si="61"/>
        <v>63.754853400000002</v>
      </c>
      <c r="W165" s="24">
        <f t="shared" si="62"/>
        <v>21.251617799999998</v>
      </c>
      <c r="X165" s="87">
        <v>29.5</v>
      </c>
      <c r="Y165" s="24">
        <f t="shared" si="63"/>
        <v>2.1611814711864406</v>
      </c>
      <c r="Z165" s="52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</row>
    <row r="166" spans="1:76">
      <c r="A166" s="40" t="s">
        <v>157</v>
      </c>
      <c r="B166" s="86"/>
      <c r="C166" s="86"/>
      <c r="D166" s="86"/>
      <c r="E166" s="86"/>
      <c r="F166" s="83"/>
      <c r="G166" s="93">
        <v>23.38</v>
      </c>
      <c r="H166" s="83">
        <f>J2</f>
        <v>8.09</v>
      </c>
      <c r="I166" s="83">
        <f>S2</f>
        <v>1</v>
      </c>
      <c r="J166" s="83">
        <f t="shared" si="57"/>
        <v>32.47</v>
      </c>
      <c r="K166" s="88">
        <f>W2</f>
        <v>0.8</v>
      </c>
      <c r="L166" s="83">
        <f>AH8</f>
        <v>2.1</v>
      </c>
      <c r="M166" s="103">
        <f>U2</f>
        <v>0.8</v>
      </c>
      <c r="N166" s="87">
        <f>AH24</f>
        <v>1.2096000000000002</v>
      </c>
      <c r="O166" s="83">
        <f>AJ33</f>
        <v>0.78</v>
      </c>
      <c r="P166" s="88">
        <f t="shared" si="58"/>
        <v>38.159599999999998</v>
      </c>
      <c r="Q166" s="83">
        <v>1</v>
      </c>
      <c r="R166" s="83">
        <f t="shared" si="59"/>
        <v>38.159599999999998</v>
      </c>
      <c r="S166" s="83">
        <v>1.0609999999999999</v>
      </c>
      <c r="T166" s="87">
        <f t="shared" si="60"/>
        <v>40.487335599999994</v>
      </c>
      <c r="U166" s="87">
        <v>1.5</v>
      </c>
      <c r="V166" s="87">
        <f t="shared" si="61"/>
        <v>60.731003399999992</v>
      </c>
      <c r="W166" s="24">
        <f t="shared" si="62"/>
        <v>20.243667799999997</v>
      </c>
      <c r="X166" s="87">
        <v>29.5</v>
      </c>
      <c r="Y166" s="24">
        <f t="shared" si="63"/>
        <v>2.0586780813559318</v>
      </c>
      <c r="Z166" s="52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</row>
    <row r="167" spans="1:76">
      <c r="A167" s="40" t="s">
        <v>158</v>
      </c>
      <c r="B167" s="86"/>
      <c r="C167" s="86"/>
      <c r="D167" s="86"/>
      <c r="E167" s="86"/>
      <c r="F167" s="83"/>
      <c r="G167" s="93">
        <v>34.76</v>
      </c>
      <c r="H167" s="83">
        <f>J2</f>
        <v>8.09</v>
      </c>
      <c r="I167" s="83">
        <f>S2</f>
        <v>1</v>
      </c>
      <c r="J167" s="83">
        <f t="shared" si="57"/>
        <v>43.849999999999994</v>
      </c>
      <c r="K167" s="88">
        <f>W2</f>
        <v>0.8</v>
      </c>
      <c r="L167" s="83">
        <f>AH8</f>
        <v>2.1</v>
      </c>
      <c r="M167" s="103">
        <f>U2</f>
        <v>0.8</v>
      </c>
      <c r="N167" s="87">
        <f>AH24</f>
        <v>1.2096000000000002</v>
      </c>
      <c r="O167" s="83">
        <f>AJ33</f>
        <v>0.78</v>
      </c>
      <c r="P167" s="88">
        <f t="shared" si="58"/>
        <v>49.539599999999993</v>
      </c>
      <c r="Q167" s="83">
        <v>1</v>
      </c>
      <c r="R167" s="83">
        <f t="shared" si="59"/>
        <v>49.539599999999993</v>
      </c>
      <c r="S167" s="83">
        <v>1.0609999999999999</v>
      </c>
      <c r="T167" s="87">
        <f t="shared" si="60"/>
        <v>52.561515599999993</v>
      </c>
      <c r="U167" s="87">
        <v>1.5</v>
      </c>
      <c r="V167" s="87">
        <f t="shared" si="61"/>
        <v>78.842273399999982</v>
      </c>
      <c r="W167" s="24">
        <f t="shared" si="62"/>
        <v>26.280757799999989</v>
      </c>
      <c r="X167" s="87">
        <v>29.5</v>
      </c>
      <c r="Y167" s="24">
        <f t="shared" si="63"/>
        <v>2.6726194372881351</v>
      </c>
      <c r="Z167" s="52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</row>
    <row r="168" spans="1:76">
      <c r="A168" s="43" t="s">
        <v>159</v>
      </c>
      <c r="B168" s="86"/>
      <c r="C168" s="86"/>
      <c r="D168" s="86"/>
      <c r="E168" s="86"/>
      <c r="F168" s="83"/>
      <c r="G168" s="93">
        <v>27.68</v>
      </c>
      <c r="H168" s="83">
        <f>J2</f>
        <v>8.09</v>
      </c>
      <c r="I168" s="83">
        <f>S2</f>
        <v>1</v>
      </c>
      <c r="J168" s="83">
        <f t="shared" si="57"/>
        <v>36.769999999999996</v>
      </c>
      <c r="K168" s="88">
        <f>W2</f>
        <v>0.8</v>
      </c>
      <c r="L168" s="83">
        <f>AH8</f>
        <v>2.1</v>
      </c>
      <c r="M168" s="103">
        <f>U2</f>
        <v>0.8</v>
      </c>
      <c r="N168" s="87">
        <f>AH24</f>
        <v>1.2096000000000002</v>
      </c>
      <c r="O168" s="83">
        <f>AJ33</f>
        <v>0.78</v>
      </c>
      <c r="P168" s="88">
        <f t="shared" si="58"/>
        <v>42.459599999999995</v>
      </c>
      <c r="Q168" s="83">
        <v>1</v>
      </c>
      <c r="R168" s="83">
        <f t="shared" si="59"/>
        <v>42.459599999999995</v>
      </c>
      <c r="S168" s="83">
        <v>1.0609999999999999</v>
      </c>
      <c r="T168" s="87">
        <f t="shared" si="60"/>
        <v>45.049635599999995</v>
      </c>
      <c r="U168" s="87">
        <v>1.5</v>
      </c>
      <c r="V168" s="87">
        <f t="shared" si="61"/>
        <v>67.574453399999996</v>
      </c>
      <c r="W168" s="24">
        <f t="shared" si="62"/>
        <v>22.524817800000001</v>
      </c>
      <c r="X168" s="87">
        <v>29.5</v>
      </c>
      <c r="Y168" s="24">
        <f t="shared" si="63"/>
        <v>2.2906594372881353</v>
      </c>
      <c r="Z168" s="52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</row>
    <row r="169" spans="1:76">
      <c r="A169" s="40" t="s">
        <v>186</v>
      </c>
      <c r="B169" s="86"/>
      <c r="C169" s="86"/>
      <c r="D169" s="86"/>
      <c r="E169" s="86"/>
      <c r="F169" s="83"/>
      <c r="G169" s="93">
        <v>8</v>
      </c>
      <c r="H169" s="83">
        <v>4</v>
      </c>
      <c r="I169" s="83">
        <f>S2</f>
        <v>1</v>
      </c>
      <c r="J169" s="83">
        <f t="shared" si="57"/>
        <v>13</v>
      </c>
      <c r="K169" s="88">
        <f>W2</f>
        <v>0.8</v>
      </c>
      <c r="L169" s="83">
        <f>AH8</f>
        <v>2.1</v>
      </c>
      <c r="M169" s="103">
        <f>U2</f>
        <v>0.8</v>
      </c>
      <c r="N169" s="87">
        <f>AF22</f>
        <v>0.90720000000000001</v>
      </c>
      <c r="O169" s="83">
        <f>AI32</f>
        <v>0.60000000000000009</v>
      </c>
      <c r="P169" s="88">
        <f t="shared" si="58"/>
        <v>18.2072</v>
      </c>
      <c r="Q169" s="83">
        <v>1</v>
      </c>
      <c r="R169" s="83">
        <f t="shared" si="59"/>
        <v>18.2072</v>
      </c>
      <c r="S169" s="83">
        <v>1.0609999999999999</v>
      </c>
      <c r="T169" s="87">
        <f t="shared" si="60"/>
        <v>19.317839199999998</v>
      </c>
      <c r="U169" s="87">
        <v>1.5</v>
      </c>
      <c r="V169" s="87">
        <f t="shared" si="61"/>
        <v>28.976758799999999</v>
      </c>
      <c r="W169" s="24">
        <f t="shared" si="62"/>
        <v>9.6589196000000008</v>
      </c>
      <c r="X169" s="87">
        <v>29.5</v>
      </c>
      <c r="Y169" s="24">
        <f t="shared" si="63"/>
        <v>0.98226301016949147</v>
      </c>
      <c r="Z169" s="52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</row>
    <row r="170" spans="1:76">
      <c r="A170" s="42"/>
      <c r="B170" s="86"/>
      <c r="C170" s="86"/>
      <c r="D170" s="86"/>
      <c r="E170" s="86"/>
      <c r="F170" s="83"/>
      <c r="G170" s="9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7"/>
      <c r="U170" s="87"/>
      <c r="V170" s="87"/>
      <c r="W170" s="24"/>
      <c r="X170" s="24"/>
      <c r="Y170" s="24"/>
      <c r="Z170" s="52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</row>
    <row r="171" spans="1:76">
      <c r="A171" s="42"/>
      <c r="B171" s="86"/>
      <c r="C171" s="86"/>
      <c r="D171" s="86"/>
      <c r="E171" s="86"/>
      <c r="F171" s="83"/>
      <c r="G171" s="9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7"/>
      <c r="U171" s="87"/>
      <c r="V171" s="87"/>
      <c r="W171" s="24"/>
      <c r="X171" s="24"/>
      <c r="Y171" s="24"/>
      <c r="Z171" s="52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</row>
    <row r="172" spans="1:76" ht="21">
      <c r="A172" s="46" t="s">
        <v>160</v>
      </c>
      <c r="B172" s="86"/>
      <c r="C172" s="86"/>
      <c r="D172" s="86"/>
      <c r="E172" s="86"/>
      <c r="F172" s="83"/>
      <c r="G172" s="84" t="s">
        <v>76</v>
      </c>
      <c r="H172" s="83" t="s">
        <v>77</v>
      </c>
      <c r="I172" s="83" t="s">
        <v>81</v>
      </c>
      <c r="J172" s="83" t="s">
        <v>83</v>
      </c>
      <c r="K172" s="83" t="s">
        <v>187</v>
      </c>
      <c r="L172" s="83" t="s">
        <v>267</v>
      </c>
      <c r="M172" s="83" t="s">
        <v>269</v>
      </c>
      <c r="N172" s="83" t="s">
        <v>176</v>
      </c>
      <c r="O172" s="83" t="s">
        <v>177</v>
      </c>
      <c r="P172" s="83" t="s">
        <v>272</v>
      </c>
      <c r="Q172" s="83" t="s">
        <v>107</v>
      </c>
      <c r="R172" s="83" t="s">
        <v>272</v>
      </c>
      <c r="S172" s="83" t="s">
        <v>87</v>
      </c>
      <c r="T172" s="83" t="s">
        <v>183</v>
      </c>
      <c r="U172" s="83" t="s">
        <v>88</v>
      </c>
      <c r="V172" s="83" t="s">
        <v>106</v>
      </c>
      <c r="W172" s="52" t="s">
        <v>89</v>
      </c>
      <c r="X172" s="52" t="s">
        <v>125</v>
      </c>
      <c r="Y172" s="52" t="s">
        <v>126</v>
      </c>
      <c r="Z172" s="52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</row>
    <row r="173" spans="1:76">
      <c r="A173" s="40" t="s">
        <v>161</v>
      </c>
      <c r="B173" s="86"/>
      <c r="C173" s="86"/>
      <c r="D173" s="86"/>
      <c r="E173" s="86"/>
      <c r="F173" s="83"/>
      <c r="G173" s="93">
        <v>16</v>
      </c>
      <c r="H173" s="83">
        <f>P2</f>
        <v>7.59</v>
      </c>
      <c r="I173" s="83">
        <f>S2</f>
        <v>1</v>
      </c>
      <c r="J173" s="83">
        <f>I173+H173+G173</f>
        <v>24.59</v>
      </c>
      <c r="K173" s="88">
        <f>W2</f>
        <v>0.8</v>
      </c>
      <c r="L173" s="83">
        <f>AH8</f>
        <v>2.1</v>
      </c>
      <c r="M173" s="103">
        <f>U2</f>
        <v>0.8</v>
      </c>
      <c r="N173" s="87">
        <f>AC21</f>
        <v>0.90720000000000001</v>
      </c>
      <c r="O173" s="83">
        <f>AH30</f>
        <v>0.54</v>
      </c>
      <c r="P173" s="88">
        <f>O173+N173+L173+K173+J173+M173</f>
        <v>29.737200000000001</v>
      </c>
      <c r="Q173" s="83">
        <v>1</v>
      </c>
      <c r="R173" s="83">
        <f>Q173*P173</f>
        <v>29.737200000000001</v>
      </c>
      <c r="S173" s="83">
        <v>1.0609999999999999</v>
      </c>
      <c r="T173" s="87">
        <f>S173*R173</f>
        <v>31.5511692</v>
      </c>
      <c r="U173" s="87">
        <v>1.3</v>
      </c>
      <c r="V173" s="87">
        <f>U173*T173</f>
        <v>41.016519960000004</v>
      </c>
      <c r="W173" s="24">
        <f>V173-T173</f>
        <v>9.4653507600000033</v>
      </c>
      <c r="X173" s="87">
        <v>29.5</v>
      </c>
      <c r="Y173" s="24">
        <f>V173/X173</f>
        <v>1.3903905071186442</v>
      </c>
      <c r="Z173" s="52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</row>
    <row r="174" spans="1:76">
      <c r="A174" s="90" t="s">
        <v>223</v>
      </c>
      <c r="B174" s="86"/>
      <c r="C174" s="86"/>
      <c r="D174" s="86"/>
      <c r="E174" s="86"/>
      <c r="F174" s="83"/>
      <c r="G174" s="93">
        <v>38</v>
      </c>
      <c r="H174" s="83">
        <f>J2</f>
        <v>8.09</v>
      </c>
      <c r="I174" s="83">
        <f>S2</f>
        <v>1</v>
      </c>
      <c r="J174" s="83">
        <f>I174+H174+G174</f>
        <v>47.09</v>
      </c>
      <c r="K174" s="83">
        <f>W2</f>
        <v>0.8</v>
      </c>
      <c r="L174" s="83">
        <f>AH8</f>
        <v>2.1</v>
      </c>
      <c r="M174" s="103">
        <f>U2</f>
        <v>0.8</v>
      </c>
      <c r="N174" s="87">
        <f>AF24</f>
        <v>0.99360000000000015</v>
      </c>
      <c r="O174" s="83">
        <f>AI33</f>
        <v>0.60000000000000009</v>
      </c>
      <c r="P174" s="88">
        <f>O174+N174+L174+K174+J174+M174</f>
        <v>52.383600000000001</v>
      </c>
      <c r="Q174" s="83">
        <v>1</v>
      </c>
      <c r="R174" s="83">
        <f>Q174*P174</f>
        <v>52.383600000000001</v>
      </c>
      <c r="S174" s="83">
        <v>1.0609999999999999</v>
      </c>
      <c r="T174" s="87">
        <f>S174*R174</f>
        <v>55.578999599999996</v>
      </c>
      <c r="U174" s="87">
        <v>1.3</v>
      </c>
      <c r="V174" s="87">
        <f>U174*T174</f>
        <v>72.252699480000004</v>
      </c>
      <c r="W174" s="96">
        <f>V174-T174</f>
        <v>16.673699880000008</v>
      </c>
      <c r="X174" s="87">
        <v>29.5</v>
      </c>
      <c r="Y174" s="96">
        <f>V174/X174</f>
        <v>2.4492440501694919</v>
      </c>
      <c r="Z174" s="52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</row>
    <row r="175" spans="1:76">
      <c r="A175" s="42"/>
      <c r="B175" s="86"/>
      <c r="C175" s="86"/>
      <c r="D175" s="86"/>
      <c r="E175" s="86"/>
      <c r="F175" s="83"/>
      <c r="G175" s="9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7"/>
      <c r="U175" s="87"/>
      <c r="V175" s="87"/>
      <c r="W175" s="24"/>
      <c r="X175" s="24"/>
      <c r="Y175" s="24"/>
      <c r="Z175" s="52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</row>
    <row r="176" spans="1:76" s="90" customFormat="1">
      <c r="A176" s="42"/>
      <c r="B176" s="86"/>
      <c r="C176" s="86"/>
      <c r="D176" s="86"/>
      <c r="E176" s="86"/>
      <c r="F176" s="83"/>
      <c r="G176" s="9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7"/>
      <c r="U176" s="87"/>
      <c r="V176" s="87"/>
      <c r="W176" s="96"/>
      <c r="X176" s="96"/>
      <c r="Y176" s="96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  <c r="AY176" s="95"/>
      <c r="AZ176" s="95"/>
      <c r="BA176" s="95"/>
      <c r="BB176" s="95"/>
      <c r="BC176" s="95"/>
      <c r="BD176" s="95"/>
      <c r="BE176" s="95"/>
      <c r="BF176" s="95"/>
      <c r="BG176" s="95"/>
      <c r="BH176" s="95"/>
      <c r="BI176" s="95"/>
      <c r="BJ176" s="95"/>
      <c r="BK176" s="95"/>
      <c r="BL176" s="95"/>
      <c r="BM176" s="95"/>
      <c r="BN176" s="95"/>
      <c r="BO176" s="95"/>
      <c r="BP176" s="95"/>
      <c r="BQ176" s="95"/>
      <c r="BR176" s="95"/>
      <c r="BS176" s="95"/>
      <c r="BT176" s="95"/>
      <c r="BU176" s="95"/>
      <c r="BV176" s="95"/>
      <c r="BW176" s="95"/>
      <c r="BX176" s="95"/>
    </row>
    <row r="177" spans="1:76" ht="19.5">
      <c r="A177" s="45" t="s">
        <v>162</v>
      </c>
      <c r="B177" s="86"/>
      <c r="C177" s="86"/>
      <c r="D177" s="86"/>
      <c r="E177" s="86"/>
      <c r="F177" s="83"/>
      <c r="G177" s="84" t="s">
        <v>76</v>
      </c>
      <c r="H177" s="83" t="s">
        <v>77</v>
      </c>
      <c r="I177" s="83" t="s">
        <v>81</v>
      </c>
      <c r="J177" s="83" t="s">
        <v>83</v>
      </c>
      <c r="K177" s="83" t="s">
        <v>187</v>
      </c>
      <c r="L177" s="83" t="s">
        <v>267</v>
      </c>
      <c r="M177" s="83" t="s">
        <v>269</v>
      </c>
      <c r="N177" s="83" t="s">
        <v>176</v>
      </c>
      <c r="O177" s="83" t="s">
        <v>177</v>
      </c>
      <c r="P177" s="83" t="s">
        <v>272</v>
      </c>
      <c r="Q177" s="83" t="s">
        <v>107</v>
      </c>
      <c r="R177" s="83" t="s">
        <v>272</v>
      </c>
      <c r="S177" s="83" t="s">
        <v>87</v>
      </c>
      <c r="T177" s="83" t="s">
        <v>183</v>
      </c>
      <c r="U177" s="83" t="s">
        <v>88</v>
      </c>
      <c r="V177" s="83" t="s">
        <v>106</v>
      </c>
      <c r="W177" s="52" t="s">
        <v>89</v>
      </c>
      <c r="X177" s="52" t="s">
        <v>125</v>
      </c>
      <c r="Y177" s="52" t="s">
        <v>126</v>
      </c>
      <c r="Z177" s="52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</row>
    <row r="178" spans="1:76">
      <c r="A178" s="44" t="s">
        <v>163</v>
      </c>
      <c r="B178" s="86"/>
      <c r="C178" s="86"/>
      <c r="D178" s="86"/>
      <c r="E178" s="86"/>
      <c r="F178" s="83"/>
      <c r="G178" s="93">
        <v>80</v>
      </c>
      <c r="H178" s="83">
        <f>J2</f>
        <v>8.09</v>
      </c>
      <c r="I178" s="83">
        <f>S2</f>
        <v>1</v>
      </c>
      <c r="J178" s="83">
        <f>I178+H178+G178</f>
        <v>89.09</v>
      </c>
      <c r="K178" s="88">
        <f>W2</f>
        <v>0.8</v>
      </c>
      <c r="L178" s="83">
        <f>AH8</f>
        <v>2.1</v>
      </c>
      <c r="M178" s="103">
        <f>U2</f>
        <v>0.8</v>
      </c>
      <c r="N178" s="87">
        <f>AG25</f>
        <v>1.3392000000000002</v>
      </c>
      <c r="O178" s="83">
        <f>AI34</f>
        <v>0.78</v>
      </c>
      <c r="P178" s="88">
        <f>O178+N178+L178+K178+J178+M178</f>
        <v>94.909199999999998</v>
      </c>
      <c r="Q178" s="83">
        <v>1</v>
      </c>
      <c r="R178" s="83">
        <f>Q178*P178</f>
        <v>94.909199999999998</v>
      </c>
      <c r="S178" s="83">
        <v>1.0609999999999999</v>
      </c>
      <c r="T178" s="87">
        <f>S178*R178</f>
        <v>100.69866119999999</v>
      </c>
      <c r="U178" s="87">
        <v>1.4</v>
      </c>
      <c r="V178" s="87">
        <f>U178*T178</f>
        <v>140.97812567999998</v>
      </c>
      <c r="W178" s="24">
        <f>V178-T178</f>
        <v>40.279464479999987</v>
      </c>
      <c r="X178" s="87">
        <v>29.5</v>
      </c>
      <c r="Y178" s="24">
        <f>V178/X178</f>
        <v>4.7789195145762706</v>
      </c>
      <c r="Z178" s="52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</row>
    <row r="179" spans="1:76">
      <c r="A179" s="42"/>
      <c r="B179" s="86"/>
      <c r="C179" s="86"/>
      <c r="D179" s="86"/>
      <c r="E179" s="86"/>
      <c r="F179" s="83"/>
      <c r="G179" s="93"/>
      <c r="H179" s="83"/>
      <c r="I179" s="83">
        <f>S2</f>
        <v>1</v>
      </c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7"/>
      <c r="U179" s="87"/>
      <c r="V179" s="87"/>
      <c r="W179" s="24"/>
      <c r="X179" s="24"/>
      <c r="Y179" s="24"/>
      <c r="Z179" s="52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</row>
    <row r="180" spans="1:76">
      <c r="A180" s="42"/>
      <c r="B180" s="86"/>
      <c r="C180" s="86"/>
      <c r="D180" s="86"/>
      <c r="E180" s="86"/>
      <c r="F180" s="83"/>
      <c r="G180" s="9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7"/>
      <c r="U180" s="87"/>
      <c r="V180" s="87"/>
      <c r="W180" s="24"/>
      <c r="X180" s="24"/>
      <c r="Y180" s="24"/>
      <c r="Z180" s="52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</row>
    <row r="181" spans="1:76" ht="19.5">
      <c r="A181" s="37" t="s">
        <v>164</v>
      </c>
      <c r="B181" s="86"/>
      <c r="C181" s="86"/>
      <c r="D181" s="86"/>
      <c r="E181" s="86"/>
      <c r="F181" s="83"/>
      <c r="G181" s="84" t="s">
        <v>76</v>
      </c>
      <c r="H181" s="83" t="s">
        <v>77</v>
      </c>
      <c r="I181" s="83" t="s">
        <v>81</v>
      </c>
      <c r="J181" s="83" t="s">
        <v>83</v>
      </c>
      <c r="K181" s="83" t="s">
        <v>187</v>
      </c>
      <c r="L181" s="83" t="s">
        <v>267</v>
      </c>
      <c r="M181" s="83" t="s">
        <v>269</v>
      </c>
      <c r="N181" s="83" t="s">
        <v>176</v>
      </c>
      <c r="O181" s="83" t="s">
        <v>177</v>
      </c>
      <c r="P181" s="83" t="s">
        <v>272</v>
      </c>
      <c r="Q181" s="83" t="s">
        <v>107</v>
      </c>
      <c r="R181" s="83" t="s">
        <v>272</v>
      </c>
      <c r="S181" s="83" t="s">
        <v>87</v>
      </c>
      <c r="T181" s="83" t="s">
        <v>183</v>
      </c>
      <c r="U181" s="83" t="s">
        <v>88</v>
      </c>
      <c r="V181" s="83" t="s">
        <v>106</v>
      </c>
      <c r="W181" s="52" t="s">
        <v>89</v>
      </c>
      <c r="X181" s="52" t="s">
        <v>125</v>
      </c>
      <c r="Y181" s="52" t="s">
        <v>126</v>
      </c>
      <c r="Z181" s="52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</row>
    <row r="182" spans="1:76">
      <c r="A182" s="41" t="s">
        <v>165</v>
      </c>
      <c r="B182" s="86"/>
      <c r="C182" s="86"/>
      <c r="D182" s="86"/>
      <c r="E182" s="86"/>
      <c r="F182" s="83"/>
      <c r="G182" s="93">
        <v>80</v>
      </c>
      <c r="H182" s="83">
        <f>J2</f>
        <v>8.09</v>
      </c>
      <c r="I182" s="83">
        <f>S2</f>
        <v>1</v>
      </c>
      <c r="J182" s="83">
        <f>I182+H182+G182</f>
        <v>89.09</v>
      </c>
      <c r="K182" s="88">
        <f>W2</f>
        <v>0.8</v>
      </c>
      <c r="L182" s="83">
        <f>AH8</f>
        <v>2.1</v>
      </c>
      <c r="M182" s="103">
        <f>U2</f>
        <v>0.8</v>
      </c>
      <c r="N182" s="87">
        <f>AG24</f>
        <v>1.0908</v>
      </c>
      <c r="O182" s="83">
        <f>AK33</f>
        <v>1.1400000000000001</v>
      </c>
      <c r="P182" s="88">
        <f>O182+N182+L182+K182+J182+M182</f>
        <v>95.020799999999994</v>
      </c>
      <c r="Q182" s="83">
        <v>1</v>
      </c>
      <c r="R182" s="83">
        <f>Q182*P182</f>
        <v>95.020799999999994</v>
      </c>
      <c r="S182" s="83">
        <v>1.0609999999999999</v>
      </c>
      <c r="T182" s="87">
        <f>S182*R182</f>
        <v>100.81706879999999</v>
      </c>
      <c r="U182" s="87">
        <v>1.3</v>
      </c>
      <c r="V182" s="87">
        <f>U182*T182</f>
        <v>131.06218944</v>
      </c>
      <c r="W182" s="24">
        <f>V182-T182</f>
        <v>30.24512064000001</v>
      </c>
      <c r="X182" s="87">
        <v>29.5</v>
      </c>
      <c r="Y182" s="24">
        <f>V182/X182</f>
        <v>4.4427860827118639</v>
      </c>
      <c r="Z182" s="52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</row>
    <row r="183" spans="1:76">
      <c r="A183" s="51"/>
      <c r="B183" s="86"/>
      <c r="C183" s="86"/>
      <c r="D183" s="86"/>
      <c r="E183" s="86"/>
      <c r="F183" s="83"/>
      <c r="G183" s="9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7"/>
      <c r="U183" s="87"/>
      <c r="V183" s="87"/>
      <c r="W183" s="24"/>
      <c r="X183" s="24"/>
      <c r="Y183" s="24"/>
      <c r="Z183" s="52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</row>
    <row r="184" spans="1:76">
      <c r="A184" s="51"/>
      <c r="B184" s="86"/>
      <c r="C184" s="86"/>
      <c r="D184" s="86"/>
      <c r="E184" s="86"/>
      <c r="F184" s="83"/>
      <c r="G184" s="9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7"/>
      <c r="U184" s="87"/>
      <c r="V184" s="87"/>
      <c r="W184" s="24"/>
      <c r="X184" s="24"/>
      <c r="Y184" s="24"/>
      <c r="Z184" s="52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</row>
    <row r="185" spans="1:76" ht="19.5">
      <c r="A185" s="37" t="s">
        <v>166</v>
      </c>
      <c r="B185" s="86"/>
      <c r="C185" s="86"/>
      <c r="D185" s="86"/>
      <c r="E185" s="86"/>
      <c r="F185" s="83"/>
      <c r="G185" s="84" t="s">
        <v>76</v>
      </c>
      <c r="H185" s="83" t="s">
        <v>77</v>
      </c>
      <c r="I185" s="83" t="s">
        <v>81</v>
      </c>
      <c r="J185" s="83" t="s">
        <v>83</v>
      </c>
      <c r="K185" s="83" t="s">
        <v>187</v>
      </c>
      <c r="L185" s="83" t="s">
        <v>267</v>
      </c>
      <c r="M185" s="83" t="s">
        <v>269</v>
      </c>
      <c r="N185" s="83" t="s">
        <v>176</v>
      </c>
      <c r="O185" s="83" t="s">
        <v>177</v>
      </c>
      <c r="P185" s="83" t="s">
        <v>272</v>
      </c>
      <c r="Q185" s="83" t="s">
        <v>107</v>
      </c>
      <c r="R185" s="83" t="s">
        <v>272</v>
      </c>
      <c r="S185" s="83" t="s">
        <v>87</v>
      </c>
      <c r="T185" s="83" t="s">
        <v>183</v>
      </c>
      <c r="U185" s="83" t="s">
        <v>88</v>
      </c>
      <c r="V185" s="83" t="s">
        <v>106</v>
      </c>
      <c r="W185" s="52" t="s">
        <v>89</v>
      </c>
      <c r="X185" s="52" t="s">
        <v>125</v>
      </c>
      <c r="Y185" s="52" t="s">
        <v>126</v>
      </c>
      <c r="Z185" s="52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</row>
    <row r="186" spans="1:76">
      <c r="A186" s="53" t="s">
        <v>167</v>
      </c>
      <c r="B186" s="86"/>
      <c r="C186" s="86"/>
      <c r="D186" s="86"/>
      <c r="E186" s="86"/>
      <c r="F186" s="83"/>
      <c r="G186" s="93">
        <v>38</v>
      </c>
      <c r="H186" s="83">
        <v>8.86</v>
      </c>
      <c r="I186" s="83">
        <f>S2</f>
        <v>1</v>
      </c>
      <c r="J186" s="83">
        <f t="shared" ref="J186:J194" si="64">I186+H186+G186</f>
        <v>47.86</v>
      </c>
      <c r="K186" s="88">
        <f>W2</f>
        <v>0.8</v>
      </c>
      <c r="L186" s="83">
        <f>AH8</f>
        <v>2.1</v>
      </c>
      <c r="M186" s="103">
        <f>U2</f>
        <v>0.8</v>
      </c>
      <c r="N186" s="87">
        <f>AM24</f>
        <v>1.512</v>
      </c>
      <c r="O186" s="83">
        <f>AK33</f>
        <v>1.1400000000000001</v>
      </c>
      <c r="P186" s="88">
        <f t="shared" ref="P186:P194" si="65">O186+N186+L186+K186+J186+M186</f>
        <v>54.211999999999996</v>
      </c>
      <c r="Q186" s="83">
        <v>1</v>
      </c>
      <c r="R186" s="83">
        <f t="shared" ref="R186:R194" si="66">Q186*P186</f>
        <v>54.211999999999996</v>
      </c>
      <c r="S186" s="83">
        <v>1.0609999999999999</v>
      </c>
      <c r="T186" s="87">
        <f>S186*R186</f>
        <v>57.518931999999992</v>
      </c>
      <c r="U186" s="87">
        <v>1.4</v>
      </c>
      <c r="V186" s="87">
        <f t="shared" ref="V186:V194" si="67">U186*T186</f>
        <v>80.526504799999984</v>
      </c>
      <c r="W186" s="24">
        <f t="shared" ref="W186:W194" si="68">V186-T186</f>
        <v>23.007572799999991</v>
      </c>
      <c r="X186" s="87">
        <v>29.5</v>
      </c>
      <c r="Y186" s="24">
        <f t="shared" ref="Y186:Y194" si="69">V186/X186</f>
        <v>2.7297120271186435</v>
      </c>
      <c r="Z186" s="52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</row>
    <row r="187" spans="1:76">
      <c r="A187" s="53" t="s">
        <v>168</v>
      </c>
      <c r="B187" s="86"/>
      <c r="C187" s="86"/>
      <c r="D187" s="86"/>
      <c r="E187" s="86"/>
      <c r="F187" s="83"/>
      <c r="G187" s="93">
        <v>38</v>
      </c>
      <c r="H187" s="83">
        <v>8.86</v>
      </c>
      <c r="I187" s="83">
        <f>S2</f>
        <v>1</v>
      </c>
      <c r="J187" s="83">
        <f t="shared" si="64"/>
        <v>47.86</v>
      </c>
      <c r="K187" s="88">
        <f>W2</f>
        <v>0.8</v>
      </c>
      <c r="L187" s="83">
        <f>AH8</f>
        <v>2.1</v>
      </c>
      <c r="M187" s="103">
        <f>U2</f>
        <v>0.8</v>
      </c>
      <c r="N187" s="87">
        <f>AM24</f>
        <v>1.512</v>
      </c>
      <c r="O187" s="83">
        <f>AK33</f>
        <v>1.1400000000000001</v>
      </c>
      <c r="P187" s="88">
        <f t="shared" si="65"/>
        <v>54.211999999999996</v>
      </c>
      <c r="Q187" s="83">
        <v>1</v>
      </c>
      <c r="R187" s="83">
        <f t="shared" si="66"/>
        <v>54.211999999999996</v>
      </c>
      <c r="S187" s="83">
        <v>1.0609999999999999</v>
      </c>
      <c r="T187" s="87">
        <f t="shared" ref="T187:T194" si="70">S187*R187</f>
        <v>57.518931999999992</v>
      </c>
      <c r="U187" s="87">
        <v>1.4</v>
      </c>
      <c r="V187" s="87">
        <f t="shared" si="67"/>
        <v>80.526504799999984</v>
      </c>
      <c r="W187" s="24">
        <f t="shared" si="68"/>
        <v>23.007572799999991</v>
      </c>
      <c r="X187" s="87">
        <v>29.5</v>
      </c>
      <c r="Y187" s="24">
        <f t="shared" si="69"/>
        <v>2.7297120271186435</v>
      </c>
      <c r="Z187" s="52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</row>
    <row r="188" spans="1:76">
      <c r="A188" s="53" t="s">
        <v>169</v>
      </c>
      <c r="B188" s="86"/>
      <c r="C188" s="86"/>
      <c r="D188" s="86"/>
      <c r="E188" s="86"/>
      <c r="F188" s="83"/>
      <c r="G188" s="93">
        <v>39</v>
      </c>
      <c r="H188" s="83">
        <v>8.86</v>
      </c>
      <c r="I188" s="83">
        <f>S2</f>
        <v>1</v>
      </c>
      <c r="J188" s="83">
        <f t="shared" si="64"/>
        <v>48.86</v>
      </c>
      <c r="K188" s="88">
        <f>W2</f>
        <v>0.8</v>
      </c>
      <c r="L188" s="83">
        <f>AH8</f>
        <v>2.1</v>
      </c>
      <c r="M188" s="103">
        <f>U2</f>
        <v>0.8</v>
      </c>
      <c r="N188" s="87">
        <f>AM24</f>
        <v>1.512</v>
      </c>
      <c r="O188" s="83">
        <f>AK33</f>
        <v>1.1400000000000001</v>
      </c>
      <c r="P188" s="88">
        <f t="shared" si="65"/>
        <v>55.211999999999996</v>
      </c>
      <c r="Q188" s="83">
        <v>1</v>
      </c>
      <c r="R188" s="83">
        <f t="shared" si="66"/>
        <v>55.211999999999996</v>
      </c>
      <c r="S188" s="83">
        <v>1.0609999999999999</v>
      </c>
      <c r="T188" s="87">
        <f t="shared" si="70"/>
        <v>58.579931999999992</v>
      </c>
      <c r="U188" s="87">
        <v>1.4</v>
      </c>
      <c r="V188" s="87">
        <f t="shared" si="67"/>
        <v>82.011904799999982</v>
      </c>
      <c r="W188" s="24">
        <f t="shared" si="68"/>
        <v>23.43197279999999</v>
      </c>
      <c r="X188" s="87">
        <v>29.5</v>
      </c>
      <c r="Y188" s="24">
        <f t="shared" si="69"/>
        <v>2.7800645694915249</v>
      </c>
      <c r="Z188" s="52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</row>
    <row r="189" spans="1:76">
      <c r="A189" s="53" t="s">
        <v>170</v>
      </c>
      <c r="B189" s="86"/>
      <c r="C189" s="86"/>
      <c r="D189" s="86"/>
      <c r="E189" s="86"/>
      <c r="F189" s="83"/>
      <c r="G189" s="93">
        <v>41</v>
      </c>
      <c r="H189" s="83">
        <v>8.86</v>
      </c>
      <c r="I189" s="83">
        <f>S2</f>
        <v>1</v>
      </c>
      <c r="J189" s="83">
        <f t="shared" si="64"/>
        <v>50.86</v>
      </c>
      <c r="K189" s="88">
        <f>W2</f>
        <v>0.8</v>
      </c>
      <c r="L189" s="83">
        <f>AH8</f>
        <v>2.1</v>
      </c>
      <c r="M189" s="103">
        <f>U2</f>
        <v>0.8</v>
      </c>
      <c r="N189" s="87">
        <f>AM24</f>
        <v>1.512</v>
      </c>
      <c r="O189" s="83">
        <f>AK33</f>
        <v>1.1400000000000001</v>
      </c>
      <c r="P189" s="88">
        <f t="shared" si="65"/>
        <v>57.211999999999996</v>
      </c>
      <c r="Q189" s="83">
        <v>1</v>
      </c>
      <c r="R189" s="83">
        <f t="shared" si="66"/>
        <v>57.211999999999996</v>
      </c>
      <c r="S189" s="83">
        <v>1.0609999999999999</v>
      </c>
      <c r="T189" s="87">
        <f t="shared" si="70"/>
        <v>60.701931999999992</v>
      </c>
      <c r="U189" s="87">
        <v>1.4</v>
      </c>
      <c r="V189" s="87">
        <f t="shared" si="67"/>
        <v>84.982704799999979</v>
      </c>
      <c r="W189" s="24">
        <f t="shared" si="68"/>
        <v>24.280772799999987</v>
      </c>
      <c r="X189" s="87">
        <v>29.5</v>
      </c>
      <c r="Y189" s="24">
        <f t="shared" si="69"/>
        <v>2.8807696542372874</v>
      </c>
      <c r="Z189" s="52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</row>
    <row r="190" spans="1:76">
      <c r="A190" s="53" t="s">
        <v>171</v>
      </c>
      <c r="B190" s="86"/>
      <c r="C190" s="86"/>
      <c r="D190" s="86"/>
      <c r="E190" s="86"/>
      <c r="F190" s="83"/>
      <c r="G190" s="93">
        <v>41.5</v>
      </c>
      <c r="H190" s="83">
        <v>8.86</v>
      </c>
      <c r="I190" s="83">
        <f>S2</f>
        <v>1</v>
      </c>
      <c r="J190" s="83">
        <f t="shared" si="64"/>
        <v>51.36</v>
      </c>
      <c r="K190" s="88">
        <f>W2</f>
        <v>0.8</v>
      </c>
      <c r="L190" s="83">
        <f>AH8</f>
        <v>2.1</v>
      </c>
      <c r="M190" s="103">
        <f>U2</f>
        <v>0.8</v>
      </c>
      <c r="N190" s="87">
        <f>AM24</f>
        <v>1.512</v>
      </c>
      <c r="O190" s="83">
        <f>AK33</f>
        <v>1.1400000000000001</v>
      </c>
      <c r="P190" s="88">
        <f t="shared" si="65"/>
        <v>57.711999999999996</v>
      </c>
      <c r="Q190" s="83">
        <v>1</v>
      </c>
      <c r="R190" s="83">
        <f t="shared" si="66"/>
        <v>57.711999999999996</v>
      </c>
      <c r="S190" s="83">
        <v>1.0609999999999999</v>
      </c>
      <c r="T190" s="87">
        <f t="shared" si="70"/>
        <v>61.232431999999996</v>
      </c>
      <c r="U190" s="87">
        <v>1.4</v>
      </c>
      <c r="V190" s="87">
        <f t="shared" si="67"/>
        <v>85.725404799999993</v>
      </c>
      <c r="W190" s="24">
        <f t="shared" si="68"/>
        <v>24.492972799999997</v>
      </c>
      <c r="X190" s="87">
        <v>29.5</v>
      </c>
      <c r="Y190" s="24">
        <f t="shared" si="69"/>
        <v>2.9059459254237288</v>
      </c>
      <c r="Z190" s="52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</row>
    <row r="191" spans="1:76">
      <c r="A191" s="53" t="s">
        <v>172</v>
      </c>
      <c r="B191" s="86"/>
      <c r="C191" s="86"/>
      <c r="D191" s="86"/>
      <c r="E191" s="86"/>
      <c r="F191" s="83"/>
      <c r="G191" s="93">
        <v>42.5</v>
      </c>
      <c r="H191" s="83">
        <v>8.86</v>
      </c>
      <c r="I191" s="83">
        <f>S2</f>
        <v>1</v>
      </c>
      <c r="J191" s="83">
        <f t="shared" si="64"/>
        <v>52.36</v>
      </c>
      <c r="K191" s="88">
        <f>W2</f>
        <v>0.8</v>
      </c>
      <c r="L191" s="83">
        <f>AH8</f>
        <v>2.1</v>
      </c>
      <c r="M191" s="103">
        <f>U2</f>
        <v>0.8</v>
      </c>
      <c r="N191" s="87">
        <f>AM24</f>
        <v>1.512</v>
      </c>
      <c r="O191" s="83">
        <f>AK33</f>
        <v>1.1400000000000001</v>
      </c>
      <c r="P191" s="88">
        <f t="shared" si="65"/>
        <v>58.711999999999996</v>
      </c>
      <c r="Q191" s="83">
        <v>1</v>
      </c>
      <c r="R191" s="83">
        <f t="shared" si="66"/>
        <v>58.711999999999996</v>
      </c>
      <c r="S191" s="83">
        <v>1.0609999999999999</v>
      </c>
      <c r="T191" s="87">
        <f t="shared" si="70"/>
        <v>62.293431999999996</v>
      </c>
      <c r="U191" s="87">
        <v>1.4</v>
      </c>
      <c r="V191" s="87">
        <f t="shared" si="67"/>
        <v>87.210804799999991</v>
      </c>
      <c r="W191" s="24">
        <f t="shared" si="68"/>
        <v>24.917372799999995</v>
      </c>
      <c r="X191" s="87">
        <v>29.5</v>
      </c>
      <c r="Y191" s="24">
        <f t="shared" si="69"/>
        <v>2.9562984677966098</v>
      </c>
      <c r="Z191" s="52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</row>
    <row r="192" spans="1:76">
      <c r="A192" s="53" t="s">
        <v>173</v>
      </c>
      <c r="B192" s="86"/>
      <c r="C192" s="86"/>
      <c r="D192" s="86"/>
      <c r="E192" s="86"/>
      <c r="F192" s="83"/>
      <c r="G192" s="93">
        <v>44.5</v>
      </c>
      <c r="H192" s="83">
        <v>8.86</v>
      </c>
      <c r="I192" s="83">
        <f>S2</f>
        <v>1</v>
      </c>
      <c r="J192" s="83">
        <f t="shared" si="64"/>
        <v>54.36</v>
      </c>
      <c r="K192" s="88">
        <f>W2</f>
        <v>0.8</v>
      </c>
      <c r="L192" s="83">
        <f>AH8</f>
        <v>2.1</v>
      </c>
      <c r="M192" s="103">
        <f>U2</f>
        <v>0.8</v>
      </c>
      <c r="N192" s="87">
        <f>AM24</f>
        <v>1.512</v>
      </c>
      <c r="O192" s="83">
        <f>AK33</f>
        <v>1.1400000000000001</v>
      </c>
      <c r="P192" s="88">
        <f t="shared" si="65"/>
        <v>60.711999999999996</v>
      </c>
      <c r="Q192" s="83">
        <v>1</v>
      </c>
      <c r="R192" s="83">
        <f t="shared" si="66"/>
        <v>60.711999999999996</v>
      </c>
      <c r="S192" s="83">
        <v>1.0609999999999999</v>
      </c>
      <c r="T192" s="87">
        <f t="shared" si="70"/>
        <v>64.415431999999996</v>
      </c>
      <c r="U192" s="87">
        <v>1.4</v>
      </c>
      <c r="V192" s="87">
        <f t="shared" si="67"/>
        <v>90.181604799999988</v>
      </c>
      <c r="W192" s="24">
        <f t="shared" si="68"/>
        <v>25.766172799999993</v>
      </c>
      <c r="X192" s="87">
        <v>29.5</v>
      </c>
      <c r="Y192" s="24">
        <f t="shared" si="69"/>
        <v>3.0570035525423727</v>
      </c>
      <c r="Z192" s="52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</row>
    <row r="193" spans="1:78" s="51" customFormat="1">
      <c r="A193" s="53" t="s">
        <v>174</v>
      </c>
      <c r="B193" s="86"/>
      <c r="C193" s="86"/>
      <c r="D193" s="86"/>
      <c r="E193" s="86"/>
      <c r="F193" s="83"/>
      <c r="G193" s="93">
        <v>41</v>
      </c>
      <c r="H193" s="83">
        <v>8.86</v>
      </c>
      <c r="I193" s="83">
        <f>S2</f>
        <v>1</v>
      </c>
      <c r="J193" s="83">
        <f t="shared" si="64"/>
        <v>50.86</v>
      </c>
      <c r="K193" s="88">
        <f>W2</f>
        <v>0.8</v>
      </c>
      <c r="L193" s="83">
        <f>AH8</f>
        <v>2.1</v>
      </c>
      <c r="M193" s="103">
        <f>U2</f>
        <v>0.8</v>
      </c>
      <c r="N193" s="87">
        <f>AM24</f>
        <v>1.512</v>
      </c>
      <c r="O193" s="64">
        <v>1.44</v>
      </c>
      <c r="P193" s="88">
        <f t="shared" si="65"/>
        <v>57.511999999999993</v>
      </c>
      <c r="Q193" s="83">
        <v>1</v>
      </c>
      <c r="R193" s="83">
        <f t="shared" si="66"/>
        <v>57.511999999999993</v>
      </c>
      <c r="S193" s="83">
        <v>1.0609999999999999</v>
      </c>
      <c r="T193" s="87">
        <f t="shared" si="70"/>
        <v>61.020231999999993</v>
      </c>
      <c r="U193" s="87">
        <v>1.35</v>
      </c>
      <c r="V193" s="87">
        <f t="shared" si="67"/>
        <v>82.377313199999989</v>
      </c>
      <c r="W193" s="24">
        <f t="shared" si="68"/>
        <v>21.357081199999996</v>
      </c>
      <c r="X193" s="87">
        <v>29.5</v>
      </c>
      <c r="Y193" s="24">
        <f t="shared" si="69"/>
        <v>2.7924512949152538</v>
      </c>
      <c r="Z193" s="52"/>
      <c r="AA193" s="52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</row>
    <row r="194" spans="1:78" s="51" customFormat="1">
      <c r="A194" s="53" t="s">
        <v>175</v>
      </c>
      <c r="B194" s="86"/>
      <c r="C194" s="86"/>
      <c r="D194" s="86"/>
      <c r="E194" s="86"/>
      <c r="F194" s="83"/>
      <c r="G194" s="93">
        <v>43</v>
      </c>
      <c r="H194" s="83">
        <v>8.86</v>
      </c>
      <c r="I194" s="83">
        <f>S2</f>
        <v>1</v>
      </c>
      <c r="J194" s="83">
        <f t="shared" si="64"/>
        <v>52.86</v>
      </c>
      <c r="K194" s="88">
        <f>W2</f>
        <v>0.8</v>
      </c>
      <c r="L194" s="83">
        <f>AH8</f>
        <v>2.1</v>
      </c>
      <c r="M194" s="103">
        <f>U2</f>
        <v>0.8</v>
      </c>
      <c r="N194" s="87">
        <f>AM24</f>
        <v>1.512</v>
      </c>
      <c r="O194" s="83">
        <v>1.44</v>
      </c>
      <c r="P194" s="88">
        <f t="shared" si="65"/>
        <v>59.511999999999993</v>
      </c>
      <c r="Q194" s="83">
        <v>1</v>
      </c>
      <c r="R194" s="83">
        <f t="shared" si="66"/>
        <v>59.511999999999993</v>
      </c>
      <c r="S194" s="83">
        <v>1.0609999999999999</v>
      </c>
      <c r="T194" s="87">
        <f t="shared" si="70"/>
        <v>63.142231999999993</v>
      </c>
      <c r="U194" s="87">
        <v>1.35</v>
      </c>
      <c r="V194" s="87">
        <f t="shared" si="67"/>
        <v>85.242013200000002</v>
      </c>
      <c r="W194" s="24">
        <f t="shared" si="68"/>
        <v>22.09978120000001</v>
      </c>
      <c r="X194" s="87">
        <v>29.5</v>
      </c>
      <c r="Y194" s="24">
        <f t="shared" si="69"/>
        <v>2.8895597694915254</v>
      </c>
      <c r="Z194" s="52"/>
      <c r="AA194" s="52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</row>
    <row r="195" spans="1:78" s="51" customFormat="1">
      <c r="B195" s="86"/>
      <c r="C195" s="86"/>
      <c r="D195" s="86"/>
      <c r="E195" s="86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7"/>
      <c r="S195" s="87"/>
      <c r="T195" s="87"/>
      <c r="U195" s="87"/>
      <c r="V195" s="87"/>
      <c r="W195" s="24"/>
      <c r="X195" s="52"/>
      <c r="Y195" s="52"/>
      <c r="Z195" s="52"/>
      <c r="AA195" s="2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</row>
    <row r="196" spans="1:78" s="51" customFormat="1">
      <c r="A196" s="4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4"/>
      <c r="X196" s="4"/>
      <c r="Y196" s="4"/>
      <c r="Z196" s="52"/>
      <c r="AA196" s="2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</row>
    <row r="197" spans="1:78" s="51" customFormat="1">
      <c r="A197" s="4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4"/>
      <c r="X197" s="4"/>
      <c r="Y197" s="4"/>
      <c r="Z197" s="52"/>
      <c r="AA197" s="2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</row>
    <row r="198" spans="1:78" s="51" customFormat="1">
      <c r="A198" s="4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4"/>
      <c r="X198" s="4"/>
      <c r="Y198" s="4"/>
      <c r="Z198" s="52"/>
      <c r="AA198" s="2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</row>
    <row r="199" spans="1:78" s="51" customFormat="1">
      <c r="A199" s="4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4"/>
      <c r="X199" s="4"/>
      <c r="Y199" s="4"/>
      <c r="Z199" s="52"/>
      <c r="AA199" s="2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</row>
    <row r="200" spans="1:78" s="51" customFormat="1">
      <c r="A200" s="4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4"/>
      <c r="X200" s="4"/>
      <c r="Y200" s="4"/>
      <c r="Z200" s="52"/>
      <c r="AA200" s="2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</row>
    <row r="201" spans="1:78" s="51" customFormat="1">
      <c r="A201" s="4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4"/>
      <c r="X201" s="4"/>
      <c r="Y201" s="4"/>
      <c r="Z201" s="52"/>
      <c r="AA201" s="24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</row>
    <row r="202" spans="1:78" s="51" customFormat="1">
      <c r="A202" s="4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4"/>
      <c r="X202" s="4"/>
      <c r="Y202" s="4"/>
      <c r="Z202" s="52"/>
      <c r="AA202" s="24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</row>
    <row r="203" spans="1:78" s="51" customFormat="1">
      <c r="A203" s="4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4"/>
      <c r="X203" s="4"/>
      <c r="Y203" s="4"/>
      <c r="Z203" s="52"/>
      <c r="AA203" s="24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  <c r="BW203" s="52"/>
      <c r="BX203" s="52"/>
      <c r="BY203" s="52"/>
      <c r="BZ203" s="52"/>
    </row>
    <row r="204" spans="1:78" s="51" customFormat="1">
      <c r="A204" s="4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4"/>
      <c r="X204" s="4"/>
      <c r="Y204" s="4"/>
      <c r="Z204" s="52"/>
      <c r="AA204" s="24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</row>
    <row r="205" spans="1:78" s="51" customFormat="1">
      <c r="A205" s="4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4"/>
      <c r="X205" s="4"/>
      <c r="Y205" s="4"/>
      <c r="Z205" s="52"/>
      <c r="AA205" s="24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</row>
    <row r="206" spans="1:78" s="51" customFormat="1">
      <c r="A206" s="4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4"/>
      <c r="X206" s="4"/>
      <c r="Y206" s="4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</row>
    <row r="207" spans="1:78" s="51" customFormat="1">
      <c r="A207" s="4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4"/>
      <c r="X207" s="4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</row>
    <row r="208" spans="1:78">
      <c r="A208" s="4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4"/>
      <c r="X208" s="4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</row>
    <row r="209" spans="1:75">
      <c r="A209" s="4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4"/>
      <c r="X209" s="4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</row>
    <row r="210" spans="1:75">
      <c r="A210" s="4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4"/>
      <c r="X210" s="4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</row>
    <row r="211" spans="1:75">
      <c r="A211" s="4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4"/>
      <c r="X211" s="4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</row>
    <row r="212" spans="1:75">
      <c r="A212" s="4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4"/>
      <c r="X212" s="4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</row>
    <row r="213" spans="1:75">
      <c r="A213" s="4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4"/>
      <c r="X213" s="4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</row>
    <row r="214" spans="1:75">
      <c r="A214" s="4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4"/>
      <c r="X214" s="4"/>
      <c r="Y214" s="52"/>
      <c r="Z214" s="52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</row>
    <row r="215" spans="1:75">
      <c r="A215" s="4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4"/>
      <c r="X215" s="4"/>
      <c r="Y215" s="52"/>
      <c r="Z215" s="52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</row>
    <row r="216" spans="1:75">
      <c r="A216" s="4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4"/>
      <c r="X216" s="4"/>
      <c r="Y216" s="52"/>
      <c r="Z216" s="52"/>
      <c r="AA216" s="52"/>
      <c r="AB216" s="52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</row>
    <row r="217" spans="1:75">
      <c r="A217" s="4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4"/>
      <c r="X217" s="4"/>
      <c r="Y217" s="52"/>
      <c r="Z217" s="52"/>
      <c r="AA217" s="52"/>
      <c r="AB217" s="52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</row>
    <row r="218" spans="1:75">
      <c r="A218" s="4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4"/>
      <c r="X218" s="4"/>
      <c r="Y218" s="52"/>
      <c r="Z218" s="52"/>
      <c r="AA218" s="52"/>
      <c r="AB218" s="52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</row>
    <row r="219" spans="1:75">
      <c r="A219" s="4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4"/>
      <c r="X219" s="4"/>
      <c r="Y219" s="52"/>
      <c r="Z219" s="52"/>
      <c r="AA219" s="52"/>
      <c r="AB219" s="52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</row>
    <row r="220" spans="1:75">
      <c r="A220" s="4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4"/>
      <c r="X220" s="4"/>
      <c r="Y220" s="52"/>
      <c r="Z220" s="52"/>
      <c r="AA220" s="52"/>
      <c r="AB220" s="52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</row>
    <row r="221" spans="1:75">
      <c r="A221" s="4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4"/>
      <c r="X221" s="4"/>
      <c r="Y221" s="52"/>
      <c r="Z221" s="52"/>
      <c r="AA221" s="52"/>
      <c r="AB221" s="52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</row>
    <row r="222" spans="1:75">
      <c r="A222" s="4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4"/>
      <c r="X222" s="4"/>
      <c r="Y222" s="52"/>
      <c r="Z222" s="52"/>
      <c r="AA222" s="52"/>
      <c r="AB222" s="52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</row>
    <row r="223" spans="1:75">
      <c r="A223" s="4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4"/>
      <c r="X223" s="4"/>
      <c r="Y223" s="52"/>
      <c r="Z223" s="52"/>
      <c r="AA223" s="52"/>
      <c r="AB223" s="52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</row>
    <row r="224" spans="1:75">
      <c r="A224" s="4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4"/>
      <c r="X224" s="4"/>
      <c r="Y224" s="52"/>
      <c r="Z224" s="52"/>
      <c r="AA224" s="52"/>
      <c r="AB224" s="52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</row>
    <row r="225" spans="1:75">
      <c r="A225" s="4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4"/>
      <c r="X225" s="4"/>
      <c r="Z225" s="52"/>
      <c r="AA225" s="52"/>
      <c r="AB225" s="52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</row>
    <row r="226" spans="1:75">
      <c r="A226" s="4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4"/>
      <c r="X226" s="4"/>
      <c r="Z226" s="52"/>
      <c r="AA226" s="52"/>
      <c r="AB226" s="52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</row>
    <row r="227" spans="1:75">
      <c r="A227" s="4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4"/>
      <c r="X227" s="4"/>
      <c r="Z227" s="52"/>
      <c r="AA227" s="52"/>
      <c r="AB227" s="52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</row>
    <row r="228" spans="1:75">
      <c r="A228" s="4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4"/>
      <c r="X228" s="4"/>
      <c r="Z228" s="52"/>
      <c r="AA228" s="52"/>
      <c r="AB228" s="52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</row>
    <row r="229" spans="1:75">
      <c r="A229" s="4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4"/>
      <c r="X229" s="4"/>
      <c r="Z229" s="52"/>
      <c r="AA229" s="52"/>
      <c r="AB229" s="52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</row>
    <row r="230" spans="1:75">
      <c r="A230" s="4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4"/>
      <c r="X230" s="4"/>
      <c r="Z230" s="52"/>
      <c r="AA230" s="52"/>
      <c r="AB230" s="52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</row>
    <row r="231" spans="1:75">
      <c r="A231" s="4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4"/>
      <c r="X231" s="4"/>
      <c r="Z231" s="52"/>
      <c r="AA231" s="52"/>
      <c r="AB231" s="52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</row>
    <row r="232" spans="1:75">
      <c r="A232" s="4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4"/>
      <c r="X232" s="4"/>
      <c r="Z232" s="52"/>
      <c r="AA232" s="52"/>
      <c r="AB232" s="52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</row>
    <row r="233" spans="1:75">
      <c r="A233" s="4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4"/>
      <c r="X233" s="4"/>
      <c r="Z233" s="52"/>
      <c r="AA233" s="52"/>
      <c r="AB233" s="52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</row>
    <row r="234" spans="1:75">
      <c r="A234" s="4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4"/>
      <c r="X234" s="4"/>
      <c r="Z234" s="52"/>
      <c r="AA234" s="52"/>
      <c r="AB234" s="52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</row>
    <row r="235" spans="1:75">
      <c r="A235" s="4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4"/>
      <c r="X235" s="4"/>
      <c r="Z235" s="52"/>
      <c r="AA235" s="52"/>
      <c r="AB235" s="52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</row>
    <row r="236" spans="1:75">
      <c r="A236" s="4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4"/>
      <c r="X236" s="4"/>
      <c r="Z236" s="52"/>
      <c r="AA236" s="52"/>
      <c r="AB236" s="52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</row>
    <row r="237" spans="1:75">
      <c r="A237" s="4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4"/>
      <c r="X237" s="4"/>
      <c r="Z237" s="52"/>
      <c r="AA237" s="52"/>
      <c r="AB237" s="52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</row>
    <row r="238" spans="1:75">
      <c r="A238" s="4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4"/>
      <c r="X238" s="4"/>
      <c r="Z238" s="52"/>
      <c r="AA238" s="52"/>
      <c r="AB238" s="52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</row>
    <row r="239" spans="1:75">
      <c r="A239" s="4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4"/>
      <c r="X239" s="4"/>
      <c r="Z239" s="52"/>
      <c r="AA239" s="52"/>
      <c r="AB239" s="52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</row>
    <row r="240" spans="1:75">
      <c r="A240" s="4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4"/>
      <c r="X240" s="4"/>
      <c r="Z240" s="52"/>
      <c r="AA240" s="52"/>
      <c r="AB240" s="52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</row>
    <row r="241" spans="1:75">
      <c r="A241" s="4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4"/>
      <c r="X241" s="4"/>
      <c r="Z241" s="52"/>
      <c r="AA241" s="52"/>
      <c r="AB241" s="52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</row>
    <row r="242" spans="1:75">
      <c r="A242" s="4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4"/>
      <c r="X242" s="4"/>
      <c r="Z242" s="52"/>
      <c r="AA242" s="52"/>
      <c r="AB242" s="52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</row>
    <row r="243" spans="1:75">
      <c r="A243" s="4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4"/>
      <c r="X243" s="4"/>
      <c r="Z243" s="52"/>
      <c r="AA243" s="52"/>
      <c r="AB243" s="52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</row>
    <row r="244" spans="1:75">
      <c r="A244" s="4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4"/>
      <c r="X244" s="4"/>
      <c r="Z244" s="52"/>
      <c r="AA244" s="52"/>
      <c r="AB244" s="52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</row>
    <row r="245" spans="1:75">
      <c r="A245" s="4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4"/>
      <c r="X245" s="4"/>
      <c r="Z245" s="52"/>
      <c r="AA245" s="52"/>
      <c r="AB245" s="52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</row>
    <row r="246" spans="1:75">
      <c r="A246" s="4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4"/>
      <c r="X246" s="4"/>
      <c r="Z246" s="52"/>
      <c r="AA246" s="52"/>
      <c r="AB246" s="52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</row>
    <row r="247" spans="1:75">
      <c r="A247" s="4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4"/>
      <c r="X247" s="4"/>
      <c r="Z247" s="52"/>
      <c r="AA247" s="52"/>
      <c r="AB247" s="52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</row>
    <row r="248" spans="1:75">
      <c r="A248" s="4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4"/>
      <c r="X248" s="4"/>
      <c r="Z248" s="52"/>
      <c r="AA248" s="52"/>
      <c r="AB248" s="52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</row>
    <row r="249" spans="1:75">
      <c r="A249" s="4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4"/>
      <c r="X249" s="4"/>
      <c r="Z249" s="52"/>
      <c r="AA249" s="52"/>
      <c r="AB249" s="52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</row>
    <row r="250" spans="1:75">
      <c r="A250" s="4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4"/>
      <c r="X250" s="4"/>
      <c r="Z250" s="52"/>
      <c r="AA250" s="52"/>
      <c r="AB250" s="52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</row>
    <row r="251" spans="1:75">
      <c r="A251" s="4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4"/>
      <c r="X251" s="4"/>
      <c r="Z251" s="52"/>
      <c r="AA251" s="52"/>
      <c r="AB251" s="52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</row>
    <row r="252" spans="1:75">
      <c r="A252" s="4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4"/>
      <c r="X252" s="4"/>
      <c r="Z252" s="52"/>
      <c r="AA252" s="52"/>
      <c r="AB252" s="52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</row>
    <row r="253" spans="1:75">
      <c r="A253" s="4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4"/>
      <c r="X253" s="4"/>
      <c r="Z253" s="52"/>
      <c r="AA253" s="52"/>
      <c r="AB253" s="52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</row>
    <row r="254" spans="1:75">
      <c r="A254" s="4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4"/>
      <c r="X254" s="4"/>
      <c r="Z254" s="52"/>
      <c r="AA254" s="52"/>
      <c r="AB254" s="52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</row>
    <row r="255" spans="1:75">
      <c r="A255" s="4"/>
      <c r="B255" s="83"/>
      <c r="C255" s="83"/>
      <c r="D255" s="83"/>
      <c r="E255" s="83"/>
      <c r="F255" s="83"/>
      <c r="G255" s="83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Z255" s="52"/>
      <c r="AA255" s="52"/>
      <c r="AB255" s="52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</row>
    <row r="256" spans="1:75">
      <c r="A256" s="4"/>
      <c r="B256" s="83"/>
      <c r="C256" s="83"/>
      <c r="D256" s="83"/>
      <c r="E256" s="83"/>
      <c r="F256" s="83"/>
      <c r="G256" s="83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Z256" s="52"/>
      <c r="AA256" s="52"/>
      <c r="AB256" s="52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</row>
    <row r="257" spans="1:75">
      <c r="A257" s="4"/>
      <c r="B257" s="83"/>
      <c r="C257" s="83"/>
      <c r="D257" s="83"/>
      <c r="E257" s="83"/>
      <c r="F257" s="83"/>
      <c r="G257" s="83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Z257" s="52"/>
      <c r="AA257" s="52"/>
      <c r="AB257" s="52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</row>
    <row r="258" spans="1:75">
      <c r="A258" s="4"/>
      <c r="B258" s="83"/>
      <c r="C258" s="83"/>
      <c r="D258" s="83"/>
      <c r="E258" s="83"/>
      <c r="F258" s="83"/>
      <c r="G258" s="83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Z258" s="52"/>
      <c r="AA258" s="52"/>
      <c r="AB258" s="52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</row>
    <row r="259" spans="1:75">
      <c r="A259" s="4"/>
      <c r="B259" s="83"/>
      <c r="C259" s="83"/>
      <c r="D259" s="83"/>
      <c r="E259" s="83"/>
      <c r="F259" s="83"/>
      <c r="G259" s="83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Z259" s="52"/>
      <c r="AA259" s="52"/>
      <c r="AB259" s="52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</row>
    <row r="260" spans="1:75">
      <c r="A260" s="4"/>
      <c r="B260" s="83"/>
      <c r="C260" s="83"/>
      <c r="D260" s="83"/>
      <c r="E260" s="83"/>
      <c r="F260" s="83"/>
      <c r="G260" s="83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Z260" s="52"/>
      <c r="AA260" s="52"/>
      <c r="AB260" s="52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</row>
    <row r="261" spans="1:75">
      <c r="A261" s="4"/>
      <c r="B261" s="83"/>
      <c r="C261" s="83"/>
      <c r="D261" s="83"/>
      <c r="E261" s="83"/>
      <c r="F261" s="83"/>
      <c r="G261" s="83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Z261" s="52"/>
      <c r="AA261" s="52"/>
      <c r="AB261" s="52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</row>
    <row r="262" spans="1:75">
      <c r="A262" s="4"/>
      <c r="B262" s="83"/>
      <c r="C262" s="83"/>
      <c r="D262" s="83"/>
      <c r="E262" s="83"/>
      <c r="F262" s="83"/>
      <c r="G262" s="83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Z262" s="52"/>
      <c r="AA262" s="52"/>
      <c r="AB262" s="52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</row>
    <row r="263" spans="1:75">
      <c r="A263" s="4"/>
      <c r="B263" s="83"/>
      <c r="C263" s="83"/>
      <c r="D263" s="83"/>
      <c r="E263" s="83"/>
      <c r="F263" s="83"/>
      <c r="G263" s="83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Z263" s="52"/>
      <c r="AA263" s="52"/>
      <c r="AB263" s="52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</row>
    <row r="264" spans="1:75">
      <c r="A264" s="4"/>
      <c r="B264" s="83"/>
      <c r="C264" s="83"/>
      <c r="D264" s="83"/>
      <c r="E264" s="83"/>
      <c r="F264" s="83"/>
      <c r="G264" s="83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Z264" s="52"/>
      <c r="AA264" s="52"/>
      <c r="AB264" s="52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</row>
    <row r="265" spans="1:75">
      <c r="A265" s="4"/>
      <c r="B265" s="83"/>
      <c r="C265" s="83"/>
      <c r="D265" s="83"/>
      <c r="E265" s="83"/>
      <c r="F265" s="83"/>
      <c r="G265" s="83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Z265" s="52"/>
      <c r="AA265" s="52"/>
      <c r="AB265" s="52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</row>
    <row r="266" spans="1:75">
      <c r="A266" s="4"/>
      <c r="B266" s="83"/>
      <c r="C266" s="83"/>
      <c r="D266" s="83"/>
      <c r="E266" s="83"/>
      <c r="F266" s="83"/>
      <c r="G266" s="83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Z266" s="52"/>
      <c r="AA266" s="52"/>
      <c r="AB266" s="52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</row>
    <row r="267" spans="1:75">
      <c r="A267" s="4"/>
      <c r="B267" s="83"/>
      <c r="C267" s="83"/>
      <c r="D267" s="83"/>
      <c r="E267" s="83"/>
      <c r="F267" s="83"/>
      <c r="G267" s="83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Z267" s="52"/>
      <c r="AA267" s="52"/>
      <c r="AB267" s="52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</row>
    <row r="268" spans="1:75">
      <c r="A268" s="4"/>
      <c r="B268" s="83"/>
      <c r="C268" s="83"/>
      <c r="D268" s="83"/>
      <c r="E268" s="83"/>
      <c r="F268" s="83"/>
      <c r="G268" s="83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Z268" s="52"/>
      <c r="AA268" s="52"/>
      <c r="AB268" s="52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</row>
    <row r="269" spans="1:75">
      <c r="A269" s="4"/>
      <c r="B269" s="83"/>
      <c r="C269" s="83"/>
      <c r="D269" s="83"/>
      <c r="E269" s="83"/>
      <c r="F269" s="83"/>
      <c r="G269" s="83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Z269" s="52"/>
      <c r="AA269" s="52"/>
      <c r="AB269" s="52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</row>
    <row r="270" spans="1:75">
      <c r="A270" s="4"/>
      <c r="B270" s="83"/>
      <c r="C270" s="83"/>
      <c r="D270" s="83"/>
      <c r="E270" s="83"/>
      <c r="F270" s="83"/>
      <c r="G270" s="83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Z270" s="52"/>
      <c r="AA270" s="52"/>
      <c r="AB270" s="52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</row>
    <row r="271" spans="1:75">
      <c r="A271" s="4"/>
      <c r="B271" s="83"/>
      <c r="C271" s="83"/>
      <c r="D271" s="83"/>
      <c r="E271" s="83"/>
      <c r="F271" s="83"/>
      <c r="G271" s="83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Z271" s="52"/>
      <c r="AA271" s="52"/>
      <c r="AB271" s="52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</row>
    <row r="272" spans="1:75">
      <c r="A272" s="4"/>
      <c r="B272" s="83"/>
      <c r="C272" s="83"/>
      <c r="D272" s="83"/>
      <c r="E272" s="83"/>
      <c r="F272" s="83"/>
      <c r="G272" s="83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Z272" s="52"/>
      <c r="AA272" s="52"/>
      <c r="AB272" s="52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</row>
    <row r="273" spans="1:75">
      <c r="A273" s="4"/>
      <c r="B273" s="83"/>
      <c r="C273" s="83"/>
      <c r="D273" s="83"/>
      <c r="E273" s="83"/>
      <c r="F273" s="83"/>
      <c r="G273" s="83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Z273" s="52"/>
      <c r="AA273" s="52"/>
      <c r="AB273" s="52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</row>
    <row r="274" spans="1:75">
      <c r="A274" s="4"/>
      <c r="B274" s="83"/>
      <c r="C274" s="83"/>
      <c r="D274" s="83"/>
      <c r="E274" s="83"/>
      <c r="F274" s="83"/>
      <c r="G274" s="83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Z274" s="52"/>
      <c r="AA274" s="52"/>
      <c r="AB274" s="52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</row>
    <row r="275" spans="1:75">
      <c r="A275" s="4"/>
      <c r="B275" s="83"/>
      <c r="C275" s="83"/>
      <c r="D275" s="83"/>
      <c r="E275" s="83"/>
      <c r="F275" s="83"/>
      <c r="G275" s="83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Z275" s="52"/>
      <c r="AA275" s="52"/>
      <c r="AB275" s="52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</row>
    <row r="276" spans="1:75">
      <c r="A276" s="4"/>
      <c r="B276" s="83"/>
      <c r="C276" s="83"/>
      <c r="D276" s="83"/>
      <c r="E276" s="83"/>
      <c r="F276" s="83"/>
      <c r="G276" s="83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Z276" s="52"/>
      <c r="AA276" s="52"/>
      <c r="AB276" s="52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</row>
    <row r="277" spans="1:75">
      <c r="A277" s="4"/>
      <c r="B277" s="83"/>
      <c r="C277" s="83"/>
      <c r="D277" s="83"/>
      <c r="E277" s="83"/>
      <c r="F277" s="83"/>
      <c r="G277" s="83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Z277" s="52"/>
      <c r="AA277" s="52"/>
      <c r="AB277" s="52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</row>
    <row r="278" spans="1:75">
      <c r="A278" s="4"/>
      <c r="B278" s="83"/>
      <c r="C278" s="83"/>
      <c r="D278" s="83"/>
      <c r="E278" s="83"/>
      <c r="F278" s="83"/>
      <c r="G278" s="83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Z278" s="52"/>
      <c r="AA278" s="52"/>
      <c r="AB278" s="52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</row>
    <row r="279" spans="1:75">
      <c r="A279" s="4"/>
      <c r="B279" s="83"/>
      <c r="C279" s="83"/>
      <c r="D279" s="83"/>
      <c r="E279" s="83"/>
      <c r="F279" s="83"/>
      <c r="G279" s="83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Z279" s="52"/>
      <c r="AA279" s="52"/>
      <c r="AB279" s="52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</row>
    <row r="280" spans="1:75">
      <c r="A280" s="4"/>
      <c r="B280" s="83"/>
      <c r="C280" s="83"/>
      <c r="D280" s="83"/>
      <c r="E280" s="83"/>
      <c r="F280" s="83"/>
      <c r="G280" s="83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Z280" s="52"/>
      <c r="AA280" s="52"/>
      <c r="AB280" s="52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</row>
    <row r="281" spans="1:75">
      <c r="A281" s="4"/>
      <c r="B281" s="83"/>
      <c r="C281" s="83"/>
      <c r="D281" s="83"/>
      <c r="E281" s="83"/>
      <c r="F281" s="83"/>
      <c r="G281" s="83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AA281" s="52"/>
      <c r="AB281" s="52"/>
      <c r="AL281" s="4"/>
      <c r="AM281" s="4"/>
    </row>
    <row r="282" spans="1:75">
      <c r="A282" s="4"/>
      <c r="B282" s="83"/>
      <c r="C282" s="83"/>
      <c r="D282" s="83"/>
      <c r="E282" s="83"/>
      <c r="F282" s="83"/>
      <c r="G282" s="83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AA282" s="52"/>
      <c r="AB282" s="52"/>
      <c r="AL282" s="4"/>
      <c r="AM282" s="4"/>
    </row>
    <row r="283" spans="1:75">
      <c r="A283" s="4"/>
      <c r="B283" s="83"/>
      <c r="C283" s="83"/>
      <c r="D283" s="83"/>
      <c r="E283" s="83"/>
      <c r="F283" s="83"/>
      <c r="G283" s="83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AA283" s="52"/>
      <c r="AB283" s="52"/>
      <c r="AL283" s="4"/>
      <c r="AM283" s="4"/>
      <c r="AN283" s="4"/>
      <c r="AO283" s="4"/>
      <c r="AP283" s="4"/>
      <c r="AQ283" s="4"/>
    </row>
    <row r="284" spans="1:75">
      <c r="A284" s="4"/>
      <c r="B284" s="83"/>
      <c r="C284" s="83"/>
      <c r="D284" s="83"/>
      <c r="E284" s="83"/>
      <c r="F284" s="83"/>
      <c r="G284" s="83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Z284" s="52"/>
      <c r="AA284" s="52"/>
      <c r="AL284" s="4"/>
      <c r="AM284" s="4"/>
      <c r="AN284" s="4"/>
      <c r="AO284" s="4"/>
      <c r="AP284" s="4"/>
    </row>
    <row r="285" spans="1:75">
      <c r="A285" s="4"/>
      <c r="B285" s="83"/>
      <c r="C285" s="83"/>
      <c r="D285" s="83"/>
      <c r="E285" s="83"/>
      <c r="F285" s="83"/>
      <c r="G285" s="83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Z285" s="52"/>
      <c r="AA285" s="52"/>
      <c r="AL285" s="4"/>
      <c r="AM285" s="4"/>
      <c r="AN285" s="4"/>
      <c r="AO285" s="4"/>
      <c r="AP285" s="4"/>
    </row>
    <row r="286" spans="1:75">
      <c r="A286" s="4"/>
      <c r="B286" s="83"/>
      <c r="C286" s="83"/>
      <c r="D286" s="83"/>
      <c r="E286" s="83"/>
      <c r="F286" s="83"/>
      <c r="G286" s="83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Z286" s="52"/>
      <c r="AA286" s="52"/>
      <c r="AL286" s="4"/>
      <c r="AM286" s="4"/>
      <c r="AN286" s="4"/>
      <c r="AO286" s="4"/>
      <c r="AP286" s="4"/>
    </row>
    <row r="287" spans="1:75">
      <c r="A287" s="4"/>
      <c r="B287" s="83"/>
      <c r="C287" s="83"/>
      <c r="D287" s="83"/>
      <c r="E287" s="83"/>
      <c r="F287" s="83"/>
      <c r="G287" s="83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AA287" s="52"/>
      <c r="AB287" s="52"/>
      <c r="AL287" s="4"/>
      <c r="AM287" s="4"/>
      <c r="AN287" s="4"/>
      <c r="AO287" s="4"/>
      <c r="AP287" s="4"/>
      <c r="AQ287" s="4"/>
    </row>
    <row r="288" spans="1:75">
      <c r="A288" s="4"/>
      <c r="B288" s="83"/>
      <c r="C288" s="83"/>
      <c r="D288" s="83"/>
      <c r="E288" s="83"/>
      <c r="F288" s="83"/>
      <c r="G288" s="83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AL288" s="4"/>
      <c r="AM288" s="4"/>
      <c r="AN288" s="4"/>
      <c r="AO288" s="4"/>
      <c r="AP288" s="4"/>
      <c r="AQ288" s="4"/>
    </row>
    <row r="289" spans="1:43">
      <c r="A289" s="4"/>
      <c r="B289" s="83"/>
      <c r="C289" s="83"/>
      <c r="D289" s="83"/>
      <c r="E289" s="83"/>
      <c r="F289" s="83"/>
      <c r="G289" s="83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AL289" s="4"/>
      <c r="AN289" s="4"/>
      <c r="AO289" s="4"/>
      <c r="AP289" s="4"/>
      <c r="AQ289" s="4"/>
    </row>
    <row r="290" spans="1:43">
      <c r="A290" s="4"/>
      <c r="B290" s="83"/>
      <c r="C290" s="83"/>
      <c r="D290" s="83"/>
      <c r="E290" s="83"/>
      <c r="F290" s="83"/>
      <c r="G290" s="83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AL290" s="4"/>
      <c r="AN290" s="4"/>
      <c r="AO290" s="4"/>
      <c r="AP290" s="4"/>
      <c r="AQ290" s="4"/>
    </row>
    <row r="291" spans="1:43">
      <c r="A291" s="4"/>
      <c r="B291" s="83"/>
      <c r="C291" s="83"/>
      <c r="D291" s="83"/>
      <c r="E291" s="83"/>
      <c r="F291" s="83"/>
      <c r="G291" s="83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AL291" s="4"/>
      <c r="AM291" s="4"/>
      <c r="AN291" s="4"/>
      <c r="AO291" s="4"/>
      <c r="AP291" s="4"/>
      <c r="AQ291" s="4"/>
    </row>
    <row r="292" spans="1:43">
      <c r="A292" s="4"/>
      <c r="B292" s="83"/>
      <c r="C292" s="83"/>
      <c r="D292" s="83"/>
      <c r="E292" s="83"/>
      <c r="F292" s="83"/>
      <c r="G292" s="83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AL292" s="4"/>
      <c r="AM292" s="4"/>
      <c r="AN292" s="4"/>
      <c r="AO292" s="4"/>
      <c r="AP292" s="4"/>
      <c r="AQ292" s="4"/>
    </row>
    <row r="293" spans="1:43">
      <c r="A293" s="4"/>
      <c r="B293" s="83"/>
      <c r="C293" s="83"/>
      <c r="D293" s="83"/>
      <c r="E293" s="83"/>
      <c r="F293" s="83"/>
      <c r="G293" s="83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AL293" s="4"/>
      <c r="AM293" s="4"/>
      <c r="AN293" s="4"/>
      <c r="AO293" s="4"/>
      <c r="AP293" s="4"/>
      <c r="AQ293" s="4"/>
    </row>
    <row r="294" spans="1:43">
      <c r="A294" s="4"/>
      <c r="B294" s="83"/>
      <c r="C294" s="83"/>
      <c r="D294" s="83"/>
      <c r="E294" s="83"/>
      <c r="F294" s="83"/>
      <c r="G294" s="83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AL294" s="4"/>
      <c r="AM294" s="4"/>
      <c r="AN294" s="4"/>
      <c r="AO294" s="4"/>
      <c r="AP294" s="4"/>
      <c r="AQ294" s="4"/>
    </row>
    <row r="295" spans="1:43">
      <c r="A295" s="4"/>
      <c r="B295" s="83"/>
      <c r="C295" s="83"/>
      <c r="D295" s="83"/>
      <c r="E295" s="83"/>
      <c r="F295" s="83"/>
      <c r="G295" s="83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AL295" s="4"/>
      <c r="AM295" s="4"/>
      <c r="AN295" s="4"/>
      <c r="AO295" s="4"/>
      <c r="AP295" s="4"/>
      <c r="AQ295" s="4"/>
    </row>
    <row r="296" spans="1:43">
      <c r="A296" s="4"/>
      <c r="B296" s="83"/>
      <c r="C296" s="83"/>
      <c r="D296" s="83"/>
      <c r="E296" s="83"/>
      <c r="F296" s="83"/>
      <c r="G296" s="83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AL296" s="4"/>
      <c r="AM296" s="4"/>
      <c r="AN296" s="4"/>
      <c r="AO296" s="4"/>
      <c r="AP296" s="4"/>
      <c r="AQ296" s="4"/>
    </row>
    <row r="297" spans="1:43">
      <c r="A297" s="4"/>
      <c r="B297" s="83"/>
      <c r="C297" s="83"/>
      <c r="D297" s="83"/>
      <c r="E297" s="83"/>
      <c r="F297" s="83"/>
      <c r="G297" s="83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AL297" s="4"/>
      <c r="AM297" s="4"/>
      <c r="AN297" s="4"/>
      <c r="AO297" s="4"/>
      <c r="AP297" s="4"/>
      <c r="AQ297" s="4"/>
    </row>
    <row r="298" spans="1:43">
      <c r="A298" s="4"/>
      <c r="B298" s="83"/>
      <c r="C298" s="83"/>
      <c r="D298" s="83"/>
      <c r="E298" s="83"/>
      <c r="F298" s="83"/>
      <c r="G298" s="83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AL298" s="4"/>
      <c r="AM298" s="4"/>
      <c r="AN298" s="4"/>
      <c r="AO298" s="4"/>
      <c r="AP298" s="4"/>
      <c r="AQ298" s="4"/>
    </row>
    <row r="299" spans="1:43">
      <c r="A299" s="4"/>
      <c r="B299" s="83"/>
      <c r="C299" s="83"/>
      <c r="D299" s="83"/>
      <c r="E299" s="83"/>
      <c r="F299" s="83"/>
      <c r="G299" s="83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AL299" s="4"/>
      <c r="AM299" s="4"/>
      <c r="AN299" s="4"/>
      <c r="AO299" s="4"/>
      <c r="AP299" s="4"/>
      <c r="AQ299" s="4"/>
    </row>
    <row r="300" spans="1:43">
      <c r="A300" s="4"/>
      <c r="B300" s="83"/>
      <c r="C300" s="83"/>
      <c r="D300" s="83"/>
      <c r="E300" s="83"/>
      <c r="F300" s="83"/>
      <c r="G300" s="83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AL300" s="4"/>
      <c r="AM300" s="4"/>
      <c r="AN300" s="4"/>
      <c r="AO300" s="4"/>
      <c r="AP300" s="4"/>
      <c r="AQ300" s="4"/>
    </row>
    <row r="301" spans="1:43">
      <c r="A301" s="4"/>
      <c r="B301" s="83"/>
      <c r="C301" s="83"/>
      <c r="D301" s="83"/>
      <c r="E301" s="83"/>
      <c r="F301" s="83"/>
      <c r="G301" s="83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AL301" s="4"/>
      <c r="AM301" s="4"/>
      <c r="AN301" s="4"/>
      <c r="AO301" s="4"/>
      <c r="AP301" s="4"/>
      <c r="AQ301" s="4"/>
    </row>
    <row r="302" spans="1:43">
      <c r="A302" s="4"/>
      <c r="B302" s="83"/>
      <c r="C302" s="83"/>
      <c r="D302" s="83"/>
      <c r="E302" s="83"/>
      <c r="F302" s="83"/>
      <c r="G302" s="83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AL302" s="4"/>
      <c r="AM302" s="4"/>
      <c r="AN302" s="4"/>
      <c r="AO302" s="4"/>
      <c r="AP302" s="4"/>
      <c r="AQ302" s="4"/>
    </row>
    <row r="303" spans="1:43">
      <c r="A303" s="4"/>
      <c r="B303" s="83"/>
      <c r="C303" s="83"/>
      <c r="D303" s="83"/>
      <c r="E303" s="83"/>
      <c r="F303" s="83"/>
      <c r="G303" s="83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AL303" s="4"/>
      <c r="AM303" s="4"/>
      <c r="AN303" s="4"/>
      <c r="AO303" s="4"/>
      <c r="AP303" s="4"/>
      <c r="AQ303" s="4"/>
    </row>
    <row r="304" spans="1:43">
      <c r="A304" s="4"/>
      <c r="B304" s="83"/>
      <c r="C304" s="83"/>
      <c r="D304" s="83"/>
      <c r="E304" s="83"/>
      <c r="F304" s="83"/>
      <c r="G304" s="83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AL304" s="4"/>
      <c r="AM304" s="4"/>
      <c r="AN304" s="4"/>
      <c r="AO304" s="4"/>
      <c r="AP304" s="4"/>
      <c r="AQ304" s="4"/>
    </row>
    <row r="305" spans="1:43">
      <c r="A305" s="4"/>
      <c r="B305" s="83"/>
      <c r="C305" s="83"/>
      <c r="D305" s="83"/>
      <c r="E305" s="83"/>
      <c r="F305" s="83"/>
      <c r="G305" s="83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AL305" s="4"/>
      <c r="AM305" s="4"/>
      <c r="AN305" s="4"/>
      <c r="AO305" s="4"/>
      <c r="AP305" s="4"/>
      <c r="AQ305" s="4"/>
    </row>
    <row r="306" spans="1:43">
      <c r="A306" s="4"/>
      <c r="B306" s="83"/>
      <c r="C306" s="83"/>
      <c r="D306" s="83"/>
      <c r="E306" s="83"/>
      <c r="F306" s="83"/>
      <c r="G306" s="83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AL306" s="4"/>
      <c r="AM306" s="4"/>
      <c r="AN306" s="4"/>
      <c r="AO306" s="4"/>
      <c r="AP306" s="4"/>
      <c r="AQ306" s="4"/>
    </row>
    <row r="307" spans="1:43">
      <c r="A307" s="4"/>
      <c r="B307" s="83"/>
      <c r="C307" s="83"/>
      <c r="D307" s="83"/>
      <c r="E307" s="83"/>
      <c r="F307" s="83"/>
      <c r="G307" s="83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AL307" s="4"/>
      <c r="AM307" s="4"/>
      <c r="AN307" s="4"/>
      <c r="AO307" s="4"/>
      <c r="AP307" s="4"/>
      <c r="AQ307" s="4"/>
    </row>
    <row r="308" spans="1:43">
      <c r="A308" s="4"/>
      <c r="B308" s="83"/>
      <c r="C308" s="83"/>
      <c r="D308" s="83"/>
      <c r="E308" s="83"/>
      <c r="F308" s="83"/>
      <c r="G308" s="83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AL308" s="4"/>
      <c r="AM308" s="4"/>
      <c r="AN308" s="4"/>
      <c r="AO308" s="4"/>
      <c r="AP308" s="4"/>
      <c r="AQ308" s="4"/>
    </row>
    <row r="309" spans="1:43">
      <c r="A309" s="4"/>
      <c r="B309" s="83"/>
      <c r="C309" s="83"/>
      <c r="D309" s="83"/>
      <c r="E309" s="83"/>
      <c r="F309" s="83"/>
      <c r="G309" s="83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AL309" s="4"/>
      <c r="AM309" s="4"/>
      <c r="AN309" s="4"/>
      <c r="AO309" s="4"/>
      <c r="AP309" s="4"/>
      <c r="AQ309" s="4"/>
    </row>
    <row r="310" spans="1:43">
      <c r="A310" s="4"/>
      <c r="B310" s="83"/>
      <c r="C310" s="83"/>
      <c r="D310" s="83"/>
      <c r="E310" s="83"/>
      <c r="F310" s="83"/>
      <c r="G310" s="83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AL310" s="4"/>
      <c r="AM310" s="4"/>
      <c r="AN310" s="4"/>
      <c r="AO310" s="4"/>
      <c r="AP310" s="4"/>
      <c r="AQ310" s="4"/>
    </row>
    <row r="311" spans="1:43">
      <c r="A311" s="4"/>
      <c r="B311" s="83"/>
      <c r="C311" s="83"/>
      <c r="D311" s="83"/>
      <c r="E311" s="83"/>
      <c r="F311" s="83"/>
      <c r="G311" s="83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AL311" s="4"/>
      <c r="AM311" s="4"/>
      <c r="AN311" s="4"/>
      <c r="AO311" s="4"/>
      <c r="AP311" s="4"/>
      <c r="AQ311" s="4"/>
    </row>
    <row r="312" spans="1:43">
      <c r="A312" s="4"/>
      <c r="B312" s="83"/>
      <c r="C312" s="83"/>
      <c r="D312" s="83"/>
      <c r="E312" s="83"/>
      <c r="F312" s="83"/>
      <c r="G312" s="83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AL312" s="4"/>
      <c r="AM312" s="4"/>
      <c r="AN312" s="4"/>
      <c r="AO312" s="4"/>
      <c r="AP312" s="4"/>
      <c r="AQ312" s="4"/>
    </row>
    <row r="313" spans="1:43">
      <c r="A313" s="4"/>
      <c r="B313" s="83"/>
      <c r="C313" s="83"/>
      <c r="D313" s="83"/>
      <c r="E313" s="83"/>
      <c r="F313" s="83"/>
      <c r="G313" s="83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AL313" s="4"/>
      <c r="AM313" s="4"/>
      <c r="AN313" s="4"/>
      <c r="AO313" s="4"/>
      <c r="AP313" s="4"/>
      <c r="AQ313" s="4"/>
    </row>
    <row r="314" spans="1:43">
      <c r="A314" s="4"/>
      <c r="B314" s="83"/>
      <c r="C314" s="83"/>
      <c r="D314" s="83"/>
      <c r="E314" s="83"/>
      <c r="F314" s="83"/>
      <c r="G314" s="83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AL314" s="4"/>
      <c r="AM314" s="4"/>
      <c r="AN314" s="4"/>
      <c r="AO314" s="4"/>
      <c r="AP314" s="4"/>
      <c r="AQ314" s="4"/>
    </row>
    <row r="315" spans="1:43">
      <c r="A315" s="4"/>
      <c r="B315" s="83"/>
      <c r="C315" s="83"/>
      <c r="D315" s="83"/>
      <c r="E315" s="83"/>
      <c r="F315" s="83"/>
      <c r="G315" s="83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AL315" s="4"/>
      <c r="AM315" s="4"/>
      <c r="AN315" s="4"/>
      <c r="AO315" s="4"/>
      <c r="AP315" s="4"/>
      <c r="AQ315" s="4"/>
    </row>
    <row r="316" spans="1:43">
      <c r="A316" s="4"/>
      <c r="B316" s="83"/>
      <c r="C316" s="83"/>
      <c r="D316" s="83"/>
      <c r="E316" s="83"/>
      <c r="F316" s="83"/>
      <c r="G316" s="83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AL316" s="4"/>
      <c r="AM316" s="4"/>
      <c r="AN316" s="4"/>
      <c r="AO316" s="4"/>
      <c r="AP316" s="4"/>
      <c r="AQ316" s="4"/>
    </row>
    <row r="317" spans="1:43">
      <c r="A317" s="4"/>
      <c r="B317" s="83"/>
      <c r="C317" s="83"/>
      <c r="D317" s="83"/>
      <c r="E317" s="83"/>
      <c r="F317" s="83"/>
      <c r="G317" s="83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AL317" s="4"/>
      <c r="AM317" s="4"/>
      <c r="AN317" s="4"/>
      <c r="AO317" s="4"/>
      <c r="AP317" s="4"/>
      <c r="AQ317" s="4"/>
    </row>
    <row r="318" spans="1:43">
      <c r="A318" s="4"/>
      <c r="B318" s="83"/>
      <c r="C318" s="83"/>
      <c r="D318" s="83"/>
      <c r="E318" s="83"/>
      <c r="F318" s="83"/>
      <c r="G318" s="83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AL318" s="4"/>
      <c r="AM318" s="4"/>
      <c r="AN318" s="4"/>
      <c r="AO318" s="4"/>
      <c r="AP318" s="4"/>
      <c r="AQ318" s="4"/>
    </row>
    <row r="319" spans="1:43">
      <c r="A319" s="4"/>
      <c r="B319" s="83"/>
      <c r="C319" s="83"/>
      <c r="D319" s="83"/>
      <c r="E319" s="83"/>
      <c r="F319" s="83"/>
      <c r="G319" s="83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AL319" s="4"/>
      <c r="AM319" s="4"/>
      <c r="AN319" s="4"/>
      <c r="AO319" s="4"/>
      <c r="AP319" s="4"/>
      <c r="AQ319" s="4"/>
    </row>
    <row r="320" spans="1:43">
      <c r="A320" s="4"/>
      <c r="B320" s="83"/>
      <c r="C320" s="83"/>
      <c r="D320" s="83"/>
      <c r="E320" s="83"/>
      <c r="F320" s="83"/>
      <c r="G320" s="83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AL320" s="4"/>
      <c r="AM320" s="4"/>
      <c r="AN320" s="4"/>
      <c r="AO320" s="4"/>
      <c r="AP320" s="4"/>
      <c r="AQ320" s="4"/>
    </row>
    <row r="321" spans="1:43">
      <c r="A321" s="4"/>
      <c r="B321" s="83"/>
      <c r="C321" s="83"/>
      <c r="D321" s="83"/>
      <c r="E321" s="83"/>
      <c r="F321" s="83"/>
      <c r="G321" s="83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AL321" s="4"/>
      <c r="AM321" s="4"/>
      <c r="AN321" s="4"/>
      <c r="AO321" s="4"/>
      <c r="AP321" s="4"/>
      <c r="AQ321" s="4"/>
    </row>
    <row r="322" spans="1:43">
      <c r="A322" s="4"/>
      <c r="B322" s="83"/>
      <c r="C322" s="83"/>
      <c r="D322" s="83"/>
      <c r="E322" s="83"/>
      <c r="F322" s="83"/>
      <c r="G322" s="83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AL322" s="4"/>
      <c r="AM322" s="4"/>
      <c r="AN322" s="4"/>
      <c r="AO322" s="4"/>
      <c r="AP322" s="4"/>
      <c r="AQ322" s="4"/>
    </row>
    <row r="323" spans="1:43">
      <c r="A323" s="4"/>
      <c r="B323" s="83"/>
      <c r="C323" s="83"/>
      <c r="D323" s="83"/>
      <c r="E323" s="83"/>
      <c r="F323" s="83"/>
      <c r="G323" s="83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AL323" s="4"/>
      <c r="AM323" s="4"/>
      <c r="AN323" s="4"/>
      <c r="AO323" s="4"/>
      <c r="AP323" s="4"/>
      <c r="AQ323" s="4"/>
    </row>
    <row r="324" spans="1:43">
      <c r="A324" s="4"/>
      <c r="B324" s="83"/>
      <c r="C324" s="83"/>
      <c r="D324" s="83"/>
      <c r="E324" s="83"/>
      <c r="F324" s="83"/>
      <c r="G324" s="83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AL324" s="4"/>
      <c r="AM324" s="4"/>
      <c r="AN324" s="4"/>
      <c r="AO324" s="4"/>
      <c r="AP324" s="4"/>
      <c r="AQ324" s="4"/>
    </row>
    <row r="325" spans="1:43">
      <c r="A325" s="4"/>
      <c r="B325" s="83"/>
      <c r="C325" s="83"/>
      <c r="D325" s="83"/>
      <c r="E325" s="83"/>
      <c r="F325" s="83"/>
      <c r="G325" s="83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AL325" s="4"/>
      <c r="AM325" s="4"/>
      <c r="AN325" s="4"/>
      <c r="AO325" s="4"/>
      <c r="AP325" s="4"/>
      <c r="AQ325" s="4"/>
    </row>
    <row r="326" spans="1:43">
      <c r="A326" s="4"/>
      <c r="B326" s="83"/>
      <c r="C326" s="83"/>
      <c r="D326" s="83"/>
      <c r="E326" s="83"/>
      <c r="F326" s="83"/>
      <c r="G326" s="83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AL326" s="4"/>
      <c r="AM326" s="4"/>
      <c r="AN326" s="4"/>
      <c r="AO326" s="4"/>
      <c r="AP326" s="4"/>
      <c r="AQ326" s="4"/>
    </row>
    <row r="327" spans="1:43">
      <c r="A327" s="4"/>
      <c r="B327" s="83"/>
      <c r="C327" s="83"/>
      <c r="D327" s="83"/>
      <c r="E327" s="83"/>
      <c r="F327" s="83"/>
      <c r="G327" s="83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AL327" s="4"/>
      <c r="AM327" s="4"/>
      <c r="AN327" s="4"/>
      <c r="AO327" s="4"/>
      <c r="AP327" s="4"/>
      <c r="AQ327" s="4"/>
    </row>
    <row r="328" spans="1:43">
      <c r="A328" s="4"/>
      <c r="B328" s="83"/>
      <c r="C328" s="83"/>
      <c r="D328" s="83"/>
      <c r="E328" s="83"/>
      <c r="F328" s="83"/>
      <c r="G328" s="83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AL328" s="4"/>
      <c r="AM328" s="4"/>
      <c r="AN328" s="4"/>
      <c r="AO328" s="4"/>
      <c r="AP328" s="4"/>
      <c r="AQ328" s="4"/>
    </row>
    <row r="329" spans="1:43">
      <c r="A329" s="4"/>
      <c r="B329" s="83"/>
      <c r="C329" s="83"/>
      <c r="D329" s="83"/>
      <c r="E329" s="83"/>
      <c r="F329" s="83"/>
      <c r="G329" s="83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AL329" s="4"/>
      <c r="AM329" s="4"/>
      <c r="AN329" s="4"/>
      <c r="AO329" s="4"/>
      <c r="AP329" s="4"/>
      <c r="AQ329" s="4"/>
    </row>
    <row r="330" spans="1:43">
      <c r="A330" s="4"/>
      <c r="B330" s="83"/>
      <c r="C330" s="83"/>
      <c r="D330" s="83"/>
      <c r="E330" s="83"/>
      <c r="F330" s="83"/>
      <c r="G330" s="83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AL330" s="4"/>
      <c r="AM330" s="4"/>
      <c r="AN330" s="4"/>
      <c r="AO330" s="4"/>
      <c r="AP330" s="4"/>
      <c r="AQ330" s="4"/>
    </row>
    <row r="331" spans="1:43">
      <c r="A331" s="4"/>
      <c r="B331" s="83"/>
      <c r="C331" s="83"/>
      <c r="D331" s="83"/>
      <c r="E331" s="83"/>
      <c r="F331" s="83"/>
      <c r="G331" s="83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AL331" s="4"/>
      <c r="AM331" s="4"/>
      <c r="AN331" s="4"/>
      <c r="AO331" s="4"/>
      <c r="AP331" s="4"/>
      <c r="AQ331" s="4"/>
    </row>
    <row r="332" spans="1:43">
      <c r="A332" s="4"/>
      <c r="B332" s="83"/>
      <c r="C332" s="83"/>
      <c r="D332" s="83"/>
      <c r="E332" s="83"/>
      <c r="F332" s="83"/>
      <c r="G332" s="83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AL332" s="4"/>
      <c r="AM332" s="4"/>
      <c r="AN332" s="4"/>
      <c r="AO332" s="4"/>
      <c r="AP332" s="4"/>
      <c r="AQ332" s="4"/>
    </row>
    <row r="333" spans="1:43">
      <c r="A333" s="4"/>
      <c r="B333" s="83"/>
      <c r="C333" s="83"/>
      <c r="D333" s="83"/>
      <c r="E333" s="83"/>
      <c r="F333" s="83"/>
      <c r="G333" s="83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AL333" s="4"/>
      <c r="AM333" s="4"/>
      <c r="AN333" s="4"/>
      <c r="AO333" s="4"/>
      <c r="AP333" s="4"/>
      <c r="AQ333" s="4"/>
    </row>
    <row r="334" spans="1:43">
      <c r="A334" s="4"/>
      <c r="B334" s="83"/>
      <c r="C334" s="83"/>
      <c r="D334" s="83"/>
      <c r="E334" s="83"/>
      <c r="F334" s="83"/>
      <c r="G334" s="83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AL334" s="4"/>
      <c r="AM334" s="4"/>
      <c r="AN334" s="4"/>
      <c r="AO334" s="4"/>
      <c r="AP334" s="4"/>
      <c r="AQ334" s="4"/>
    </row>
    <row r="335" spans="1:43">
      <c r="A335" s="4"/>
      <c r="B335" s="83"/>
      <c r="C335" s="83"/>
      <c r="D335" s="83"/>
      <c r="E335" s="83"/>
      <c r="F335" s="83"/>
      <c r="G335" s="83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AL335" s="4"/>
      <c r="AM335" s="4"/>
      <c r="AN335" s="4"/>
      <c r="AO335" s="4"/>
      <c r="AP335" s="4"/>
      <c r="AQ335" s="4"/>
    </row>
    <row r="336" spans="1:43">
      <c r="A336" s="4"/>
      <c r="B336" s="83"/>
      <c r="C336" s="83"/>
      <c r="D336" s="83"/>
      <c r="E336" s="83"/>
      <c r="F336" s="83"/>
      <c r="G336" s="83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AL336" s="4"/>
      <c r="AM336" s="4"/>
      <c r="AN336" s="4"/>
      <c r="AO336" s="4"/>
      <c r="AP336" s="4"/>
      <c r="AQ336" s="4"/>
    </row>
    <row r="337" spans="1:43">
      <c r="A337" s="4"/>
      <c r="B337" s="83"/>
      <c r="C337" s="83"/>
      <c r="D337" s="83"/>
      <c r="E337" s="83"/>
      <c r="F337" s="83"/>
      <c r="G337" s="83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AL337" s="4"/>
      <c r="AM337" s="4"/>
      <c r="AN337" s="4"/>
      <c r="AO337" s="4"/>
      <c r="AP337" s="4"/>
      <c r="AQ337" s="4"/>
    </row>
    <row r="338" spans="1:43">
      <c r="A338" s="4"/>
      <c r="B338" s="83"/>
      <c r="C338" s="83"/>
      <c r="D338" s="83"/>
      <c r="E338" s="83"/>
      <c r="F338" s="83"/>
      <c r="G338" s="83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AL338" s="4"/>
      <c r="AM338" s="4"/>
      <c r="AN338" s="4"/>
      <c r="AO338" s="4"/>
      <c r="AP338" s="4"/>
      <c r="AQ338" s="4"/>
    </row>
    <row r="339" spans="1:43">
      <c r="A339" s="4"/>
      <c r="B339" s="83"/>
      <c r="C339" s="83"/>
      <c r="D339" s="83"/>
      <c r="E339" s="83"/>
      <c r="F339" s="83"/>
      <c r="G339" s="83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AL339" s="4"/>
      <c r="AM339" s="4"/>
      <c r="AN339" s="4"/>
      <c r="AO339" s="4"/>
      <c r="AP339" s="4"/>
      <c r="AQ339" s="4"/>
    </row>
    <row r="340" spans="1:43">
      <c r="A340" s="4"/>
      <c r="B340" s="83"/>
      <c r="C340" s="83"/>
      <c r="D340" s="83"/>
      <c r="E340" s="83"/>
      <c r="F340" s="83"/>
      <c r="G340" s="83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Y340"/>
      <c r="Z340"/>
      <c r="AL340" s="4"/>
      <c r="AM340" s="4"/>
    </row>
    <row r="341" spans="1:43">
      <c r="A341" s="4"/>
      <c r="B341" s="83"/>
      <c r="C341" s="83"/>
      <c r="D341" s="83"/>
      <c r="E341" s="83"/>
      <c r="F341" s="83"/>
      <c r="G341" s="83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Y341"/>
      <c r="Z341"/>
      <c r="AL341" s="4"/>
      <c r="AM341" s="4"/>
    </row>
    <row r="342" spans="1:43">
      <c r="A342" s="4"/>
      <c r="B342" s="83"/>
      <c r="C342" s="83"/>
      <c r="D342" s="83"/>
      <c r="E342" s="83"/>
      <c r="F342" s="83"/>
      <c r="G342" s="83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Y342"/>
      <c r="Z342"/>
      <c r="AL342" s="4"/>
      <c r="AM342" s="4"/>
    </row>
    <row r="343" spans="1:43">
      <c r="A343" s="4"/>
      <c r="B343" s="83"/>
      <c r="C343" s="83"/>
      <c r="D343" s="83"/>
      <c r="E343" s="83"/>
      <c r="F343" s="83"/>
      <c r="G343" s="83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Y343"/>
      <c r="Z343"/>
      <c r="AL343" s="4"/>
      <c r="AM343" s="4"/>
    </row>
    <row r="344" spans="1:43" ht="16.5" customHeight="1">
      <c r="A344" s="4"/>
      <c r="B344" s="83"/>
      <c r="C344" s="83"/>
      <c r="D344" s="83"/>
      <c r="E344" s="83"/>
      <c r="F344" s="83"/>
      <c r="G344" s="83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Y344"/>
      <c r="Z344"/>
      <c r="AL344" s="4"/>
      <c r="AM344" s="4"/>
    </row>
    <row r="345" spans="1:43">
      <c r="A345" s="4"/>
      <c r="B345" s="83"/>
      <c r="C345" s="83"/>
      <c r="D345" s="83"/>
      <c r="E345" s="83"/>
      <c r="F345" s="83"/>
      <c r="G345" s="83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Y345"/>
      <c r="Z345"/>
      <c r="AL345" s="4"/>
      <c r="AM345" s="4"/>
    </row>
    <row r="346" spans="1:43">
      <c r="A346" s="4"/>
      <c r="B346" s="83"/>
      <c r="C346" s="83"/>
      <c r="D346" s="83"/>
      <c r="E346" s="83"/>
      <c r="F346" s="83"/>
      <c r="G346" s="83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Y346"/>
      <c r="Z346"/>
      <c r="AL346" s="4"/>
      <c r="AM346" s="4"/>
    </row>
    <row r="347" spans="1:43">
      <c r="A347" s="4"/>
      <c r="B347" s="83"/>
      <c r="C347" s="83"/>
      <c r="D347" s="83"/>
      <c r="E347" s="83"/>
      <c r="F347" s="83"/>
      <c r="G347" s="83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Y347"/>
      <c r="Z347"/>
      <c r="AL347" s="4"/>
      <c r="AM347" s="4"/>
    </row>
    <row r="348" spans="1:43">
      <c r="A348" s="4"/>
      <c r="B348" s="83"/>
      <c r="C348" s="83"/>
      <c r="D348" s="83"/>
      <c r="E348" s="83"/>
      <c r="F348" s="83"/>
      <c r="G348" s="83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 spans="1:43">
      <c r="A349" s="4"/>
      <c r="B349" s="83"/>
      <c r="C349" s="83"/>
      <c r="D349" s="83"/>
      <c r="E349" s="83"/>
      <c r="F349" s="83"/>
      <c r="G349" s="83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 spans="1:43">
      <c r="A350" s="4"/>
      <c r="B350" s="83"/>
      <c r="C350" s="83"/>
      <c r="D350" s="83"/>
      <c r="E350" s="83"/>
      <c r="F350" s="83"/>
      <c r="G350" s="83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 spans="1:43">
      <c r="A351" s="4"/>
      <c r="B351" s="83"/>
      <c r="C351" s="83"/>
      <c r="D351" s="83"/>
      <c r="E351" s="83"/>
      <c r="F351" s="83"/>
      <c r="G351" s="83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 spans="1:43">
      <c r="A352" s="4"/>
      <c r="B352" s="83"/>
      <c r="C352" s="83"/>
      <c r="D352" s="83"/>
      <c r="E352" s="83"/>
      <c r="F352" s="83"/>
      <c r="G352" s="83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 spans="1:37">
      <c r="A353" s="4"/>
      <c r="B353" s="83"/>
      <c r="C353" s="83"/>
      <c r="D353" s="83"/>
      <c r="E353" s="83"/>
      <c r="F353" s="83"/>
      <c r="G353" s="83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 spans="1:37">
      <c r="A354" s="4"/>
      <c r="B354" s="83"/>
      <c r="C354" s="83"/>
      <c r="D354" s="83"/>
      <c r="E354" s="83"/>
      <c r="F354" s="83"/>
      <c r="G354" s="83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 spans="1:37">
      <c r="A355" s="4"/>
      <c r="B355" s="83"/>
      <c r="C355" s="83"/>
      <c r="D355" s="83"/>
      <c r="E355" s="83"/>
      <c r="F355" s="83"/>
      <c r="G355" s="83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 spans="1:37">
      <c r="A356" s="4"/>
      <c r="B356" s="83"/>
      <c r="C356" s="83"/>
      <c r="D356" s="83"/>
      <c r="E356" s="83"/>
      <c r="F356" s="83"/>
      <c r="G356" s="83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 spans="1:37">
      <c r="A357" s="4"/>
      <c r="B357" s="83"/>
      <c r="C357" s="83"/>
      <c r="D357" s="83"/>
      <c r="E357" s="83"/>
      <c r="F357" s="83"/>
      <c r="G357" s="83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 spans="1:37">
      <c r="A358" s="4"/>
      <c r="B358" s="83"/>
      <c r="C358" s="83"/>
      <c r="D358" s="83"/>
      <c r="E358" s="83"/>
      <c r="F358" s="83"/>
      <c r="G358" s="83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 spans="1:37">
      <c r="A359" s="4"/>
      <c r="B359" s="83"/>
      <c r="C359" s="83"/>
      <c r="D359" s="83"/>
      <c r="E359" s="83"/>
      <c r="F359" s="83"/>
      <c r="G359" s="83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Y359"/>
      <c r="Z359"/>
      <c r="AA359"/>
      <c r="AB359"/>
      <c r="AC359"/>
      <c r="AD359"/>
      <c r="AE359"/>
      <c r="AF359"/>
      <c r="AG359"/>
      <c r="AH359"/>
      <c r="AI359"/>
      <c r="AJ359"/>
      <c r="AK359"/>
    </row>
    <row r="360" spans="1:37">
      <c r="A360" s="4"/>
      <c r="B360" s="83"/>
      <c r="C360" s="83"/>
      <c r="D360" s="83"/>
      <c r="E360" s="83"/>
      <c r="F360" s="83"/>
      <c r="G360" s="83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 spans="1:37">
      <c r="A361" s="4"/>
      <c r="B361" s="83"/>
      <c r="C361" s="83"/>
      <c r="D361" s="83"/>
      <c r="E361" s="83"/>
      <c r="F361" s="83"/>
      <c r="G361" s="83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 spans="1:37">
      <c r="A362" s="4"/>
      <c r="B362" s="83"/>
      <c r="C362" s="83"/>
      <c r="D362" s="83"/>
      <c r="E362" s="83"/>
      <c r="F362" s="83"/>
      <c r="G362" s="83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 spans="1:37">
      <c r="A363" s="4"/>
      <c r="B363" s="83"/>
      <c r="C363" s="83"/>
      <c r="D363" s="83"/>
      <c r="E363" s="83"/>
      <c r="F363" s="83"/>
      <c r="G363" s="83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 spans="1:37">
      <c r="A364" s="4"/>
      <c r="B364" s="83"/>
      <c r="C364" s="83"/>
      <c r="D364" s="83"/>
      <c r="E364" s="83"/>
      <c r="F364" s="83"/>
      <c r="G364" s="83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Y364"/>
      <c r="Z364"/>
      <c r="AA364"/>
      <c r="AB364"/>
      <c r="AC364"/>
      <c r="AD364"/>
      <c r="AE364"/>
      <c r="AF364"/>
      <c r="AG364"/>
      <c r="AH364"/>
      <c r="AI364"/>
      <c r="AJ364"/>
      <c r="AK364"/>
    </row>
    <row r="365" spans="1:37">
      <c r="A365" s="4"/>
      <c r="B365" s="83"/>
      <c r="C365" s="83"/>
      <c r="D365" s="83"/>
      <c r="E365" s="83"/>
      <c r="F365" s="83"/>
      <c r="G365" s="83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 spans="1:37">
      <c r="A366" s="4"/>
      <c r="B366" s="83"/>
      <c r="C366" s="83"/>
      <c r="D366" s="83"/>
      <c r="E366" s="83"/>
      <c r="F366" s="83"/>
      <c r="G366" s="83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 spans="1:37">
      <c r="A367" s="4"/>
      <c r="B367" s="83"/>
      <c r="C367" s="83"/>
      <c r="D367" s="83"/>
      <c r="E367" s="83"/>
      <c r="F367" s="83"/>
      <c r="G367" s="83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 spans="1:37">
      <c r="A368" s="4"/>
      <c r="B368" s="83"/>
      <c r="C368" s="83"/>
      <c r="D368" s="83"/>
      <c r="E368" s="83"/>
      <c r="F368" s="83"/>
      <c r="G368" s="83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Y368"/>
      <c r="Z368"/>
      <c r="AA368"/>
      <c r="AB368"/>
      <c r="AC368"/>
      <c r="AD368"/>
      <c r="AE368"/>
      <c r="AF368"/>
      <c r="AG368"/>
      <c r="AH368"/>
      <c r="AI368"/>
      <c r="AJ368"/>
      <c r="AK368"/>
    </row>
    <row r="369" spans="1:37">
      <c r="A369" s="4"/>
      <c r="B369" s="83"/>
      <c r="C369" s="83"/>
      <c r="D369" s="83"/>
      <c r="E369" s="83"/>
      <c r="F369" s="83"/>
      <c r="G369" s="83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 spans="1:37">
      <c r="A370" s="4"/>
      <c r="B370" s="83"/>
      <c r="C370" s="83"/>
      <c r="D370" s="83"/>
      <c r="E370" s="83"/>
      <c r="F370" s="83"/>
      <c r="G370" s="83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 spans="1:37">
      <c r="A371" s="4"/>
      <c r="B371" s="83"/>
      <c r="C371" s="83"/>
      <c r="D371" s="83"/>
      <c r="E371" s="83"/>
      <c r="F371" s="83"/>
      <c r="G371" s="83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 spans="1:37">
      <c r="A372" s="4"/>
      <c r="B372" s="83"/>
      <c r="C372" s="83"/>
      <c r="D372" s="83"/>
      <c r="E372" s="83"/>
      <c r="F372" s="83"/>
      <c r="G372" s="83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 spans="1:37">
      <c r="A373" s="4"/>
      <c r="B373" s="83"/>
      <c r="C373" s="83"/>
      <c r="D373" s="83"/>
      <c r="E373" s="83"/>
      <c r="F373" s="83"/>
      <c r="G373" s="83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 spans="1:37">
      <c r="A374" s="4"/>
      <c r="B374" s="4"/>
      <c r="C374" s="4"/>
      <c r="D374" s="4"/>
      <c r="E374" s="4"/>
      <c r="F374" s="4"/>
      <c r="G374" s="4"/>
      <c r="O374"/>
      <c r="P374"/>
      <c r="V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 spans="1:37">
      <c r="A375" s="4"/>
      <c r="B375" s="4"/>
      <c r="C375" s="4"/>
      <c r="D375" s="4"/>
      <c r="E375" s="4"/>
      <c r="F375" s="4"/>
      <c r="G375" s="4"/>
      <c r="O375"/>
      <c r="P375"/>
      <c r="V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 spans="1:37">
      <c r="A376" s="4"/>
      <c r="B376" s="4"/>
      <c r="C376" s="4"/>
      <c r="D376" s="4"/>
      <c r="E376" s="4"/>
      <c r="F376" s="4"/>
      <c r="G376" s="4"/>
      <c r="O376"/>
      <c r="P376"/>
      <c r="V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 spans="1:37">
      <c r="A377" s="4"/>
      <c r="B377" s="4"/>
      <c r="C377" s="4"/>
      <c r="D377" s="4"/>
      <c r="E377" s="4"/>
      <c r="F377" s="4"/>
      <c r="G377" s="4"/>
      <c r="O377"/>
      <c r="P377"/>
      <c r="V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 spans="1:37">
      <c r="A378" s="4"/>
      <c r="B378" s="4"/>
      <c r="C378" s="4"/>
      <c r="D378" s="4"/>
      <c r="E378" s="4"/>
      <c r="F378" s="4"/>
      <c r="G378" s="4"/>
      <c r="O378"/>
      <c r="P378"/>
      <c r="V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 spans="1:37">
      <c r="A379" s="4"/>
      <c r="B379" s="4"/>
      <c r="C379" s="4"/>
      <c r="D379" s="4"/>
      <c r="E379" s="4"/>
      <c r="F379" s="4"/>
      <c r="G379" s="4"/>
      <c r="O379"/>
      <c r="P379"/>
      <c r="V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</row>
    <row r="380" spans="1:37">
      <c r="A380" s="4"/>
      <c r="B380" s="4"/>
      <c r="C380" s="4"/>
      <c r="D380" s="4"/>
      <c r="E380" s="4"/>
      <c r="F380" s="4"/>
      <c r="G380" s="4"/>
      <c r="O380"/>
      <c r="P380"/>
      <c r="V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 spans="1:37">
      <c r="A381" s="4"/>
      <c r="B381" s="4"/>
      <c r="C381" s="4"/>
      <c r="D381" s="4"/>
      <c r="E381" s="4"/>
      <c r="F381" s="4"/>
      <c r="G381" s="4"/>
      <c r="O381"/>
      <c r="P381"/>
      <c r="V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</row>
    <row r="382" spans="1:37">
      <c r="A382" s="4"/>
      <c r="B382" s="4"/>
      <c r="C382" s="4"/>
      <c r="D382" s="4"/>
      <c r="E382" s="4"/>
      <c r="F382" s="4"/>
      <c r="G382" s="4"/>
      <c r="O382"/>
      <c r="P382"/>
      <c r="V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</row>
    <row r="383" spans="1:37">
      <c r="A383" s="4"/>
      <c r="B383" s="4"/>
      <c r="C383" s="4"/>
      <c r="D383" s="4"/>
      <c r="E383" s="4"/>
      <c r="F383" s="4"/>
      <c r="G383" s="4"/>
      <c r="O383"/>
      <c r="P383"/>
      <c r="V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 spans="1:37">
      <c r="A384" s="4"/>
      <c r="B384" s="4"/>
      <c r="C384" s="4"/>
      <c r="D384" s="4"/>
      <c r="E384" s="4"/>
      <c r="F384" s="4"/>
      <c r="G384" s="4"/>
      <c r="O384"/>
      <c r="P384"/>
      <c r="V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</row>
    <row r="385" spans="1:37">
      <c r="A385" s="4"/>
      <c r="B385" s="4"/>
      <c r="C385" s="4"/>
      <c r="D385" s="4"/>
      <c r="E385" s="4"/>
      <c r="F385" s="4"/>
      <c r="G385" s="4"/>
      <c r="O385"/>
      <c r="P385"/>
      <c r="V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 spans="1:37">
      <c r="A386" s="4"/>
      <c r="B386" s="4"/>
      <c r="C386" s="4"/>
      <c r="D386" s="4"/>
      <c r="E386" s="4"/>
      <c r="F386" s="4"/>
      <c r="G386" s="4"/>
      <c r="O386"/>
      <c r="P386"/>
      <c r="V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 spans="1:37">
      <c r="A387" s="4"/>
      <c r="B387" s="4"/>
      <c r="C387" s="4"/>
      <c r="D387" s="4"/>
      <c r="E387" s="4"/>
      <c r="F387" s="4"/>
      <c r="G387" s="4"/>
      <c r="O387"/>
      <c r="P387"/>
      <c r="V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 spans="1:37">
      <c r="A388" s="4"/>
      <c r="B388" s="4"/>
      <c r="C388" s="4"/>
      <c r="D388" s="4"/>
      <c r="E388" s="4"/>
      <c r="F388" s="4"/>
      <c r="G388" s="4"/>
      <c r="O388"/>
      <c r="P388"/>
      <c r="V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</row>
    <row r="389" spans="1:37">
      <c r="A389" s="4"/>
      <c r="B389" s="4"/>
      <c r="C389" s="4"/>
      <c r="D389" s="4"/>
      <c r="E389" s="4"/>
      <c r="F389" s="4"/>
      <c r="G389" s="4"/>
      <c r="O389"/>
      <c r="P389"/>
      <c r="V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 spans="1:37">
      <c r="A390" s="4"/>
      <c r="B390" s="4"/>
      <c r="C390" s="4"/>
      <c r="D390" s="4"/>
      <c r="E390" s="4"/>
      <c r="F390" s="4"/>
      <c r="G390" s="4"/>
      <c r="O390"/>
      <c r="P390"/>
      <c r="V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 spans="1:37">
      <c r="A391" s="4"/>
      <c r="B391" s="4"/>
      <c r="C391" s="4"/>
      <c r="D391" s="4"/>
      <c r="E391" s="4"/>
      <c r="F391" s="4"/>
      <c r="G391" s="4"/>
      <c r="O391"/>
      <c r="P391"/>
      <c r="V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</row>
    <row r="392" spans="1:37">
      <c r="A392" s="4"/>
      <c r="B392" s="4"/>
      <c r="C392" s="4"/>
      <c r="D392" s="4"/>
      <c r="E392" s="4"/>
      <c r="F392" s="4"/>
      <c r="G392" s="4"/>
      <c r="O392"/>
      <c r="P392"/>
      <c r="V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 spans="1:37">
      <c r="A393" s="4"/>
      <c r="B393" s="4"/>
      <c r="C393" s="4"/>
      <c r="D393" s="4"/>
      <c r="E393" s="4"/>
      <c r="F393" s="4"/>
      <c r="G393" s="11"/>
      <c r="O393"/>
      <c r="P393"/>
      <c r="V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 spans="1:37">
      <c r="B394" s="51"/>
      <c r="C394" s="51"/>
      <c r="D394" s="51"/>
      <c r="E394" s="51"/>
      <c r="F394" s="51"/>
      <c r="G394" s="11"/>
      <c r="H394" s="11"/>
      <c r="I394" s="11"/>
      <c r="J394" s="11"/>
      <c r="K394" s="2"/>
      <c r="O394"/>
      <c r="P394"/>
      <c r="T394" s="3"/>
      <c r="U394" s="3"/>
      <c r="V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</row>
    <row r="395" spans="1:37">
      <c r="B395" s="51"/>
      <c r="C395" s="51"/>
      <c r="D395" s="51"/>
      <c r="E395" s="51"/>
      <c r="F395" s="51"/>
      <c r="G395" s="11"/>
      <c r="H395" s="11"/>
      <c r="I395" s="11"/>
      <c r="J395" s="11"/>
      <c r="K395" s="2"/>
      <c r="O395"/>
      <c r="P395"/>
      <c r="T395" s="3"/>
      <c r="U395" s="3"/>
      <c r="V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 spans="1:37">
      <c r="B396" s="51"/>
      <c r="C396" s="51"/>
      <c r="D396" s="51"/>
      <c r="E396" s="51"/>
      <c r="F396" s="51"/>
      <c r="G396" s="11"/>
      <c r="H396" s="11"/>
      <c r="I396" s="11"/>
      <c r="J396" s="11"/>
      <c r="K396" s="2"/>
      <c r="O396"/>
      <c r="P396"/>
      <c r="T396" s="3"/>
      <c r="U396" s="3"/>
      <c r="V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 spans="1:37">
      <c r="B397" s="51"/>
      <c r="C397" s="51"/>
      <c r="D397" s="51"/>
      <c r="E397" s="51"/>
      <c r="F397" s="51"/>
      <c r="G397" s="11"/>
      <c r="H397" s="11"/>
      <c r="I397" s="11"/>
      <c r="J397" s="11"/>
      <c r="K397" s="2"/>
      <c r="O397"/>
      <c r="P397"/>
      <c r="T397" s="3"/>
      <c r="U397" s="3"/>
      <c r="V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 spans="1:37">
      <c r="B398" s="51"/>
      <c r="C398" s="51"/>
      <c r="D398" s="51"/>
      <c r="E398" s="51"/>
      <c r="F398" s="51"/>
      <c r="G398" s="11"/>
      <c r="H398" s="11"/>
      <c r="I398" s="11"/>
      <c r="J398" s="11"/>
      <c r="K398" s="2"/>
      <c r="O398"/>
      <c r="P398"/>
      <c r="T398" s="3"/>
      <c r="U398" s="3"/>
      <c r="V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</row>
    <row r="399" spans="1:37">
      <c r="B399" s="51"/>
      <c r="C399" s="51"/>
      <c r="D399" s="51"/>
      <c r="E399" s="51"/>
      <c r="F399" s="51"/>
      <c r="G399" s="11"/>
      <c r="H399" s="11"/>
      <c r="I399" s="11"/>
      <c r="J399" s="11"/>
      <c r="K399" s="2"/>
      <c r="O399"/>
      <c r="P399"/>
      <c r="T399" s="3"/>
      <c r="U399" s="3"/>
      <c r="V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 spans="1:37">
      <c r="B400" s="51"/>
      <c r="C400" s="51"/>
      <c r="D400" s="51"/>
      <c r="E400" s="51"/>
      <c r="F400" s="51"/>
      <c r="G400" s="11"/>
      <c r="H400" s="11"/>
      <c r="I400" s="11"/>
      <c r="J400" s="11"/>
      <c r="K400" s="2"/>
      <c r="O400"/>
      <c r="P400"/>
      <c r="T400" s="3"/>
      <c r="U400" s="3"/>
      <c r="V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 spans="2:37">
      <c r="B401" s="51"/>
      <c r="C401" s="51"/>
      <c r="D401" s="51"/>
      <c r="E401" s="51"/>
      <c r="F401" s="51"/>
      <c r="H401" s="11"/>
      <c r="I401" s="11"/>
      <c r="J401" s="11"/>
      <c r="K401" s="2"/>
      <c r="O401"/>
      <c r="P401"/>
      <c r="T401" s="3"/>
      <c r="U401" s="3"/>
      <c r="V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</row>
    <row r="402" spans="2:37"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 spans="2:37"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 spans="2:37">
      <c r="Y404"/>
      <c r="Z404"/>
      <c r="AA404"/>
      <c r="AB404"/>
      <c r="AC404"/>
      <c r="AD404"/>
      <c r="AE404"/>
      <c r="AF404"/>
      <c r="AG404"/>
      <c r="AH404"/>
      <c r="AI404"/>
      <c r="AJ404"/>
      <c r="AK404"/>
    </row>
    <row r="405" spans="2:37"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 spans="2:37">
      <c r="Y406"/>
      <c r="Z406"/>
      <c r="AA406"/>
      <c r="AB406"/>
      <c r="AC406"/>
      <c r="AD406"/>
      <c r="AE406"/>
      <c r="AF406"/>
      <c r="AG406"/>
      <c r="AH406"/>
      <c r="AI406"/>
      <c r="AJ406"/>
      <c r="AK406"/>
    </row>
    <row r="407" spans="2:37">
      <c r="Y407"/>
      <c r="Z407"/>
      <c r="AA407"/>
      <c r="AB407"/>
      <c r="AC407"/>
      <c r="AD407"/>
      <c r="AE407"/>
      <c r="AF407"/>
      <c r="AG407"/>
      <c r="AH407"/>
      <c r="AI407"/>
      <c r="AJ407"/>
      <c r="AK407"/>
    </row>
    <row r="408" spans="2:37">
      <c r="Y408"/>
      <c r="Z408"/>
      <c r="AA408"/>
      <c r="AB408"/>
      <c r="AC408"/>
      <c r="AD408"/>
      <c r="AE408"/>
      <c r="AF408"/>
      <c r="AG408"/>
      <c r="AH408"/>
      <c r="AI408"/>
      <c r="AJ408"/>
      <c r="AK408"/>
    </row>
    <row r="409" spans="2:37">
      <c r="Y409"/>
      <c r="Z409"/>
      <c r="AA409"/>
      <c r="AB409"/>
      <c r="AC409"/>
      <c r="AD409"/>
      <c r="AE409"/>
      <c r="AF409"/>
      <c r="AG409"/>
      <c r="AH409"/>
      <c r="AI409"/>
      <c r="AJ409"/>
      <c r="AK409"/>
    </row>
    <row r="410" spans="2:37">
      <c r="Y410"/>
      <c r="Z410"/>
      <c r="AA410"/>
      <c r="AB410"/>
      <c r="AC410"/>
      <c r="AD410"/>
      <c r="AE410"/>
      <c r="AF410"/>
      <c r="AG410"/>
      <c r="AH410"/>
      <c r="AI410"/>
      <c r="AJ410"/>
      <c r="AK410"/>
    </row>
    <row r="411" spans="2:37"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 spans="2:37">
      <c r="Y412"/>
      <c r="Z412"/>
      <c r="AA412"/>
      <c r="AB412"/>
      <c r="AC412"/>
      <c r="AD412"/>
      <c r="AE412"/>
      <c r="AF412"/>
      <c r="AG412"/>
      <c r="AH412"/>
      <c r="AI412"/>
      <c r="AJ412"/>
      <c r="AK412"/>
    </row>
    <row r="413" spans="2:37"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 spans="2:37">
      <c r="Y414"/>
      <c r="Z414"/>
      <c r="AA414"/>
      <c r="AB414"/>
      <c r="AC414"/>
      <c r="AD414"/>
      <c r="AE414"/>
      <c r="AF414"/>
      <c r="AG414"/>
      <c r="AH414"/>
      <c r="AI414"/>
      <c r="AJ414"/>
      <c r="AK414"/>
    </row>
    <row r="415" spans="2:37">
      <c r="Y415"/>
      <c r="Z415"/>
      <c r="AA415"/>
      <c r="AB415"/>
      <c r="AC415"/>
      <c r="AD415"/>
      <c r="AE415"/>
      <c r="AF415"/>
      <c r="AG415"/>
      <c r="AH415"/>
      <c r="AI415"/>
      <c r="AJ415"/>
      <c r="AK415"/>
    </row>
    <row r="416" spans="2:37">
      <c r="Y416"/>
      <c r="Z416"/>
      <c r="AA416"/>
      <c r="AB416"/>
      <c r="AC416"/>
      <c r="AD416"/>
      <c r="AE416"/>
      <c r="AF416"/>
      <c r="AG416"/>
      <c r="AH416"/>
      <c r="AI416"/>
      <c r="AJ416"/>
      <c r="AK416"/>
    </row>
    <row r="417" spans="25:37">
      <c r="Y417"/>
      <c r="Z417"/>
      <c r="AA417"/>
      <c r="AB417"/>
      <c r="AC417"/>
      <c r="AD417"/>
      <c r="AE417"/>
      <c r="AF417"/>
      <c r="AG417"/>
      <c r="AH417"/>
      <c r="AI417"/>
      <c r="AJ417"/>
      <c r="AK417"/>
    </row>
    <row r="418" spans="25:37">
      <c r="Y418"/>
      <c r="Z418"/>
      <c r="AA418"/>
      <c r="AB418"/>
      <c r="AC418"/>
      <c r="AD418"/>
      <c r="AE418"/>
      <c r="AF418"/>
      <c r="AG418"/>
      <c r="AH418"/>
      <c r="AI418"/>
      <c r="AJ418"/>
      <c r="AK418"/>
    </row>
    <row r="419" spans="25:37">
      <c r="Y419"/>
      <c r="Z419"/>
      <c r="AA419"/>
      <c r="AB419"/>
      <c r="AC419"/>
      <c r="AD419"/>
      <c r="AE419"/>
      <c r="AF419"/>
      <c r="AG419"/>
      <c r="AH419"/>
      <c r="AI419"/>
      <c r="AJ419"/>
      <c r="AK419"/>
    </row>
    <row r="420" spans="25:37"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 spans="25:37">
      <c r="Y421"/>
      <c r="Z421"/>
      <c r="AA421"/>
      <c r="AB421"/>
      <c r="AC421"/>
      <c r="AD421"/>
      <c r="AE421"/>
      <c r="AF421"/>
      <c r="AG421"/>
      <c r="AH421"/>
      <c r="AI421"/>
      <c r="AJ421"/>
      <c r="AK421"/>
    </row>
    <row r="422" spans="25:37"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 spans="25:37"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 spans="25:37">
      <c r="Y424"/>
      <c r="Z424"/>
      <c r="AA424"/>
      <c r="AB424"/>
      <c r="AC424"/>
      <c r="AD424"/>
      <c r="AE424"/>
      <c r="AF424"/>
      <c r="AG424"/>
      <c r="AH424"/>
      <c r="AI424"/>
      <c r="AJ424"/>
      <c r="AK424"/>
    </row>
    <row r="425" spans="25:37"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 spans="25:37"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 spans="25:37">
      <c r="Y427"/>
      <c r="Z427"/>
      <c r="AA427"/>
      <c r="AB427"/>
      <c r="AC427"/>
      <c r="AD427"/>
      <c r="AE427"/>
      <c r="AF427"/>
      <c r="AG427"/>
      <c r="AH427"/>
      <c r="AI427"/>
      <c r="AJ427"/>
      <c r="AK427"/>
    </row>
    <row r="428" spans="25:37"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 spans="25:37"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 spans="25:37">
      <c r="Y430"/>
      <c r="Z430"/>
      <c r="AA430"/>
      <c r="AB430"/>
      <c r="AC430"/>
      <c r="AD430"/>
      <c r="AE430"/>
      <c r="AF430"/>
      <c r="AG430"/>
      <c r="AH430"/>
      <c r="AI430"/>
      <c r="AJ430"/>
      <c r="AK430"/>
    </row>
    <row r="431" spans="25:37"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 spans="25:37">
      <c r="Y432"/>
      <c r="Z432"/>
      <c r="AA432"/>
      <c r="AB432"/>
      <c r="AC432"/>
      <c r="AD432"/>
      <c r="AE432"/>
      <c r="AF432"/>
      <c r="AG432"/>
      <c r="AH432"/>
      <c r="AI432"/>
      <c r="AJ432"/>
      <c r="AK432"/>
    </row>
    <row r="433" spans="25:37"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 spans="25:37"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 spans="25:37">
      <c r="Y435"/>
      <c r="Z435"/>
      <c r="AA435"/>
      <c r="AB435"/>
      <c r="AC435"/>
      <c r="AD435"/>
      <c r="AE435"/>
      <c r="AF435"/>
      <c r="AG435"/>
      <c r="AH435"/>
      <c r="AI435"/>
      <c r="AJ435"/>
      <c r="AK435"/>
    </row>
    <row r="436" spans="25:37"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 spans="25:37"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 spans="25:37">
      <c r="Y438"/>
      <c r="Z438"/>
      <c r="AA438"/>
      <c r="AB438"/>
      <c r="AC438"/>
      <c r="AD438"/>
      <c r="AE438"/>
      <c r="AF438"/>
      <c r="AG438"/>
      <c r="AH438"/>
      <c r="AI438"/>
      <c r="AJ438"/>
      <c r="AK438"/>
    </row>
    <row r="439" spans="25:37"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 spans="25:37"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 spans="25:37">
      <c r="Y441"/>
      <c r="Z441"/>
      <c r="AA441"/>
      <c r="AB441"/>
      <c r="AC441"/>
      <c r="AD441"/>
      <c r="AE441"/>
      <c r="AF441"/>
      <c r="AG441"/>
      <c r="AH441"/>
      <c r="AI441"/>
      <c r="AJ441"/>
      <c r="AK441"/>
    </row>
    <row r="442" spans="25:37"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 spans="25:37"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 spans="25:37"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 spans="25:37">
      <c r="Y445"/>
      <c r="Z445"/>
      <c r="AA445"/>
      <c r="AB445"/>
      <c r="AC445"/>
      <c r="AD445"/>
      <c r="AE445"/>
      <c r="AF445"/>
      <c r="AG445"/>
      <c r="AH445"/>
      <c r="AI445"/>
      <c r="AJ445"/>
      <c r="AK445"/>
    </row>
    <row r="446" spans="25:37"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 spans="25:37">
      <c r="Y447"/>
      <c r="Z447"/>
      <c r="AA447"/>
      <c r="AB447"/>
      <c r="AC447"/>
      <c r="AD447"/>
      <c r="AE447"/>
      <c r="AF447"/>
      <c r="AG447"/>
      <c r="AH447"/>
      <c r="AI447"/>
      <c r="AJ447"/>
      <c r="AK447"/>
    </row>
    <row r="448" spans="25:37"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 spans="25:37"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 spans="25:37"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 spans="25:37"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 spans="25:37"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 spans="25:37"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 spans="25:37"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 spans="25:37"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 spans="25:37"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 spans="25:37"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 spans="25:37">
      <c r="Y458"/>
      <c r="Z458"/>
      <c r="AA458"/>
      <c r="AB458"/>
      <c r="AC458"/>
      <c r="AD458"/>
      <c r="AE458"/>
      <c r="AF458"/>
      <c r="AG458"/>
      <c r="AH458"/>
      <c r="AI458"/>
      <c r="AJ458"/>
      <c r="AK458"/>
    </row>
    <row r="459" spans="25:37"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 spans="25:37"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 spans="25:37"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 spans="25:37"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 spans="25:37"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 spans="25:37"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 spans="25:42"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 spans="25:42"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 spans="25:42"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 spans="25:42"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 spans="25:42"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 spans="25:42"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 spans="25:42"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 spans="25:42">
      <c r="Y472"/>
      <c r="Z472"/>
      <c r="AA472"/>
      <c r="AB472"/>
      <c r="AC472"/>
      <c r="AD472"/>
      <c r="AE472"/>
      <c r="AF472"/>
      <c r="AG472"/>
      <c r="AH472"/>
      <c r="AI472"/>
      <c r="AJ472"/>
      <c r="AK472"/>
    </row>
    <row r="473" spans="25:42"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 spans="25:42"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 spans="25:42"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 spans="25:42"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 spans="25:42"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 spans="25:42"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 spans="25:42">
      <c r="Y479"/>
      <c r="Z479"/>
      <c r="AA479" s="12"/>
      <c r="AB479"/>
      <c r="AC479"/>
      <c r="AD479"/>
      <c r="AE479"/>
      <c r="AF479"/>
      <c r="AG479"/>
      <c r="AH479"/>
      <c r="AI479"/>
      <c r="AJ479"/>
      <c r="AK479"/>
      <c r="AO479" s="4"/>
      <c r="AP479" s="4"/>
    </row>
    <row r="480" spans="25:42">
      <c r="Y480"/>
      <c r="Z480"/>
      <c r="AA480" s="12"/>
      <c r="AB480"/>
      <c r="AC480"/>
      <c r="AD480"/>
      <c r="AE480"/>
      <c r="AF480"/>
      <c r="AG480"/>
      <c r="AH480"/>
      <c r="AI480"/>
      <c r="AJ480"/>
      <c r="AK480"/>
      <c r="AO480" s="4"/>
      <c r="AP480" s="4"/>
    </row>
    <row r="481" spans="25:42">
      <c r="Y481"/>
      <c r="Z481"/>
      <c r="AA481" s="12"/>
      <c r="AB481"/>
      <c r="AC481"/>
      <c r="AD481"/>
      <c r="AE481"/>
      <c r="AF481"/>
      <c r="AG481"/>
      <c r="AH481"/>
      <c r="AI481"/>
      <c r="AJ481"/>
      <c r="AK481"/>
      <c r="AO481" s="4"/>
      <c r="AP481" s="4"/>
    </row>
    <row r="482" spans="25:42">
      <c r="Y482"/>
      <c r="Z482"/>
      <c r="AA482" s="12"/>
      <c r="AB482"/>
      <c r="AC482"/>
      <c r="AD482"/>
      <c r="AE482"/>
      <c r="AF482"/>
      <c r="AG482"/>
      <c r="AH482"/>
      <c r="AI482"/>
      <c r="AJ482"/>
      <c r="AK482"/>
      <c r="AO482" s="4"/>
      <c r="AP482" s="4"/>
    </row>
    <row r="483" spans="25:42">
      <c r="Y483"/>
      <c r="Z483"/>
      <c r="AA483" s="12"/>
      <c r="AB483"/>
      <c r="AC483"/>
      <c r="AD483"/>
      <c r="AE483"/>
      <c r="AF483"/>
      <c r="AG483"/>
      <c r="AH483"/>
      <c r="AI483"/>
      <c r="AJ483"/>
      <c r="AK483"/>
      <c r="AO483" s="4"/>
      <c r="AP483" s="4"/>
    </row>
    <row r="484" spans="25:42">
      <c r="Y484"/>
      <c r="Z484"/>
      <c r="AA484" s="12"/>
      <c r="AB484"/>
      <c r="AC484"/>
      <c r="AD484"/>
      <c r="AE484"/>
      <c r="AF484"/>
      <c r="AG484"/>
      <c r="AH484"/>
      <c r="AI484"/>
      <c r="AJ484"/>
      <c r="AK484"/>
      <c r="AO484" s="4"/>
      <c r="AP484" s="4"/>
    </row>
    <row r="485" spans="25:42">
      <c r="Y485"/>
      <c r="Z485"/>
      <c r="AA485" s="12"/>
      <c r="AB485"/>
      <c r="AC485"/>
      <c r="AD485"/>
      <c r="AE485"/>
      <c r="AF485"/>
      <c r="AG485"/>
      <c r="AH485"/>
      <c r="AI485"/>
      <c r="AJ485"/>
      <c r="AK485"/>
      <c r="AO485" s="4"/>
      <c r="AP485" s="4"/>
    </row>
    <row r="486" spans="25:42">
      <c r="Y486"/>
      <c r="Z486"/>
      <c r="AA486" s="12"/>
      <c r="AB486"/>
      <c r="AC486"/>
      <c r="AD486"/>
      <c r="AE486"/>
      <c r="AF486"/>
      <c r="AG486"/>
      <c r="AH486"/>
      <c r="AI486"/>
      <c r="AJ486"/>
      <c r="AK486"/>
      <c r="AO486" s="4"/>
      <c r="AP486" s="4"/>
    </row>
    <row r="487" spans="25:42">
      <c r="AB487"/>
      <c r="AC487"/>
      <c r="AL487" s="4"/>
      <c r="AM487" s="4"/>
      <c r="AN487" s="4"/>
    </row>
    <row r="488" spans="25:42">
      <c r="AB488"/>
      <c r="AC488"/>
      <c r="AL488" s="4"/>
      <c r="AM488" s="4"/>
      <c r="AN488" s="4"/>
    </row>
    <row r="489" spans="25:42">
      <c r="AB489"/>
      <c r="AC489"/>
      <c r="AL489" s="4"/>
      <c r="AM489" s="4"/>
      <c r="AN489" s="4"/>
    </row>
    <row r="490" spans="25:42">
      <c r="AB490"/>
      <c r="AC490"/>
      <c r="AL490" s="4"/>
      <c r="AM490" s="4"/>
      <c r="AN490" s="4"/>
    </row>
    <row r="491" spans="25:42">
      <c r="AB491"/>
      <c r="AC491"/>
      <c r="AL491" s="4"/>
      <c r="AM491" s="4"/>
      <c r="AN491" s="4"/>
    </row>
    <row r="492" spans="25:42">
      <c r="AB492"/>
      <c r="AC492"/>
      <c r="AL492" s="4"/>
      <c r="AM492" s="4"/>
      <c r="AN492" s="4"/>
    </row>
    <row r="493" spans="25:42">
      <c r="AB493"/>
      <c r="AC493"/>
      <c r="AL493" s="4"/>
      <c r="AM493" s="4"/>
      <c r="AN493" s="4"/>
    </row>
    <row r="494" spans="25:42">
      <c r="AB494"/>
      <c r="AC494"/>
      <c r="AL494" s="4"/>
      <c r="AM494" s="4"/>
      <c r="AN494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散裝</vt:lpstr>
      <vt:lpstr>吊牌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2018-01-04T06:46:24Z</dcterms:created>
  <dcterms:modified xsi:type="dcterms:W3CDTF">2025-11-28T03:41:39Z</dcterms:modified>
</cp:coreProperties>
</file>
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 祥鼎\1祥鼎\7 手柄成本計算\鐵材\"/>
    </mc:Choice>
  </mc:AlternateContent>
  <xr:revisionPtr revIDLastSave="0" documentId="13_ncr:1_{15D7BB0C-9F9E-45E6-9B7C-F30D0BDF1A6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總成本" sheetId="1" r:id="rId1"/>
    <sheet name="俊來鐵材" sheetId="2" r:id="rId2"/>
    <sheet name="十字成型" sheetId="13" r:id="rId3"/>
    <sheet name="一字成型" sheetId="3" r:id="rId4"/>
    <sheet name="六角成型" sheetId="14" r:id="rId5"/>
    <sheet name="熱處裡" sheetId="4" r:id="rId6"/>
    <sheet name="噴砂" sheetId="5" r:id="rId7"/>
    <sheet name="電鍍" sheetId="6" r:id="rId8"/>
    <sheet name="染黑" sheetId="7" r:id="rId9"/>
    <sheet name="膠套" sheetId="12" r:id="rId10"/>
    <sheet name="整直" sheetId="8" r:id="rId11"/>
    <sheet name="六角環" sheetId="9" r:id="rId12"/>
    <sheet name="貫通頭" sheetId="10" r:id="rId13"/>
    <sheet name="手柄" sheetId="11" r:id="rId14"/>
  </sheets>
  <calcPr calcId="181029"/>
</workbook>
</file>

<file path=xl/calcChain.xml><?xml version="1.0" encoding="utf-8"?>
<calcChain xmlns="http://schemas.openxmlformats.org/spreadsheetml/2006/main">
  <c r="F124" i="13" l="1"/>
  <c r="F118" i="13"/>
  <c r="F116" i="13"/>
  <c r="F115" i="13"/>
  <c r="F104" i="13"/>
  <c r="F103" i="13"/>
  <c r="G103" i="13"/>
  <c r="G132" i="13"/>
  <c r="Q257" i="2"/>
  <c r="Q256" i="2"/>
  <c r="Q255" i="2"/>
  <c r="Q254" i="2"/>
  <c r="Q253" i="2"/>
  <c r="K274" i="1" l="1"/>
  <c r="E403" i="8" l="1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H392" i="5"/>
  <c r="H391" i="5"/>
  <c r="H390" i="5"/>
  <c r="H389" i="5"/>
  <c r="H388" i="5"/>
  <c r="H386" i="5"/>
  <c r="H385" i="5"/>
  <c r="H368" i="5"/>
  <c r="H361" i="5"/>
  <c r="H360" i="5"/>
  <c r="H337" i="5"/>
  <c r="O14" i="5"/>
  <c r="H317" i="5"/>
  <c r="E404" i="5"/>
  <c r="G404" i="5" s="1"/>
  <c r="G403" i="5"/>
  <c r="E403" i="5"/>
  <c r="E402" i="5"/>
  <c r="G402" i="5" s="1"/>
  <c r="G401" i="5"/>
  <c r="E401" i="5"/>
  <c r="E400" i="5"/>
  <c r="G400" i="5" s="1"/>
  <c r="E399" i="5"/>
  <c r="G399" i="5" s="1"/>
  <c r="E398" i="5"/>
  <c r="G398" i="5" s="1"/>
  <c r="E397" i="5"/>
  <c r="G397" i="5" s="1"/>
  <c r="E396" i="5"/>
  <c r="G396" i="5" s="1"/>
  <c r="G395" i="5"/>
  <c r="E395" i="5"/>
  <c r="E394" i="5"/>
  <c r="G394" i="5" s="1"/>
  <c r="E393" i="5"/>
  <c r="G393" i="5" s="1"/>
  <c r="E392" i="5"/>
  <c r="G392" i="5" s="1"/>
  <c r="I392" i="5" s="1"/>
  <c r="G391" i="5"/>
  <c r="E391" i="5"/>
  <c r="E390" i="5"/>
  <c r="G390" i="5" s="1"/>
  <c r="G389" i="5"/>
  <c r="E389" i="5"/>
  <c r="E388" i="5"/>
  <c r="G388" i="5" s="1"/>
  <c r="I388" i="5" s="1"/>
  <c r="E387" i="5"/>
  <c r="G387" i="5" s="1"/>
  <c r="E386" i="5"/>
  <c r="G386" i="5" s="1"/>
  <c r="I386" i="5" s="1"/>
  <c r="G385" i="5"/>
  <c r="E385" i="5"/>
  <c r="E384" i="5"/>
  <c r="G384" i="5" s="1"/>
  <c r="E383" i="5"/>
  <c r="G383" i="5" s="1"/>
  <c r="E382" i="5"/>
  <c r="G382" i="5" s="1"/>
  <c r="G381" i="5"/>
  <c r="E381" i="5"/>
  <c r="E380" i="5"/>
  <c r="G380" i="5" s="1"/>
  <c r="E379" i="5"/>
  <c r="G379" i="5" s="1"/>
  <c r="E378" i="5"/>
  <c r="G378" i="5" s="1"/>
  <c r="E377" i="5"/>
  <c r="G377" i="5" s="1"/>
  <c r="E376" i="5"/>
  <c r="G376" i="5" s="1"/>
  <c r="G375" i="5"/>
  <c r="E375" i="5"/>
  <c r="E374" i="5"/>
  <c r="G374" i="5" s="1"/>
  <c r="G373" i="5"/>
  <c r="E373" i="5"/>
  <c r="E372" i="5"/>
  <c r="G372" i="5" s="1"/>
  <c r="G371" i="5"/>
  <c r="E371" i="5"/>
  <c r="E370" i="5"/>
  <c r="G370" i="5" s="1"/>
  <c r="E369" i="5"/>
  <c r="G369" i="5" s="1"/>
  <c r="E368" i="5"/>
  <c r="G368" i="5" s="1"/>
  <c r="I368" i="5" s="1"/>
  <c r="E367" i="5"/>
  <c r="G367" i="5" s="1"/>
  <c r="G366" i="5"/>
  <c r="E366" i="5"/>
  <c r="G365" i="5"/>
  <c r="E365" i="5"/>
  <c r="E364" i="5"/>
  <c r="G364" i="5" s="1"/>
  <c r="E363" i="5"/>
  <c r="G363" i="5" s="1"/>
  <c r="E362" i="5"/>
  <c r="G362" i="5" s="1"/>
  <c r="G361" i="5"/>
  <c r="E361" i="5"/>
  <c r="E360" i="5"/>
  <c r="G360" i="5" s="1"/>
  <c r="E359" i="5"/>
  <c r="G359" i="5" s="1"/>
  <c r="E358" i="5"/>
  <c r="G358" i="5" s="1"/>
  <c r="G357" i="5"/>
  <c r="E357" i="5"/>
  <c r="E356" i="5"/>
  <c r="G356" i="5" s="1"/>
  <c r="G355" i="5"/>
  <c r="E355" i="5"/>
  <c r="E354" i="5"/>
  <c r="G354" i="5" s="1"/>
  <c r="E353" i="5"/>
  <c r="G353" i="5" s="1"/>
  <c r="E352" i="5"/>
  <c r="G352" i="5" s="1"/>
  <c r="G351" i="5"/>
  <c r="E351" i="5"/>
  <c r="E350" i="5"/>
  <c r="G350" i="5" s="1"/>
  <c r="G349" i="5"/>
  <c r="E349" i="5"/>
  <c r="E348" i="5"/>
  <c r="G348" i="5" s="1"/>
  <c r="E347" i="5"/>
  <c r="G347" i="5" s="1"/>
  <c r="E346" i="5"/>
  <c r="G346" i="5" s="1"/>
  <c r="G345" i="5"/>
  <c r="E345" i="5"/>
  <c r="E344" i="5"/>
  <c r="G344" i="5" s="1"/>
  <c r="G343" i="5"/>
  <c r="E343" i="5"/>
  <c r="E342" i="5"/>
  <c r="G342" i="5" s="1"/>
  <c r="G341" i="5"/>
  <c r="E341" i="5"/>
  <c r="E340" i="5"/>
  <c r="G340" i="5" s="1"/>
  <c r="E339" i="5"/>
  <c r="G339" i="5" s="1"/>
  <c r="E338" i="5"/>
  <c r="G338" i="5" s="1"/>
  <c r="E337" i="5"/>
  <c r="G337" i="5" s="1"/>
  <c r="E336" i="5"/>
  <c r="G336" i="5" s="1"/>
  <c r="G335" i="5"/>
  <c r="E335" i="5"/>
  <c r="E334" i="5"/>
  <c r="G334" i="5" s="1"/>
  <c r="E333" i="5"/>
  <c r="G333" i="5" s="1"/>
  <c r="E332" i="5"/>
  <c r="G332" i="5" s="1"/>
  <c r="G331" i="5"/>
  <c r="E331" i="5"/>
  <c r="E330" i="5"/>
  <c r="G330" i="5" s="1"/>
  <c r="E329" i="5"/>
  <c r="G329" i="5" s="1"/>
  <c r="E328" i="5"/>
  <c r="G328" i="5" s="1"/>
  <c r="E327" i="5"/>
  <c r="G327" i="5" s="1"/>
  <c r="G326" i="5"/>
  <c r="E326" i="5"/>
  <c r="G403" i="4"/>
  <c r="E403" i="4"/>
  <c r="E402" i="4"/>
  <c r="G402" i="4" s="1"/>
  <c r="E401" i="4"/>
  <c r="G401" i="4" s="1"/>
  <c r="G400" i="4"/>
  <c r="E400" i="4"/>
  <c r="E399" i="4"/>
  <c r="G399" i="4" s="1"/>
  <c r="E398" i="4"/>
  <c r="G398" i="4" s="1"/>
  <c r="E397" i="4"/>
  <c r="G397" i="4" s="1"/>
  <c r="E396" i="4"/>
  <c r="G396" i="4" s="1"/>
  <c r="G395" i="4"/>
  <c r="E395" i="4"/>
  <c r="E394" i="4"/>
  <c r="G394" i="4" s="1"/>
  <c r="E393" i="4"/>
  <c r="G393" i="4" s="1"/>
  <c r="E392" i="4"/>
  <c r="G392" i="4" s="1"/>
  <c r="E391" i="4"/>
  <c r="G391" i="4" s="1"/>
  <c r="G390" i="4"/>
  <c r="E390" i="4"/>
  <c r="E389" i="4"/>
  <c r="G389" i="4" s="1"/>
  <c r="E388" i="4"/>
  <c r="G388" i="4" s="1"/>
  <c r="E387" i="4"/>
  <c r="G387" i="4" s="1"/>
  <c r="E386" i="4"/>
  <c r="G386" i="4" s="1"/>
  <c r="E385" i="4"/>
  <c r="G385" i="4" s="1"/>
  <c r="E384" i="4"/>
  <c r="G384" i="4" s="1"/>
  <c r="E383" i="4"/>
  <c r="G383" i="4" s="1"/>
  <c r="E382" i="4"/>
  <c r="G382" i="4" s="1"/>
  <c r="E381" i="4"/>
  <c r="G381" i="4" s="1"/>
  <c r="G380" i="4"/>
  <c r="E380" i="4"/>
  <c r="E379" i="4"/>
  <c r="G379" i="4" s="1"/>
  <c r="E378" i="4"/>
  <c r="G378" i="4" s="1"/>
  <c r="E377" i="4"/>
  <c r="G377" i="4" s="1"/>
  <c r="G376" i="4"/>
  <c r="E376" i="4"/>
  <c r="E375" i="4"/>
  <c r="G375" i="4" s="1"/>
  <c r="G374" i="4"/>
  <c r="E374" i="4"/>
  <c r="E373" i="4"/>
  <c r="G373" i="4" s="1"/>
  <c r="E372" i="4"/>
  <c r="G372" i="4" s="1"/>
  <c r="E371" i="4"/>
  <c r="G371" i="4" s="1"/>
  <c r="G370" i="4"/>
  <c r="E370" i="4"/>
  <c r="E369" i="4"/>
  <c r="G369" i="4" s="1"/>
  <c r="E368" i="4"/>
  <c r="G368" i="4" s="1"/>
  <c r="E367" i="4"/>
  <c r="G367" i="4" s="1"/>
  <c r="E366" i="4"/>
  <c r="G366" i="4" s="1"/>
  <c r="E365" i="4"/>
  <c r="G365" i="4" s="1"/>
  <c r="E364" i="4"/>
  <c r="G364" i="4" s="1"/>
  <c r="E363" i="4"/>
  <c r="G363" i="4" s="1"/>
  <c r="E362" i="4"/>
  <c r="G362" i="4" s="1"/>
  <c r="E361" i="4"/>
  <c r="G361" i="4" s="1"/>
  <c r="G360" i="4"/>
  <c r="E360" i="4"/>
  <c r="E359" i="4"/>
  <c r="G359" i="4" s="1"/>
  <c r="E358" i="4"/>
  <c r="G358" i="4" s="1"/>
  <c r="E357" i="4"/>
  <c r="G357" i="4" s="1"/>
  <c r="E356" i="4"/>
  <c r="G356" i="4" s="1"/>
  <c r="G355" i="4"/>
  <c r="E355" i="4"/>
  <c r="E354" i="4"/>
  <c r="G354" i="4" s="1"/>
  <c r="E353" i="4"/>
  <c r="G353" i="4" s="1"/>
  <c r="E352" i="4"/>
  <c r="G352" i="4" s="1"/>
  <c r="E351" i="4"/>
  <c r="G351" i="4" s="1"/>
  <c r="G350" i="4"/>
  <c r="E350" i="4"/>
  <c r="E349" i="4"/>
  <c r="G349" i="4" s="1"/>
  <c r="E348" i="4"/>
  <c r="G348" i="4" s="1"/>
  <c r="E347" i="4"/>
  <c r="G347" i="4" s="1"/>
  <c r="E346" i="4"/>
  <c r="G346" i="4" s="1"/>
  <c r="E345" i="4"/>
  <c r="G345" i="4" s="1"/>
  <c r="E344" i="4"/>
  <c r="G344" i="4" s="1"/>
  <c r="E343" i="4"/>
  <c r="G343" i="4" s="1"/>
  <c r="E342" i="4"/>
  <c r="G342" i="4" s="1"/>
  <c r="E341" i="4"/>
  <c r="G341" i="4" s="1"/>
  <c r="G340" i="4"/>
  <c r="E340" i="4"/>
  <c r="E339" i="4"/>
  <c r="G339" i="4" s="1"/>
  <c r="E338" i="4"/>
  <c r="G338" i="4" s="1"/>
  <c r="E337" i="4"/>
  <c r="G337" i="4" s="1"/>
  <c r="E336" i="4"/>
  <c r="G336" i="4" s="1"/>
  <c r="E335" i="4"/>
  <c r="G335" i="4" s="1"/>
  <c r="G334" i="4"/>
  <c r="E334" i="4"/>
  <c r="E333" i="4"/>
  <c r="G333" i="4" s="1"/>
  <c r="E332" i="4"/>
  <c r="G332" i="4" s="1"/>
  <c r="E331" i="4"/>
  <c r="G331" i="4" s="1"/>
  <c r="G330" i="4"/>
  <c r="E330" i="4"/>
  <c r="E329" i="4"/>
  <c r="G329" i="4" s="1"/>
  <c r="E328" i="4"/>
  <c r="G328" i="4" s="1"/>
  <c r="E327" i="4"/>
  <c r="G327" i="4" s="1"/>
  <c r="E326" i="4"/>
  <c r="G326" i="4" s="1"/>
  <c r="E325" i="4"/>
  <c r="G325" i="4" s="1"/>
  <c r="E339" i="2"/>
  <c r="G339" i="2" s="1"/>
  <c r="E338" i="2"/>
  <c r="G338" i="2" s="1"/>
  <c r="E337" i="2"/>
  <c r="G337" i="2" s="1"/>
  <c r="E336" i="2"/>
  <c r="G336" i="2" s="1"/>
  <c r="E335" i="2"/>
  <c r="G335" i="2" s="1"/>
  <c r="E334" i="2"/>
  <c r="G334" i="2" s="1"/>
  <c r="E333" i="2"/>
  <c r="G333" i="2" s="1"/>
  <c r="E332" i="2"/>
  <c r="G332" i="2" s="1"/>
  <c r="E331" i="2"/>
  <c r="G331" i="2" s="1"/>
  <c r="E330" i="2"/>
  <c r="G330" i="2" s="1"/>
  <c r="E329" i="2"/>
  <c r="G329" i="2" s="1"/>
  <c r="E328" i="2"/>
  <c r="G328" i="2" s="1"/>
  <c r="E327" i="2"/>
  <c r="G327" i="2" s="1"/>
  <c r="E326" i="2"/>
  <c r="G326" i="2" s="1"/>
  <c r="E325" i="2"/>
  <c r="G325" i="2" s="1"/>
  <c r="G324" i="2"/>
  <c r="E324" i="2"/>
  <c r="E323" i="2"/>
  <c r="G323" i="2" s="1"/>
  <c r="E322" i="2"/>
  <c r="G322" i="2" s="1"/>
  <c r="E321" i="2"/>
  <c r="G321" i="2" s="1"/>
  <c r="E320" i="2"/>
  <c r="G320" i="2" s="1"/>
  <c r="E319" i="2"/>
  <c r="G319" i="2" s="1"/>
  <c r="E318" i="2"/>
  <c r="G318" i="2" s="1"/>
  <c r="E317" i="2"/>
  <c r="G317" i="2" s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I398" i="5" l="1"/>
  <c r="I358" i="5"/>
  <c r="H384" i="5"/>
  <c r="I384" i="5" s="1"/>
  <c r="H344" i="5"/>
  <c r="I344" i="5" s="1"/>
  <c r="H383" i="5"/>
  <c r="H343" i="5"/>
  <c r="H342" i="5"/>
  <c r="H399" i="5"/>
  <c r="H359" i="5"/>
  <c r="H398" i="5"/>
  <c r="H358" i="5"/>
  <c r="H338" i="5"/>
  <c r="I338" i="5" s="1"/>
  <c r="H397" i="5"/>
  <c r="I397" i="5" s="1"/>
  <c r="H336" i="5"/>
  <c r="I336" i="5" s="1"/>
  <c r="H335" i="5"/>
  <c r="H365" i="5"/>
  <c r="I365" i="5" s="1"/>
  <c r="H393" i="5"/>
  <c r="I393" i="5" s="1"/>
  <c r="I360" i="5"/>
  <c r="H366" i="5"/>
  <c r="I366" i="5" s="1"/>
  <c r="H400" i="5"/>
  <c r="H367" i="5"/>
  <c r="H401" i="5"/>
  <c r="I401" i="5" s="1"/>
  <c r="H345" i="5"/>
  <c r="I345" i="5" s="1"/>
  <c r="I400" i="5"/>
  <c r="I342" i="5"/>
  <c r="I399" i="5"/>
  <c r="I390" i="5"/>
  <c r="I391" i="5"/>
  <c r="I389" i="5"/>
  <c r="I385" i="5"/>
  <c r="I383" i="5"/>
  <c r="I367" i="5"/>
  <c r="I361" i="5"/>
  <c r="I359" i="5"/>
  <c r="I343" i="5"/>
  <c r="I337" i="5"/>
  <c r="I335" i="5"/>
  <c r="K357" i="1" l="1"/>
  <c r="K137" i="1" l="1"/>
  <c r="K133" i="1"/>
  <c r="K129" i="1"/>
  <c r="K125" i="1"/>
  <c r="K121" i="1"/>
  <c r="K117" i="1"/>
  <c r="K114" i="1"/>
  <c r="K113" i="1"/>
  <c r="K110" i="1"/>
  <c r="K109" i="1"/>
  <c r="K106" i="1"/>
  <c r="K105" i="1"/>
  <c r="K102" i="1"/>
  <c r="K101" i="1"/>
  <c r="K98" i="1"/>
  <c r="K97" i="1"/>
  <c r="K94" i="1"/>
  <c r="K93" i="1"/>
  <c r="K90" i="1"/>
  <c r="K89" i="1"/>
  <c r="K86" i="1"/>
  <c r="K85" i="1"/>
  <c r="K82" i="1"/>
  <c r="K81" i="1"/>
  <c r="K78" i="1"/>
  <c r="K77" i="1"/>
  <c r="K74" i="1"/>
  <c r="K73" i="1"/>
  <c r="K70" i="1"/>
  <c r="K69" i="1"/>
  <c r="K66" i="1"/>
  <c r="K65" i="1"/>
  <c r="K62" i="1"/>
  <c r="K61" i="1"/>
  <c r="K58" i="1"/>
  <c r="K57" i="1"/>
  <c r="K54" i="1"/>
  <c r="K53" i="1"/>
  <c r="K50" i="1"/>
  <c r="K49" i="1"/>
  <c r="K46" i="1"/>
  <c r="K45" i="1"/>
  <c r="K42" i="1"/>
  <c r="K41" i="1"/>
  <c r="K38" i="1"/>
  <c r="K37" i="1"/>
  <c r="K34" i="1"/>
  <c r="K33" i="1"/>
  <c r="K30" i="1"/>
  <c r="K29" i="1"/>
  <c r="K26" i="1"/>
  <c r="K25" i="1"/>
  <c r="K22" i="1"/>
  <c r="K21" i="1"/>
  <c r="K18" i="1"/>
  <c r="K17" i="1"/>
  <c r="K14" i="1"/>
  <c r="K13" i="1"/>
  <c r="K10" i="1"/>
  <c r="K9" i="1"/>
  <c r="K6" i="1"/>
  <c r="K5" i="1"/>
  <c r="K3" i="1"/>
  <c r="K4" i="1"/>
  <c r="K7" i="1"/>
  <c r="K8" i="1"/>
  <c r="K11" i="1"/>
  <c r="K12" i="1"/>
  <c r="K15" i="1"/>
  <c r="K16" i="1"/>
  <c r="K19" i="1"/>
  <c r="K20" i="1"/>
  <c r="K23" i="1"/>
  <c r="K24" i="1"/>
  <c r="K27" i="1"/>
  <c r="K28" i="1"/>
  <c r="K31" i="1"/>
  <c r="K32" i="1"/>
  <c r="K35" i="1"/>
  <c r="K36" i="1"/>
  <c r="K39" i="1"/>
  <c r="K40" i="1"/>
  <c r="K43" i="1"/>
  <c r="K44" i="1"/>
  <c r="K47" i="1"/>
  <c r="K48" i="1"/>
  <c r="K51" i="1"/>
  <c r="K52" i="1"/>
  <c r="K55" i="1"/>
  <c r="K56" i="1"/>
  <c r="K59" i="1"/>
  <c r="K60" i="1"/>
  <c r="K63" i="1"/>
  <c r="K64" i="1"/>
  <c r="K67" i="1"/>
  <c r="K68" i="1"/>
  <c r="K71" i="1"/>
  <c r="K72" i="1"/>
  <c r="K75" i="1"/>
  <c r="K76" i="1"/>
  <c r="K79" i="1"/>
  <c r="K80" i="1"/>
  <c r="K83" i="1"/>
  <c r="K84" i="1"/>
  <c r="K87" i="1"/>
  <c r="K88" i="1"/>
  <c r="K91" i="1"/>
  <c r="K92" i="1"/>
  <c r="K95" i="1"/>
  <c r="K96" i="1"/>
  <c r="K99" i="1"/>
  <c r="K100" i="1"/>
  <c r="K103" i="1"/>
  <c r="K104" i="1"/>
  <c r="K107" i="1"/>
  <c r="K108" i="1"/>
  <c r="K111" i="1"/>
  <c r="K112" i="1"/>
  <c r="K115" i="1"/>
  <c r="K116" i="1"/>
  <c r="K118" i="1"/>
  <c r="K119" i="1"/>
  <c r="K120" i="1"/>
  <c r="K122" i="1"/>
  <c r="K123" i="1"/>
  <c r="K124" i="1"/>
  <c r="K126" i="1"/>
  <c r="K127" i="1"/>
  <c r="K128" i="1"/>
  <c r="K130" i="1"/>
  <c r="K131" i="1"/>
  <c r="K132" i="1"/>
  <c r="K134" i="1"/>
  <c r="K135" i="1"/>
  <c r="K136" i="1"/>
  <c r="K138" i="1"/>
  <c r="K139" i="1"/>
  <c r="K140" i="1"/>
  <c r="G84" i="2" l="1"/>
  <c r="AA8" i="1"/>
  <c r="N301" i="8" l="1"/>
  <c r="H319" i="8" s="1"/>
  <c r="N300" i="8"/>
  <c r="G313" i="8" s="1"/>
  <c r="N299" i="8"/>
  <c r="N298" i="8"/>
  <c r="N297" i="8"/>
  <c r="N296" i="8"/>
  <c r="N295" i="8"/>
  <c r="N294" i="8"/>
  <c r="N293" i="8"/>
  <c r="N292" i="8"/>
  <c r="N291" i="8"/>
  <c r="N290" i="8"/>
  <c r="N289" i="8"/>
  <c r="H278" i="8" s="1"/>
  <c r="N288" i="8"/>
  <c r="N287" i="8"/>
  <c r="N286" i="8"/>
  <c r="G289" i="8" l="1"/>
  <c r="G373" i="8"/>
  <c r="H373" i="8" s="1"/>
  <c r="G371" i="8"/>
  <c r="H371" i="8" s="1"/>
  <c r="G326" i="8"/>
  <c r="G349" i="8"/>
  <c r="H349" i="8" s="1"/>
  <c r="G348" i="8"/>
  <c r="G372" i="8"/>
  <c r="H372" i="8" s="1"/>
  <c r="G325" i="8"/>
  <c r="G293" i="8"/>
  <c r="G376" i="8"/>
  <c r="H376" i="8" s="1"/>
  <c r="G375" i="8"/>
  <c r="H375" i="8" s="1"/>
  <c r="G374" i="8"/>
  <c r="H374" i="8" s="1"/>
  <c r="G328" i="8"/>
  <c r="H328" i="8" s="1"/>
  <c r="G327" i="8"/>
  <c r="H327" i="8" s="1"/>
  <c r="G351" i="8"/>
  <c r="H351" i="8" s="1"/>
  <c r="G350" i="8"/>
  <c r="H350" i="8" s="1"/>
  <c r="G295" i="8"/>
  <c r="G378" i="8"/>
  <c r="H378" i="8" s="1"/>
  <c r="G377" i="8"/>
  <c r="H377" i="8" s="1"/>
  <c r="G329" i="8"/>
  <c r="H329" i="8" s="1"/>
  <c r="G330" i="8"/>
  <c r="H330" i="8" s="1"/>
  <c r="G353" i="8"/>
  <c r="H353" i="8" s="1"/>
  <c r="G352" i="8"/>
  <c r="H352" i="8" s="1"/>
  <c r="G297" i="8"/>
  <c r="G356" i="8"/>
  <c r="H356" i="8" s="1"/>
  <c r="G355" i="8"/>
  <c r="G354" i="8"/>
  <c r="G332" i="8"/>
  <c r="G331" i="8"/>
  <c r="G333" i="8"/>
  <c r="H333" i="8" s="1"/>
  <c r="G301" i="8"/>
  <c r="G384" i="8"/>
  <c r="H384" i="8" s="1"/>
  <c r="G275" i="8"/>
  <c r="G383" i="8"/>
  <c r="H383" i="8" s="1"/>
  <c r="G382" i="8"/>
  <c r="H382" i="8" s="1"/>
  <c r="G381" i="8"/>
  <c r="H381" i="8" s="1"/>
  <c r="G379" i="8"/>
  <c r="G359" i="8"/>
  <c r="H359" i="8" s="1"/>
  <c r="G358" i="8"/>
  <c r="H358" i="8" s="1"/>
  <c r="G357" i="8"/>
  <c r="H357" i="8" s="1"/>
  <c r="G336" i="8"/>
  <c r="H336" i="8" s="1"/>
  <c r="G335" i="8"/>
  <c r="H335" i="8" s="1"/>
  <c r="G334" i="8"/>
  <c r="H334" i="8" s="1"/>
  <c r="G380" i="8"/>
  <c r="H380" i="8" s="1"/>
  <c r="G303" i="8"/>
  <c r="G361" i="8"/>
  <c r="H361" i="8" s="1"/>
  <c r="G338" i="8"/>
  <c r="G337" i="8"/>
  <c r="H337" i="8" s="1"/>
  <c r="G386" i="8"/>
  <c r="H386" i="8" s="1"/>
  <c r="G385" i="8"/>
  <c r="H385" i="8" s="1"/>
  <c r="G360" i="8"/>
  <c r="H360" i="8" s="1"/>
  <c r="G304" i="8"/>
  <c r="G387" i="8"/>
  <c r="H387" i="8" s="1"/>
  <c r="G305" i="8"/>
  <c r="G391" i="8"/>
  <c r="H391" i="8" s="1"/>
  <c r="G390" i="8"/>
  <c r="H390" i="8" s="1"/>
  <c r="G389" i="8"/>
  <c r="H389" i="8" s="1"/>
  <c r="G388" i="8"/>
  <c r="H388" i="8" s="1"/>
  <c r="G309" i="8"/>
  <c r="G395" i="8"/>
  <c r="H395" i="8" s="1"/>
  <c r="G394" i="8"/>
  <c r="H394" i="8" s="1"/>
  <c r="G393" i="8"/>
  <c r="H393" i="8" s="1"/>
  <c r="G392" i="8"/>
  <c r="H392" i="8" s="1"/>
  <c r="G279" i="8"/>
  <c r="G363" i="8"/>
  <c r="H363" i="8" s="1"/>
  <c r="G362" i="8"/>
  <c r="H362" i="8" s="1"/>
  <c r="G339" i="8"/>
  <c r="H339" i="8" s="1"/>
  <c r="G340" i="8"/>
  <c r="H340" i="8" s="1"/>
  <c r="G283" i="8"/>
  <c r="G364" i="8"/>
  <c r="H364" i="8" s="1"/>
  <c r="G343" i="8"/>
  <c r="H343" i="8" s="1"/>
  <c r="G342" i="8"/>
  <c r="H342" i="8" s="1"/>
  <c r="G399" i="8"/>
  <c r="H399" i="8" s="1"/>
  <c r="G398" i="8"/>
  <c r="H398" i="8" s="1"/>
  <c r="G397" i="8"/>
  <c r="H397" i="8" s="1"/>
  <c r="G396" i="8"/>
  <c r="H396" i="8" s="1"/>
  <c r="G366" i="8"/>
  <c r="H366" i="8" s="1"/>
  <c r="G365" i="8"/>
  <c r="H365" i="8" s="1"/>
  <c r="G341" i="8"/>
  <c r="H341" i="8" s="1"/>
  <c r="H285" i="8"/>
  <c r="G344" i="8"/>
  <c r="H344" i="8" s="1"/>
  <c r="H338" i="8" s="1"/>
  <c r="G403" i="8"/>
  <c r="H403" i="8" s="1"/>
  <c r="G402" i="8"/>
  <c r="H402" i="8" s="1"/>
  <c r="G401" i="8"/>
  <c r="H401" i="8" s="1"/>
  <c r="G370" i="8"/>
  <c r="H370" i="8" s="1"/>
  <c r="G369" i="8"/>
  <c r="H369" i="8" s="1"/>
  <c r="G368" i="8"/>
  <c r="H368" i="8" s="1"/>
  <c r="G367" i="8"/>
  <c r="H367" i="8" s="1"/>
  <c r="G400" i="8"/>
  <c r="H400" i="8" s="1"/>
  <c r="G347" i="8"/>
  <c r="H347" i="8" s="1"/>
  <c r="G346" i="8"/>
  <c r="H346" i="8" s="1"/>
  <c r="G345" i="8"/>
  <c r="H345" i="8" s="1"/>
  <c r="G270" i="8"/>
  <c r="H284" i="8"/>
  <c r="G278" i="8"/>
  <c r="G282" i="8"/>
  <c r="G266" i="8"/>
  <c r="G286" i="8"/>
  <c r="G274" i="8"/>
  <c r="G268" i="8"/>
  <c r="G272" i="8"/>
  <c r="G276" i="8"/>
  <c r="G280" i="8"/>
  <c r="G284" i="8"/>
  <c r="H277" i="8"/>
  <c r="H286" i="8"/>
  <c r="G290" i="8"/>
  <c r="G294" i="8"/>
  <c r="G298" i="8"/>
  <c r="G302" i="8"/>
  <c r="G306" i="8"/>
  <c r="G310" i="8"/>
  <c r="G314" i="8"/>
  <c r="G318" i="8"/>
  <c r="H303" i="8"/>
  <c r="H312" i="8"/>
  <c r="H320" i="8"/>
  <c r="G265" i="8"/>
  <c r="G269" i="8"/>
  <c r="G273" i="8"/>
  <c r="G277" i="8"/>
  <c r="G281" i="8"/>
  <c r="G285" i="8"/>
  <c r="H287" i="8"/>
  <c r="G291" i="8"/>
  <c r="G299" i="8"/>
  <c r="G307" i="8"/>
  <c r="G311" i="8"/>
  <c r="G315" i="8"/>
  <c r="G319" i="8"/>
  <c r="H309" i="8"/>
  <c r="H317" i="8"/>
  <c r="G288" i="8"/>
  <c r="G292" i="8"/>
  <c r="G296" i="8"/>
  <c r="G300" i="8"/>
  <c r="G308" i="8"/>
  <c r="G312" i="8"/>
  <c r="G316" i="8"/>
  <c r="G320" i="8"/>
  <c r="H310" i="8"/>
  <c r="H318" i="8"/>
  <c r="G267" i="8"/>
  <c r="G271" i="8"/>
  <c r="G287" i="8"/>
  <c r="G317" i="8"/>
  <c r="H302" i="8"/>
  <c r="H311" i="8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M16" i="9" l="1"/>
  <c r="O16" i="9" s="1"/>
  <c r="M15" i="9"/>
  <c r="O15" i="9" s="1"/>
  <c r="M14" i="9"/>
  <c r="O14" i="9" s="1"/>
  <c r="M13" i="9"/>
  <c r="O13" i="9" s="1"/>
  <c r="M8" i="9"/>
  <c r="O8" i="9" s="1"/>
  <c r="M7" i="9"/>
  <c r="O7" i="9" s="1"/>
  <c r="M6" i="9"/>
  <c r="O6" i="9" s="1"/>
  <c r="M5" i="9"/>
  <c r="M28" i="10"/>
  <c r="O28" i="10" s="1"/>
  <c r="M27" i="10"/>
  <c r="O27" i="10" s="1"/>
  <c r="M26" i="10"/>
  <c r="O26" i="10" s="1"/>
  <c r="M25" i="10"/>
  <c r="O25" i="10" s="1"/>
  <c r="M24" i="10"/>
  <c r="O24" i="10" s="1"/>
  <c r="M19" i="10"/>
  <c r="M18" i="10"/>
  <c r="O18" i="10" s="1"/>
  <c r="M17" i="10"/>
  <c r="O17" i="10" s="1"/>
  <c r="M16" i="10"/>
  <c r="O16" i="10" s="1"/>
  <c r="M15" i="10"/>
  <c r="O15" i="10" s="1"/>
  <c r="O19" i="10"/>
  <c r="F309" i="6" l="1"/>
  <c r="M273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2" i="6"/>
  <c r="M271" i="6"/>
  <c r="M34" i="6"/>
  <c r="M21" i="6"/>
  <c r="M27" i="6"/>
  <c r="F124" i="6" s="1"/>
  <c r="M26" i="6"/>
  <c r="F24" i="6" s="1"/>
  <c r="M18" i="6"/>
  <c r="F114" i="6" s="1"/>
  <c r="M17" i="6"/>
  <c r="F236" i="6" s="1"/>
  <c r="M10" i="6"/>
  <c r="F235" i="6" s="1"/>
  <c r="F269" i="6" l="1"/>
  <c r="F354" i="6"/>
  <c r="G354" i="6" s="1"/>
  <c r="F380" i="6"/>
  <c r="G380" i="6" s="1"/>
  <c r="F332" i="6"/>
  <c r="G332" i="6" s="1"/>
  <c r="F379" i="6"/>
  <c r="G379" i="6" s="1"/>
  <c r="F355" i="6"/>
  <c r="G355" i="6" s="1"/>
  <c r="F331" i="6"/>
  <c r="G331" i="6" s="1"/>
  <c r="F277" i="6"/>
  <c r="F362" i="6"/>
  <c r="G362" i="6" s="1"/>
  <c r="F361" i="6"/>
  <c r="G361" i="6" s="1"/>
  <c r="F388" i="6"/>
  <c r="G388" i="6" s="1"/>
  <c r="F340" i="6"/>
  <c r="G340" i="6" s="1"/>
  <c r="F387" i="6"/>
  <c r="G387" i="6" s="1"/>
  <c r="F363" i="6"/>
  <c r="G363" i="6" s="1"/>
  <c r="F339" i="6"/>
  <c r="G339" i="6" s="1"/>
  <c r="F386" i="6"/>
  <c r="G386" i="6" s="1"/>
  <c r="F338" i="6"/>
  <c r="G338" i="6" s="1"/>
  <c r="F319" i="6"/>
  <c r="F370" i="6"/>
  <c r="G370" i="6" s="1"/>
  <c r="F405" i="6"/>
  <c r="G405" i="6" s="1"/>
  <c r="F401" i="6"/>
  <c r="G401" i="6" s="1"/>
  <c r="F369" i="6"/>
  <c r="G369" i="6" s="1"/>
  <c r="F349" i="6"/>
  <c r="G349" i="6" s="1"/>
  <c r="F345" i="6"/>
  <c r="G345" i="6" s="1"/>
  <c r="F404" i="6"/>
  <c r="G404" i="6" s="1"/>
  <c r="F372" i="6"/>
  <c r="G372" i="6" s="1"/>
  <c r="F368" i="6"/>
  <c r="G368" i="6" s="1"/>
  <c r="F348" i="6"/>
  <c r="G348" i="6" s="1"/>
  <c r="F403" i="6"/>
  <c r="G403" i="6" s="1"/>
  <c r="F371" i="6"/>
  <c r="G371" i="6" s="1"/>
  <c r="F347" i="6"/>
  <c r="G347" i="6" s="1"/>
  <c r="F402" i="6"/>
  <c r="G402" i="6" s="1"/>
  <c r="F346" i="6"/>
  <c r="G346" i="6" s="1"/>
  <c r="F292" i="6"/>
  <c r="F329" i="6"/>
  <c r="G329" i="6" s="1"/>
  <c r="F352" i="6"/>
  <c r="G352" i="6" s="1"/>
  <c r="F377" i="6"/>
  <c r="G377" i="6" s="1"/>
  <c r="F273" i="6"/>
  <c r="F358" i="6"/>
  <c r="G358" i="6" s="1"/>
  <c r="F383" i="6"/>
  <c r="G383" i="6" s="1"/>
  <c r="F335" i="6"/>
  <c r="G335" i="6" s="1"/>
  <c r="F304" i="6"/>
  <c r="F389" i="6"/>
  <c r="G389" i="6" s="1"/>
  <c r="F280" i="6"/>
  <c r="F342" i="6"/>
  <c r="G342" i="6" s="1"/>
  <c r="F341" i="6"/>
  <c r="G341" i="6" s="1"/>
  <c r="F364" i="6"/>
  <c r="G364" i="6" s="1"/>
  <c r="F288" i="6"/>
  <c r="F373" i="6"/>
  <c r="G373" i="6" s="1"/>
  <c r="F374" i="6"/>
  <c r="G374" i="6" s="1"/>
  <c r="F268" i="6"/>
  <c r="F330" i="6"/>
  <c r="G330" i="6" s="1"/>
  <c r="F353" i="6"/>
  <c r="G353" i="6" s="1"/>
  <c r="F378" i="6"/>
  <c r="G378" i="6" s="1"/>
  <c r="F300" i="6"/>
  <c r="F385" i="6"/>
  <c r="G385" i="6" s="1"/>
  <c r="F337" i="6"/>
  <c r="G337" i="6" s="1"/>
  <c r="F384" i="6"/>
  <c r="G384" i="6" s="1"/>
  <c r="F360" i="6"/>
  <c r="G360" i="6" s="1"/>
  <c r="F336" i="6"/>
  <c r="G336" i="6" s="1"/>
  <c r="F359" i="6"/>
  <c r="G359" i="6" s="1"/>
  <c r="F274" i="6"/>
  <c r="F305" i="6"/>
  <c r="F392" i="6"/>
  <c r="G392" i="6" s="1"/>
  <c r="F391" i="6"/>
  <c r="G391" i="6" s="1"/>
  <c r="F390" i="6"/>
  <c r="G390" i="6" s="1"/>
  <c r="F282" i="6"/>
  <c r="F398" i="6"/>
  <c r="G398" i="6" s="1"/>
  <c r="F366" i="6"/>
  <c r="G366" i="6" s="1"/>
  <c r="F365" i="6"/>
  <c r="G365" i="6" s="1"/>
  <c r="F400" i="6"/>
  <c r="G400" i="6" s="1"/>
  <c r="F344" i="6"/>
  <c r="G344" i="6" s="1"/>
  <c r="F399" i="6"/>
  <c r="G399" i="6" s="1"/>
  <c r="F367" i="6"/>
  <c r="G367" i="6" s="1"/>
  <c r="F343" i="6"/>
  <c r="G343" i="6" s="1"/>
  <c r="F296" i="6"/>
  <c r="F381" i="6"/>
  <c r="G381" i="6" s="1"/>
  <c r="F333" i="6"/>
  <c r="G333" i="6" s="1"/>
  <c r="F356" i="6"/>
  <c r="G356" i="6" s="1"/>
  <c r="F286" i="6"/>
  <c r="F397" i="6"/>
  <c r="G397" i="6" s="1"/>
  <c r="F393" i="6"/>
  <c r="G393" i="6" s="1"/>
  <c r="F396" i="6"/>
  <c r="G396" i="6" s="1"/>
  <c r="F285" i="6"/>
  <c r="F395" i="6"/>
  <c r="G395" i="6" s="1"/>
  <c r="F394" i="6"/>
  <c r="G394" i="6" s="1"/>
  <c r="F133" i="6"/>
  <c r="F134" i="6"/>
  <c r="F350" i="6"/>
  <c r="G350" i="6" s="1"/>
  <c r="F376" i="6"/>
  <c r="G376" i="6" s="1"/>
  <c r="F328" i="6"/>
  <c r="G328" i="6" s="1"/>
  <c r="F375" i="6"/>
  <c r="G375" i="6" s="1"/>
  <c r="F351" i="6"/>
  <c r="G351" i="6" s="1"/>
  <c r="F327" i="6"/>
  <c r="G327" i="6" s="1"/>
  <c r="F272" i="6"/>
  <c r="F382" i="6"/>
  <c r="G382" i="6" s="1"/>
  <c r="F357" i="6"/>
  <c r="G357" i="6" s="1"/>
  <c r="F334" i="6"/>
  <c r="G334" i="6" s="1"/>
  <c r="F293" i="6"/>
  <c r="F317" i="6"/>
  <c r="F275" i="6"/>
  <c r="F294" i="6"/>
  <c r="F302" i="6"/>
  <c r="F320" i="6"/>
  <c r="F270" i="6"/>
  <c r="F278" i="6"/>
  <c r="F301" i="6"/>
  <c r="F314" i="6"/>
  <c r="F271" i="6"/>
  <c r="F289" i="6"/>
  <c r="F303" i="6"/>
  <c r="F316" i="6"/>
  <c r="F265" i="6"/>
  <c r="G265" i="6" s="1"/>
  <c r="F297" i="6"/>
  <c r="F267" i="6"/>
  <c r="F279" i="6"/>
  <c r="F276" i="6"/>
  <c r="F291" i="6"/>
  <c r="F295" i="6"/>
  <c r="F299" i="6"/>
  <c r="F307" i="6"/>
  <c r="F315" i="6"/>
  <c r="F318" i="6"/>
  <c r="F290" i="6"/>
  <c r="F298" i="6"/>
  <c r="F266" i="6"/>
  <c r="F313" i="6"/>
  <c r="F19" i="6"/>
  <c r="F63" i="6"/>
  <c r="F158" i="6"/>
  <c r="F254" i="6"/>
  <c r="F112" i="6"/>
  <c r="F170" i="6"/>
  <c r="F225" i="6"/>
  <c r="F25" i="6"/>
  <c r="F116" i="6"/>
  <c r="F174" i="6"/>
  <c r="F15" i="6"/>
  <c r="F59" i="6"/>
  <c r="F212" i="6"/>
  <c r="F245" i="6"/>
  <c r="F284" i="6"/>
  <c r="F283" i="6"/>
  <c r="F287" i="6"/>
  <c r="F308" i="6"/>
  <c r="F306" i="6"/>
  <c r="F281" i="6"/>
  <c r="F226" i="6"/>
  <c r="F179" i="6"/>
  <c r="F122" i="6"/>
  <c r="F68" i="6"/>
  <c r="F214" i="6"/>
  <c r="F171" i="6"/>
  <c r="F60" i="6"/>
  <c r="F16" i="6"/>
  <c r="F253" i="6"/>
  <c r="F244" i="6"/>
  <c r="F159" i="6"/>
  <c r="F101" i="6"/>
  <c r="F255" i="6"/>
  <c r="F246" i="6"/>
  <c r="F238" i="6"/>
  <c r="F181" i="6"/>
  <c r="F69" i="6"/>
  <c r="F26" i="6"/>
  <c r="F237" i="6"/>
  <c r="F180" i="6"/>
  <c r="F70" i="6"/>
  <c r="F102" i="6"/>
  <c r="F123" i="6"/>
  <c r="F256" i="6"/>
  <c r="F14" i="6"/>
  <c r="F18" i="6"/>
  <c r="F58" i="6"/>
  <c r="F62" i="6"/>
  <c r="F113" i="6"/>
  <c r="F117" i="6"/>
  <c r="F169" i="6"/>
  <c r="F173" i="6"/>
  <c r="F213" i="6"/>
  <c r="F224" i="6"/>
  <c r="Q17" i="2"/>
  <c r="H6" i="2" l="1"/>
  <c r="H8" i="2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I294" i="7" l="1"/>
  <c r="I293" i="7"/>
  <c r="I292" i="7"/>
  <c r="I291" i="7"/>
  <c r="I290" i="7"/>
  <c r="I289" i="7"/>
  <c r="I288" i="7"/>
  <c r="I287" i="7"/>
  <c r="I286" i="7"/>
  <c r="I285" i="7"/>
  <c r="I284" i="7"/>
  <c r="I283" i="7"/>
  <c r="I282" i="7"/>
  <c r="I281" i="7"/>
  <c r="I280" i="7"/>
  <c r="I279" i="7"/>
  <c r="I278" i="7"/>
  <c r="I277" i="7"/>
  <c r="I276" i="7"/>
  <c r="I275" i="7"/>
  <c r="I274" i="7"/>
  <c r="I273" i="7"/>
  <c r="I272" i="7"/>
  <c r="I271" i="7"/>
  <c r="I270" i="7"/>
  <c r="I269" i="7"/>
  <c r="I268" i="7"/>
  <c r="I267" i="7"/>
  <c r="I266" i="7"/>
  <c r="I265" i="7"/>
  <c r="I264" i="7"/>
  <c r="I263" i="7"/>
  <c r="I262" i="7"/>
  <c r="I261" i="7"/>
  <c r="I260" i="7"/>
  <c r="I259" i="7"/>
  <c r="I258" i="7"/>
  <c r="I257" i="7"/>
  <c r="I256" i="7"/>
  <c r="I255" i="7"/>
  <c r="I254" i="7"/>
  <c r="I253" i="7"/>
  <c r="I252" i="7"/>
  <c r="I251" i="7"/>
  <c r="I250" i="7"/>
  <c r="I249" i="7"/>
  <c r="I248" i="7"/>
  <c r="I247" i="7"/>
  <c r="I246" i="7"/>
  <c r="I245" i="7"/>
  <c r="I244" i="7"/>
  <c r="I243" i="7"/>
  <c r="I242" i="7"/>
  <c r="I241" i="7"/>
  <c r="I240" i="7"/>
  <c r="I239" i="7"/>
  <c r="H316" i="8" l="1"/>
  <c r="H315" i="8"/>
  <c r="H314" i="8"/>
  <c r="H313" i="8"/>
  <c r="H308" i="8"/>
  <c r="H307" i="8"/>
  <c r="H306" i="8"/>
  <c r="H305" i="8"/>
  <c r="H304" i="8"/>
  <c r="H301" i="8"/>
  <c r="H300" i="8"/>
  <c r="H299" i="8"/>
  <c r="H298" i="8"/>
  <c r="H297" i="8"/>
  <c r="H295" i="8"/>
  <c r="H294" i="8"/>
  <c r="H293" i="8"/>
  <c r="H292" i="8"/>
  <c r="H291" i="8"/>
  <c r="H290" i="8"/>
  <c r="H289" i="8"/>
  <c r="H288" i="8"/>
  <c r="H283" i="8"/>
  <c r="H282" i="8"/>
  <c r="H281" i="8"/>
  <c r="H280" i="8"/>
  <c r="H279" i="8"/>
  <c r="H276" i="8"/>
  <c r="H275" i="8"/>
  <c r="H274" i="8"/>
  <c r="H273" i="8"/>
  <c r="H272" i="8"/>
  <c r="H270" i="8"/>
  <c r="H269" i="8"/>
  <c r="H268" i="8"/>
  <c r="H267" i="8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G295" i="6"/>
  <c r="G294" i="6"/>
  <c r="G293" i="6"/>
  <c r="G292" i="6"/>
  <c r="G291" i="6"/>
  <c r="G290" i="6"/>
  <c r="G289" i="6"/>
  <c r="G288" i="6"/>
  <c r="G270" i="6"/>
  <c r="G269" i="6"/>
  <c r="G268" i="6"/>
  <c r="G267" i="6"/>
  <c r="G266" i="6"/>
  <c r="H372" i="2"/>
  <c r="E372" i="2"/>
  <c r="G372" i="2" s="1"/>
  <c r="E371" i="2"/>
  <c r="G371" i="2" s="1"/>
  <c r="E370" i="2"/>
  <c r="G370" i="2" s="1"/>
  <c r="E369" i="2"/>
  <c r="G369" i="2" s="1"/>
  <c r="E368" i="2"/>
  <c r="G368" i="2" s="1"/>
  <c r="E367" i="2"/>
  <c r="G367" i="2" s="1"/>
  <c r="E366" i="2"/>
  <c r="G366" i="2" s="1"/>
  <c r="E365" i="2"/>
  <c r="G365" i="2" s="1"/>
  <c r="E364" i="2"/>
  <c r="G364" i="2" s="1"/>
  <c r="E363" i="2"/>
  <c r="G363" i="2" s="1"/>
  <c r="E362" i="2"/>
  <c r="G362" i="2" s="1"/>
  <c r="E361" i="2"/>
  <c r="G361" i="2" s="1"/>
  <c r="E360" i="2"/>
  <c r="G360" i="2" s="1"/>
  <c r="E359" i="2"/>
  <c r="G359" i="2" s="1"/>
  <c r="E358" i="2"/>
  <c r="G358" i="2" s="1"/>
  <c r="E357" i="2"/>
  <c r="G357" i="2" s="1"/>
  <c r="E356" i="2"/>
  <c r="G356" i="2" s="1"/>
  <c r="E355" i="2"/>
  <c r="G355" i="2" s="1"/>
  <c r="E354" i="2"/>
  <c r="G354" i="2" s="1"/>
  <c r="E353" i="2"/>
  <c r="G353" i="2" s="1"/>
  <c r="E352" i="2"/>
  <c r="G352" i="2" s="1"/>
  <c r="E351" i="2"/>
  <c r="G351" i="2" s="1"/>
  <c r="E350" i="2"/>
  <c r="G350" i="2" s="1"/>
  <c r="E349" i="2"/>
  <c r="G349" i="2" s="1"/>
  <c r="E348" i="2"/>
  <c r="G348" i="2" s="1"/>
  <c r="E347" i="2"/>
  <c r="G347" i="2" s="1"/>
  <c r="E346" i="2"/>
  <c r="G346" i="2" s="1"/>
  <c r="E345" i="2"/>
  <c r="G345" i="2" s="1"/>
  <c r="E344" i="2"/>
  <c r="G344" i="2" s="1"/>
  <c r="E343" i="2"/>
  <c r="G343" i="2" s="1"/>
  <c r="E342" i="2"/>
  <c r="G342" i="2" s="1"/>
  <c r="E341" i="2"/>
  <c r="G341" i="2" s="1"/>
  <c r="E340" i="2"/>
  <c r="G340" i="2" s="1"/>
  <c r="E316" i="2"/>
  <c r="G316" i="2" s="1"/>
  <c r="E315" i="2"/>
  <c r="G315" i="2" s="1"/>
  <c r="E314" i="2"/>
  <c r="G314" i="2" s="1"/>
  <c r="E313" i="2"/>
  <c r="G313" i="2" s="1"/>
  <c r="E312" i="2"/>
  <c r="G312" i="2" s="1"/>
  <c r="E311" i="2"/>
  <c r="G311" i="2" s="1"/>
  <c r="E310" i="2"/>
  <c r="G310" i="2" s="1"/>
  <c r="E309" i="2"/>
  <c r="G309" i="2" s="1"/>
  <c r="E308" i="2"/>
  <c r="G308" i="2" s="1"/>
  <c r="E307" i="2"/>
  <c r="G307" i="2" s="1"/>
  <c r="E306" i="2"/>
  <c r="G306" i="2" s="1"/>
  <c r="E305" i="2"/>
  <c r="G305" i="2" s="1"/>
  <c r="E304" i="2"/>
  <c r="G304" i="2" s="1"/>
  <c r="E303" i="2"/>
  <c r="G303" i="2" s="1"/>
  <c r="E302" i="2"/>
  <c r="G302" i="2" s="1"/>
  <c r="E301" i="2"/>
  <c r="G301" i="2" s="1"/>
  <c r="E300" i="2"/>
  <c r="G300" i="2" s="1"/>
  <c r="E299" i="2"/>
  <c r="G299" i="2" s="1"/>
  <c r="E298" i="2"/>
  <c r="G298" i="2" s="1"/>
  <c r="E297" i="2"/>
  <c r="G297" i="2" s="1"/>
  <c r="E296" i="2"/>
  <c r="G296" i="2" s="1"/>
  <c r="E295" i="2"/>
  <c r="G295" i="2" s="1"/>
  <c r="E294" i="2"/>
  <c r="G294" i="2" s="1"/>
  <c r="I372" i="2" l="1"/>
  <c r="J270" i="1"/>
  <c r="J269" i="1"/>
  <c r="J268" i="1"/>
  <c r="J267" i="1"/>
  <c r="J266" i="1"/>
  <c r="J265" i="1"/>
  <c r="J264" i="1"/>
  <c r="J263" i="1"/>
  <c r="J262" i="1"/>
  <c r="AA16" i="1"/>
  <c r="AA15" i="1"/>
  <c r="AA14" i="1"/>
  <c r="AA12" i="1"/>
  <c r="AA13" i="1"/>
  <c r="AA11" i="1"/>
  <c r="AA10" i="1"/>
  <c r="AA9" i="1"/>
  <c r="Q21" i="2" l="1"/>
  <c r="Q26" i="2"/>
  <c r="H49" i="2" s="1"/>
  <c r="Q22" i="2"/>
  <c r="Q9" i="2"/>
  <c r="H26" i="2" l="1"/>
  <c r="H136" i="2"/>
  <c r="H31" i="2"/>
  <c r="H42" i="2"/>
  <c r="H30" i="2"/>
  <c r="H40" i="2"/>
  <c r="H36" i="2"/>
  <c r="H32" i="2"/>
  <c r="H38" i="2"/>
  <c r="H43" i="2"/>
  <c r="H35" i="2"/>
  <c r="H28" i="2"/>
  <c r="H34" i="2"/>
  <c r="H39" i="2"/>
  <c r="H44" i="2"/>
  <c r="H29" i="2"/>
  <c r="H33" i="2"/>
  <c r="H37" i="2"/>
  <c r="H41" i="2"/>
  <c r="H45" i="2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5" i="5"/>
  <c r="G265" i="5" s="1"/>
  <c r="E266" i="5"/>
  <c r="G266" i="5" s="1"/>
  <c r="E267" i="5"/>
  <c r="G267" i="5" s="1"/>
  <c r="E268" i="5"/>
  <c r="G268" i="5" s="1"/>
  <c r="E269" i="5"/>
  <c r="E270" i="5"/>
  <c r="G270" i="5" s="1"/>
  <c r="E271" i="5"/>
  <c r="E272" i="5"/>
  <c r="E273" i="5"/>
  <c r="E274" i="5"/>
  <c r="E275" i="5"/>
  <c r="E276" i="5"/>
  <c r="E277" i="5"/>
  <c r="E278" i="5"/>
  <c r="E279" i="5"/>
  <c r="E280" i="5"/>
  <c r="G280" i="5" s="1"/>
  <c r="E281" i="5"/>
  <c r="G281" i="5" s="1"/>
  <c r="E282" i="5"/>
  <c r="G282" i="5" s="1"/>
  <c r="E283" i="5"/>
  <c r="G283" i="5" s="1"/>
  <c r="E284" i="5"/>
  <c r="G284" i="5" s="1"/>
  <c r="E285" i="5"/>
  <c r="G285" i="5" s="1"/>
  <c r="E286" i="5"/>
  <c r="G286" i="5" s="1"/>
  <c r="E287" i="5"/>
  <c r="G287" i="5" s="1"/>
  <c r="E288" i="5"/>
  <c r="G288" i="5" s="1"/>
  <c r="E289" i="5"/>
  <c r="E290" i="5"/>
  <c r="G290" i="5" s="1"/>
  <c r="E291" i="5"/>
  <c r="G291" i="5" s="1"/>
  <c r="E292" i="5"/>
  <c r="E293" i="5"/>
  <c r="E294" i="5"/>
  <c r="G294" i="5" s="1"/>
  <c r="E295" i="5"/>
  <c r="E296" i="5"/>
  <c r="E297" i="5"/>
  <c r="G304" i="6"/>
  <c r="E320" i="5"/>
  <c r="G320" i="5" s="1"/>
  <c r="E319" i="5"/>
  <c r="G319" i="5" s="1"/>
  <c r="E318" i="5"/>
  <c r="G318" i="5" s="1"/>
  <c r="E317" i="5"/>
  <c r="G317" i="5" s="1"/>
  <c r="E316" i="5"/>
  <c r="G316" i="5" s="1"/>
  <c r="E315" i="5"/>
  <c r="G315" i="5" s="1"/>
  <c r="E314" i="5"/>
  <c r="G314" i="5" s="1"/>
  <c r="E313" i="5"/>
  <c r="G313" i="5" s="1"/>
  <c r="E312" i="5"/>
  <c r="G312" i="5" s="1"/>
  <c r="E311" i="5"/>
  <c r="G311" i="5" s="1"/>
  <c r="E310" i="5"/>
  <c r="G310" i="5" s="1"/>
  <c r="E309" i="5"/>
  <c r="G309" i="5" s="1"/>
  <c r="E308" i="5"/>
  <c r="G308" i="5" s="1"/>
  <c r="E307" i="5"/>
  <c r="G307" i="5" s="1"/>
  <c r="E306" i="5"/>
  <c r="G306" i="5" s="1"/>
  <c r="E305" i="5"/>
  <c r="G305" i="5" s="1"/>
  <c r="E304" i="5"/>
  <c r="G304" i="5" s="1"/>
  <c r="E303" i="5"/>
  <c r="G303" i="5" s="1"/>
  <c r="E302" i="5"/>
  <c r="G302" i="5" s="1"/>
  <c r="E301" i="5"/>
  <c r="G301" i="5" s="1"/>
  <c r="E300" i="5"/>
  <c r="G300" i="5" s="1"/>
  <c r="E299" i="5"/>
  <c r="G299" i="5" s="1"/>
  <c r="E298" i="5"/>
  <c r="G298" i="5" s="1"/>
  <c r="G297" i="5"/>
  <c r="G296" i="5"/>
  <c r="G295" i="5"/>
  <c r="G293" i="5"/>
  <c r="G292" i="5"/>
  <c r="G289" i="5"/>
  <c r="G279" i="5"/>
  <c r="G278" i="5"/>
  <c r="G277" i="5"/>
  <c r="G276" i="5"/>
  <c r="G275" i="5"/>
  <c r="G274" i="5"/>
  <c r="G273" i="5"/>
  <c r="G272" i="5"/>
  <c r="G271" i="5"/>
  <c r="G269" i="5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E290" i="2"/>
  <c r="G290" i="2" s="1"/>
  <c r="E289" i="2"/>
  <c r="G289" i="2" s="1"/>
  <c r="E288" i="2"/>
  <c r="G288" i="2" s="1"/>
  <c r="E287" i="2"/>
  <c r="G287" i="2" s="1"/>
  <c r="E286" i="2"/>
  <c r="G286" i="2" s="1"/>
  <c r="E285" i="2"/>
  <c r="G285" i="2" s="1"/>
  <c r="E284" i="2"/>
  <c r="G284" i="2" s="1"/>
  <c r="E283" i="2"/>
  <c r="G283" i="2" s="1"/>
  <c r="E282" i="2"/>
  <c r="G282" i="2" s="1"/>
  <c r="E281" i="2"/>
  <c r="G281" i="2" s="1"/>
  <c r="E280" i="2"/>
  <c r="G280" i="2" s="1"/>
  <c r="E279" i="2"/>
  <c r="G279" i="2" s="1"/>
  <c r="E278" i="2"/>
  <c r="G278" i="2" s="1"/>
  <c r="E277" i="2"/>
  <c r="G277" i="2" s="1"/>
  <c r="E276" i="2"/>
  <c r="G276" i="2" s="1"/>
  <c r="E275" i="2"/>
  <c r="G275" i="2" s="1"/>
  <c r="E274" i="2"/>
  <c r="G274" i="2" s="1"/>
  <c r="E273" i="2"/>
  <c r="G273" i="2" s="1"/>
  <c r="E272" i="2"/>
  <c r="G272" i="2" s="1"/>
  <c r="E271" i="2"/>
  <c r="G271" i="2" s="1"/>
  <c r="E270" i="2"/>
  <c r="G270" i="2" s="1"/>
  <c r="E269" i="2"/>
  <c r="G269" i="2" s="1"/>
  <c r="E268" i="2"/>
  <c r="G268" i="2" s="1"/>
  <c r="E267" i="2"/>
  <c r="G267" i="2" s="1"/>
  <c r="E266" i="2"/>
  <c r="G266" i="2" s="1"/>
  <c r="E265" i="2"/>
  <c r="G265" i="2" s="1"/>
  <c r="E264" i="2"/>
  <c r="G264" i="2" s="1"/>
  <c r="E263" i="2"/>
  <c r="G263" i="2" s="1"/>
  <c r="E262" i="2"/>
  <c r="G262" i="2" s="1"/>
  <c r="E261" i="2"/>
  <c r="G261" i="2" s="1"/>
  <c r="E260" i="2"/>
  <c r="G260" i="2" s="1"/>
  <c r="E259" i="2"/>
  <c r="G259" i="2" s="1"/>
  <c r="E258" i="2"/>
  <c r="G258" i="2" s="1"/>
  <c r="E257" i="2"/>
  <c r="G257" i="2" s="1"/>
  <c r="E256" i="2"/>
  <c r="G256" i="2" s="1"/>
  <c r="E255" i="2"/>
  <c r="G255" i="2" s="1"/>
  <c r="E254" i="2"/>
  <c r="G254" i="2" s="1"/>
  <c r="E253" i="2"/>
  <c r="G253" i="2" s="1"/>
  <c r="E252" i="2"/>
  <c r="G252" i="2" s="1"/>
  <c r="E251" i="2"/>
  <c r="G251" i="2" s="1"/>
  <c r="E250" i="2"/>
  <c r="G250" i="2" s="1"/>
  <c r="E249" i="2"/>
  <c r="G249" i="2" s="1"/>
  <c r="E248" i="2"/>
  <c r="G248" i="2" s="1"/>
  <c r="E247" i="2"/>
  <c r="G247" i="2" s="1"/>
  <c r="E246" i="2"/>
  <c r="G246" i="2" s="1"/>
  <c r="E245" i="2"/>
  <c r="G245" i="2" s="1"/>
  <c r="E244" i="2"/>
  <c r="G244" i="2" s="1"/>
  <c r="E243" i="2"/>
  <c r="G243" i="2" s="1"/>
  <c r="E242" i="2"/>
  <c r="G242" i="2" s="1"/>
  <c r="E241" i="2"/>
  <c r="G241" i="2" s="1"/>
  <c r="E240" i="2"/>
  <c r="G240" i="2" s="1"/>
  <c r="E239" i="2"/>
  <c r="G239" i="2" s="1"/>
  <c r="E238" i="2"/>
  <c r="G238" i="2" s="1"/>
  <c r="E237" i="2"/>
  <c r="G237" i="2" s="1"/>
  <c r="E236" i="2"/>
  <c r="G236" i="2" s="1"/>
  <c r="E235" i="2"/>
  <c r="G235" i="2" s="1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G276" i="6" l="1"/>
  <c r="G301" i="6"/>
  <c r="G277" i="6"/>
  <c r="G302" i="6"/>
  <c r="G307" i="6"/>
  <c r="G306" i="6"/>
  <c r="G305" i="6"/>
  <c r="G315" i="6"/>
  <c r="G282" i="6"/>
  <c r="G313" i="6"/>
  <c r="G281" i="6"/>
  <c r="G314" i="6"/>
  <c r="G300" i="6"/>
  <c r="G299" i="6"/>
  <c r="G275" i="6"/>
  <c r="G274" i="6"/>
  <c r="G280" i="6"/>
  <c r="G279" i="6"/>
  <c r="G271" i="6"/>
  <c r="G296" i="6"/>
  <c r="G303" i="6"/>
  <c r="G278" i="6"/>
  <c r="F312" i="6"/>
  <c r="G312" i="6" s="1"/>
  <c r="G308" i="6"/>
  <c r="F311" i="6"/>
  <c r="G311" i="6" s="1"/>
  <c r="F310" i="6"/>
  <c r="G310" i="6" s="1"/>
  <c r="G309" i="6"/>
  <c r="G320" i="6"/>
  <c r="G316" i="6"/>
  <c r="G284" i="6"/>
  <c r="G286" i="6"/>
  <c r="G319" i="6"/>
  <c r="G287" i="6"/>
  <c r="G283" i="6"/>
  <c r="G318" i="6"/>
  <c r="G317" i="6"/>
  <c r="G285" i="6"/>
  <c r="G297" i="6"/>
  <c r="G272" i="6"/>
  <c r="G298" i="6"/>
  <c r="G273" i="6"/>
  <c r="H257" i="8" l="1"/>
  <c r="H256" i="8"/>
  <c r="H248" i="8"/>
  <c r="H247" i="8"/>
  <c r="H239" i="8"/>
  <c r="H238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G260" i="5"/>
  <c r="C260" i="5"/>
  <c r="G259" i="5"/>
  <c r="C259" i="5"/>
  <c r="G258" i="5"/>
  <c r="C258" i="5"/>
  <c r="G257" i="5"/>
  <c r="C257" i="5"/>
  <c r="G256" i="5"/>
  <c r="C256" i="5"/>
  <c r="G255" i="5"/>
  <c r="C255" i="5"/>
  <c r="G254" i="5"/>
  <c r="C254" i="5"/>
  <c r="G253" i="5"/>
  <c r="C253" i="5"/>
  <c r="G252" i="5"/>
  <c r="C252" i="5"/>
  <c r="G251" i="5"/>
  <c r="C251" i="5"/>
  <c r="G250" i="5"/>
  <c r="C250" i="5"/>
  <c r="G249" i="5"/>
  <c r="C249" i="5"/>
  <c r="G248" i="5"/>
  <c r="C248" i="5"/>
  <c r="G247" i="5"/>
  <c r="C247" i="5"/>
  <c r="G246" i="5"/>
  <c r="C246" i="5"/>
  <c r="G245" i="5"/>
  <c r="C245" i="5"/>
  <c r="G244" i="5"/>
  <c r="C244" i="5"/>
  <c r="G243" i="5"/>
  <c r="C243" i="5"/>
  <c r="G242" i="5"/>
  <c r="C242" i="5"/>
  <c r="G241" i="5"/>
  <c r="C241" i="5"/>
  <c r="G240" i="5"/>
  <c r="C240" i="5"/>
  <c r="G239" i="5"/>
  <c r="C239" i="5"/>
  <c r="G238" i="5"/>
  <c r="C238" i="5"/>
  <c r="G237" i="5"/>
  <c r="C237" i="5"/>
  <c r="G236" i="5"/>
  <c r="C236" i="5"/>
  <c r="G235" i="5"/>
  <c r="C235" i="5"/>
  <c r="G234" i="5"/>
  <c r="C234" i="5"/>
  <c r="I251" i="4"/>
  <c r="I235" i="4"/>
  <c r="G259" i="4"/>
  <c r="I259" i="4" s="1"/>
  <c r="G258" i="4"/>
  <c r="I258" i="4" s="1"/>
  <c r="G257" i="4"/>
  <c r="I257" i="4" s="1"/>
  <c r="G256" i="4"/>
  <c r="I256" i="4" s="1"/>
  <c r="G255" i="4"/>
  <c r="I255" i="4" s="1"/>
  <c r="G254" i="4"/>
  <c r="I254" i="4" s="1"/>
  <c r="G253" i="4"/>
  <c r="I253" i="4" s="1"/>
  <c r="G252" i="4"/>
  <c r="I252" i="4" s="1"/>
  <c r="G251" i="4"/>
  <c r="G250" i="4"/>
  <c r="I250" i="4" s="1"/>
  <c r="G249" i="4"/>
  <c r="I249" i="4" s="1"/>
  <c r="G248" i="4"/>
  <c r="I248" i="4" s="1"/>
  <c r="G247" i="4"/>
  <c r="I247" i="4" s="1"/>
  <c r="G246" i="4"/>
  <c r="I246" i="4" s="1"/>
  <c r="G245" i="4"/>
  <c r="I245" i="4" s="1"/>
  <c r="G244" i="4"/>
  <c r="I244" i="4" s="1"/>
  <c r="G243" i="4"/>
  <c r="I243" i="4" s="1"/>
  <c r="G242" i="4"/>
  <c r="I242" i="4" s="1"/>
  <c r="G241" i="4"/>
  <c r="I241" i="4" s="1"/>
  <c r="G240" i="4"/>
  <c r="I240" i="4" s="1"/>
  <c r="G239" i="4"/>
  <c r="I239" i="4" s="1"/>
  <c r="G238" i="4"/>
  <c r="I238" i="4" s="1"/>
  <c r="G237" i="4"/>
  <c r="I237" i="4" s="1"/>
  <c r="G236" i="4"/>
  <c r="I236" i="4" s="1"/>
  <c r="G235" i="4"/>
  <c r="G234" i="4"/>
  <c r="I234" i="4" s="1"/>
  <c r="G233" i="4"/>
  <c r="I233" i="4" s="1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I22" i="14"/>
  <c r="I31" i="14"/>
  <c r="I30" i="14"/>
  <c r="I29" i="14"/>
  <c r="I28" i="14"/>
  <c r="I27" i="14"/>
  <c r="I26" i="14"/>
  <c r="I25" i="14"/>
  <c r="I24" i="14"/>
  <c r="I23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M7" i="6" l="1"/>
  <c r="M5" i="6"/>
  <c r="M4" i="6"/>
  <c r="F4" i="6" l="1"/>
  <c r="F232" i="6"/>
  <c r="G232" i="6" s="1"/>
  <c r="F218" i="6"/>
  <c r="F207" i="6"/>
  <c r="F251" i="6"/>
  <c r="G251" i="6" s="1"/>
  <c r="F242" i="6"/>
  <c r="G242" i="6" s="1"/>
  <c r="F234" i="6"/>
  <c r="G234" i="6" s="1"/>
  <c r="F220" i="6"/>
  <c r="F209" i="6"/>
  <c r="F149" i="6"/>
  <c r="F93" i="6"/>
  <c r="F250" i="6"/>
  <c r="G250" i="6" s="1"/>
  <c r="F241" i="6"/>
  <c r="G241" i="6" s="1"/>
  <c r="F233" i="6"/>
  <c r="G233" i="6" s="1"/>
  <c r="F219" i="6"/>
  <c r="F208" i="6"/>
  <c r="F49" i="6"/>
  <c r="F243" i="6"/>
  <c r="G243" i="6" s="1"/>
  <c r="F206" i="6"/>
  <c r="F48" i="6"/>
  <c r="F5" i="6"/>
  <c r="F252" i="6"/>
  <c r="F221" i="6"/>
  <c r="F150" i="6"/>
  <c r="F92" i="6"/>
  <c r="F155" i="6"/>
  <c r="F97" i="6"/>
  <c r="F54" i="6"/>
  <c r="F10" i="6"/>
  <c r="F154" i="6"/>
  <c r="F96" i="6"/>
  <c r="F55" i="6"/>
  <c r="F53" i="6"/>
  <c r="F11" i="6"/>
  <c r="F99" i="6"/>
  <c r="F52" i="6"/>
  <c r="F9" i="6"/>
  <c r="F98" i="6"/>
  <c r="F8" i="6"/>
  <c r="F156" i="6"/>
  <c r="H37" i="4" l="1"/>
  <c r="F123" i="13"/>
  <c r="F112" i="13"/>
  <c r="F97" i="13"/>
  <c r="G97" i="13" s="1"/>
  <c r="F61" i="13"/>
  <c r="G61" i="13" s="1"/>
  <c r="F53" i="13"/>
  <c r="F26" i="13"/>
  <c r="F20" i="13"/>
  <c r="F17" i="13"/>
  <c r="F9" i="13"/>
  <c r="G9" i="13" s="1"/>
  <c r="N82" i="13"/>
  <c r="F166" i="13" s="1"/>
  <c r="G166" i="13" s="1"/>
  <c r="F40" i="3"/>
  <c r="G40" i="3" s="1"/>
  <c r="F27" i="3"/>
  <c r="G27" i="3" s="1"/>
  <c r="F16" i="3"/>
  <c r="G16" i="3" s="1"/>
  <c r="F9" i="3"/>
  <c r="G9" i="3" s="1"/>
  <c r="J17" i="12"/>
  <c r="L17" i="12" s="1"/>
  <c r="J16" i="12"/>
  <c r="L16" i="12" s="1"/>
  <c r="J15" i="12"/>
  <c r="L15" i="12" s="1"/>
  <c r="J14" i="12"/>
  <c r="L14" i="12" s="1"/>
  <c r="J13" i="12"/>
  <c r="L13" i="12" s="1"/>
  <c r="J12" i="12"/>
  <c r="L12" i="12" s="1"/>
  <c r="J11" i="12"/>
  <c r="L11" i="12" s="1"/>
  <c r="J10" i="12"/>
  <c r="L10" i="12" s="1"/>
  <c r="J9" i="12"/>
  <c r="L9" i="12" s="1"/>
  <c r="J8" i="12"/>
  <c r="L8" i="12" s="1"/>
  <c r="J7" i="12"/>
  <c r="L7" i="12" s="1"/>
  <c r="J6" i="12"/>
  <c r="L6" i="12" s="1"/>
  <c r="K10" i="10"/>
  <c r="M10" i="10" s="1"/>
  <c r="K9" i="10"/>
  <c r="M9" i="10" s="1"/>
  <c r="K8" i="10"/>
  <c r="M8" i="10" s="1"/>
  <c r="K7" i="10"/>
  <c r="M7" i="10" s="1"/>
  <c r="K6" i="10"/>
  <c r="M6" i="10" s="1"/>
  <c r="K5" i="10"/>
  <c r="M5" i="10" s="1"/>
  <c r="K4" i="10"/>
  <c r="M4" i="10" s="1"/>
  <c r="D224" i="9"/>
  <c r="D223" i="9"/>
  <c r="D222" i="9"/>
  <c r="D221" i="9"/>
  <c r="D220" i="9"/>
  <c r="D219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56" i="9"/>
  <c r="D55" i="9"/>
  <c r="D54" i="9"/>
  <c r="D53" i="9"/>
  <c r="D52" i="9"/>
  <c r="D51" i="9"/>
  <c r="D50" i="9"/>
  <c r="D49" i="9"/>
  <c r="D48" i="9"/>
  <c r="D47" i="9"/>
  <c r="D46" i="9"/>
  <c r="D45" i="9"/>
  <c r="D12" i="9"/>
  <c r="D11" i="9"/>
  <c r="D10" i="9"/>
  <c r="D9" i="9"/>
  <c r="D8" i="9"/>
  <c r="D7" i="9"/>
  <c r="D6" i="9"/>
  <c r="D5" i="9"/>
  <c r="O5" i="9"/>
  <c r="N22" i="8"/>
  <c r="G207" i="8" s="1"/>
  <c r="H207" i="8" s="1"/>
  <c r="N21" i="8"/>
  <c r="G202" i="8" s="1"/>
  <c r="N20" i="8"/>
  <c r="G201" i="8" s="1"/>
  <c r="N19" i="8"/>
  <c r="G198" i="8" s="1"/>
  <c r="H198" i="8" s="1"/>
  <c r="N18" i="8"/>
  <c r="G232" i="8" s="1"/>
  <c r="N17" i="8"/>
  <c r="G144" i="8" s="1"/>
  <c r="N16" i="8"/>
  <c r="G142" i="8" s="1"/>
  <c r="H142" i="8" s="1"/>
  <c r="N15" i="8"/>
  <c r="G139" i="8" s="1"/>
  <c r="N14" i="8"/>
  <c r="N13" i="8"/>
  <c r="G190" i="8" s="1"/>
  <c r="H190" i="8" s="1"/>
  <c r="N12" i="8"/>
  <c r="G186" i="8" s="1"/>
  <c r="N11" i="8"/>
  <c r="N10" i="8"/>
  <c r="G178" i="8" s="1"/>
  <c r="H178" i="8" s="1"/>
  <c r="N9" i="8"/>
  <c r="N8" i="8"/>
  <c r="G174" i="8" s="1"/>
  <c r="N7" i="8"/>
  <c r="G8" i="8" s="1"/>
  <c r="P15" i="4"/>
  <c r="P14" i="4"/>
  <c r="P13" i="4"/>
  <c r="P12" i="4"/>
  <c r="P10" i="4"/>
  <c r="P9" i="4"/>
  <c r="P8" i="4"/>
  <c r="P7" i="4"/>
  <c r="M45" i="3"/>
  <c r="M44" i="3"/>
  <c r="F87" i="3" s="1"/>
  <c r="G87" i="3" s="1"/>
  <c r="M43" i="3"/>
  <c r="F86" i="3" s="1"/>
  <c r="G86" i="3" s="1"/>
  <c r="M42" i="3"/>
  <c r="F85" i="3" s="1"/>
  <c r="G85" i="3" s="1"/>
  <c r="M41" i="3"/>
  <c r="M40" i="3"/>
  <c r="M39" i="3"/>
  <c r="M38" i="3"/>
  <c r="M37" i="3"/>
  <c r="F74" i="3" s="1"/>
  <c r="G74" i="3" s="1"/>
  <c r="M36" i="3"/>
  <c r="F73" i="3" s="1"/>
  <c r="G73" i="3" s="1"/>
  <c r="M35" i="3"/>
  <c r="M34" i="3"/>
  <c r="M33" i="3"/>
  <c r="M32" i="3"/>
  <c r="M31" i="3"/>
  <c r="F117" i="3" s="1"/>
  <c r="G117" i="3" s="1"/>
  <c r="M30" i="3"/>
  <c r="M29" i="3"/>
  <c r="F110" i="3" s="1"/>
  <c r="G110" i="3" s="1"/>
  <c r="M28" i="3"/>
  <c r="M27" i="3"/>
  <c r="M26" i="3"/>
  <c r="M25" i="3"/>
  <c r="M24" i="3"/>
  <c r="M23" i="3"/>
  <c r="M22" i="3"/>
  <c r="M21" i="3"/>
  <c r="M16" i="3"/>
  <c r="M15" i="3"/>
  <c r="M14" i="3"/>
  <c r="M13" i="3"/>
  <c r="M12" i="3"/>
  <c r="M11" i="3"/>
  <c r="M10" i="3"/>
  <c r="M9" i="3"/>
  <c r="M8" i="3"/>
  <c r="M7" i="3"/>
  <c r="N137" i="13"/>
  <c r="F150" i="13" s="1"/>
  <c r="G150" i="13" s="1"/>
  <c r="N136" i="13"/>
  <c r="F147" i="13" s="1"/>
  <c r="G147" i="13" s="1"/>
  <c r="N135" i="13"/>
  <c r="F146" i="13" s="1"/>
  <c r="G146" i="13" s="1"/>
  <c r="N134" i="13"/>
  <c r="F145" i="13" s="1"/>
  <c r="G145" i="13" s="1"/>
  <c r="N133" i="13"/>
  <c r="F144" i="13" s="1"/>
  <c r="G144" i="13" s="1"/>
  <c r="N132" i="13"/>
  <c r="F143" i="13" s="1"/>
  <c r="G143" i="13" s="1"/>
  <c r="N131" i="13"/>
  <c r="N130" i="13"/>
  <c r="F141" i="13" s="1"/>
  <c r="G141" i="13" s="1"/>
  <c r="N129" i="13"/>
  <c r="F139" i="13" s="1"/>
  <c r="G139" i="13" s="1"/>
  <c r="N128" i="13"/>
  <c r="F138" i="13" s="1"/>
  <c r="G138" i="13" s="1"/>
  <c r="N127" i="13"/>
  <c r="F137" i="13" s="1"/>
  <c r="G137" i="13" s="1"/>
  <c r="N126" i="13"/>
  <c r="F136" i="13" s="1"/>
  <c r="G136" i="13" s="1"/>
  <c r="N125" i="13"/>
  <c r="F134" i="13" s="1"/>
  <c r="G134" i="13" s="1"/>
  <c r="N124" i="13"/>
  <c r="N123" i="13"/>
  <c r="F122" i="13" s="1"/>
  <c r="G122" i="13" s="1"/>
  <c r="N122" i="13"/>
  <c r="F121" i="13" s="1"/>
  <c r="G121" i="13" s="1"/>
  <c r="N121" i="13"/>
  <c r="F130" i="13" s="1"/>
  <c r="G130" i="13" s="1"/>
  <c r="N120" i="13"/>
  <c r="N119" i="13"/>
  <c r="F128" i="13" s="1"/>
  <c r="G128" i="13" s="1"/>
  <c r="N118" i="13"/>
  <c r="F117" i="13" s="1"/>
  <c r="G117" i="13" s="1"/>
  <c r="N117" i="13"/>
  <c r="G115" i="13" s="1"/>
  <c r="N116" i="13"/>
  <c r="F113" i="13" s="1"/>
  <c r="G113" i="13" s="1"/>
  <c r="N115" i="13"/>
  <c r="N114" i="13"/>
  <c r="F111" i="13" s="1"/>
  <c r="G111" i="13" s="1"/>
  <c r="N113" i="13"/>
  <c r="F109" i="13" s="1"/>
  <c r="G109" i="13" s="1"/>
  <c r="N112" i="13"/>
  <c r="N111" i="13"/>
  <c r="F107" i="13" s="1"/>
  <c r="G107" i="13" s="1"/>
  <c r="N110" i="13"/>
  <c r="N109" i="13"/>
  <c r="F105" i="13" s="1"/>
  <c r="G105" i="13" s="1"/>
  <c r="N108" i="13"/>
  <c r="N107" i="13"/>
  <c r="N106" i="13"/>
  <c r="F101" i="13" s="1"/>
  <c r="G101" i="13" s="1"/>
  <c r="N105" i="13"/>
  <c r="F100" i="13" s="1"/>
  <c r="G100" i="13" s="1"/>
  <c r="N104" i="13"/>
  <c r="F99" i="13" s="1"/>
  <c r="G99" i="13" s="1"/>
  <c r="N103" i="13"/>
  <c r="F98" i="13" s="1"/>
  <c r="G98" i="13" s="1"/>
  <c r="N102" i="13"/>
  <c r="F95" i="13" s="1"/>
  <c r="G95" i="13" s="1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1" i="13"/>
  <c r="N80" i="13"/>
  <c r="N79" i="13"/>
  <c r="N78" i="13"/>
  <c r="N77" i="13"/>
  <c r="N76" i="13"/>
  <c r="F161" i="13" s="1"/>
  <c r="G161" i="13" s="1"/>
  <c r="N75" i="13"/>
  <c r="N74" i="13"/>
  <c r="N73" i="13"/>
  <c r="N72" i="13"/>
  <c r="N71" i="13"/>
  <c r="N70" i="13"/>
  <c r="F172" i="13" s="1"/>
  <c r="G172" i="13" s="1"/>
  <c r="N69" i="13"/>
  <c r="F171" i="13" s="1"/>
  <c r="G171" i="13" s="1"/>
  <c r="N68" i="13"/>
  <c r="N67" i="13"/>
  <c r="N66" i="13"/>
  <c r="N65" i="13"/>
  <c r="N64" i="13"/>
  <c r="N63" i="13"/>
  <c r="F169" i="13" s="1"/>
  <c r="G169" i="13" s="1"/>
  <c r="N62" i="13"/>
  <c r="F154" i="13" s="1"/>
  <c r="G154" i="13" s="1"/>
  <c r="N61" i="13"/>
  <c r="F93" i="13" s="1"/>
  <c r="G93" i="13" s="1"/>
  <c r="N60" i="13"/>
  <c r="N59" i="13"/>
  <c r="F91" i="13" s="1"/>
  <c r="G91" i="13" s="1"/>
  <c r="N58" i="13"/>
  <c r="F90" i="13" s="1"/>
  <c r="G90" i="13" s="1"/>
  <c r="N57" i="13"/>
  <c r="F89" i="13" s="1"/>
  <c r="G89" i="13" s="1"/>
  <c r="N56" i="13"/>
  <c r="N55" i="13"/>
  <c r="N54" i="13"/>
  <c r="F88" i="13" s="1"/>
  <c r="G88" i="13" s="1"/>
  <c r="N53" i="13"/>
  <c r="F86" i="13" s="1"/>
  <c r="G86" i="13" s="1"/>
  <c r="N52" i="13"/>
  <c r="N51" i="13"/>
  <c r="N50" i="13"/>
  <c r="F83" i="13" s="1"/>
  <c r="G83" i="13" s="1"/>
  <c r="N49" i="13"/>
  <c r="F81" i="13" s="1"/>
  <c r="G81" i="13" s="1"/>
  <c r="N48" i="13"/>
  <c r="F79" i="13" s="1"/>
  <c r="G79" i="13" s="1"/>
  <c r="N47" i="13"/>
  <c r="F78" i="13" s="1"/>
  <c r="G78" i="13" s="1"/>
  <c r="N46" i="13"/>
  <c r="F77" i="13" s="1"/>
  <c r="G77" i="13" s="1"/>
  <c r="N45" i="13"/>
  <c r="F76" i="13" s="1"/>
  <c r="G76" i="13" s="1"/>
  <c r="N44" i="13"/>
  <c r="F75" i="13" s="1"/>
  <c r="G75" i="13" s="1"/>
  <c r="N43" i="13"/>
  <c r="F74" i="13" s="1"/>
  <c r="G74" i="13" s="1"/>
  <c r="N42" i="13"/>
  <c r="F73" i="13" s="1"/>
  <c r="G73" i="13" s="1"/>
  <c r="N41" i="13"/>
  <c r="F71" i="13" s="1"/>
  <c r="G71" i="13" s="1"/>
  <c r="N40" i="13"/>
  <c r="F70" i="13" s="1"/>
  <c r="G70" i="13" s="1"/>
  <c r="N39" i="13"/>
  <c r="F69" i="13" s="1"/>
  <c r="G69" i="13" s="1"/>
  <c r="N38" i="13"/>
  <c r="F66" i="13" s="1"/>
  <c r="G66" i="13" s="1"/>
  <c r="N37" i="13"/>
  <c r="F56" i="13" s="1"/>
  <c r="G56" i="13" s="1"/>
  <c r="N36" i="13"/>
  <c r="N35" i="13"/>
  <c r="N34" i="13"/>
  <c r="F52" i="13" s="1"/>
  <c r="G52" i="13" s="1"/>
  <c r="N33" i="13"/>
  <c r="F49" i="13" s="1"/>
  <c r="G49" i="13" s="1"/>
  <c r="N32" i="13"/>
  <c r="N31" i="13"/>
  <c r="F47" i="13" s="1"/>
  <c r="G47" i="13" s="1"/>
  <c r="N30" i="13"/>
  <c r="F46" i="13" s="1"/>
  <c r="G46" i="13" s="1"/>
  <c r="N29" i="13"/>
  <c r="F45" i="13" s="1"/>
  <c r="G45" i="13" s="1"/>
  <c r="N28" i="13"/>
  <c r="N27" i="13"/>
  <c r="N26" i="13"/>
  <c r="F44" i="13" s="1"/>
  <c r="G44" i="13" s="1"/>
  <c r="N25" i="13"/>
  <c r="F42" i="13" s="1"/>
  <c r="G42" i="13" s="1"/>
  <c r="N24" i="13"/>
  <c r="F41" i="13" s="1"/>
  <c r="G41" i="13" s="1"/>
  <c r="N23" i="13"/>
  <c r="N22" i="13"/>
  <c r="F39" i="13" s="1"/>
  <c r="G39" i="13" s="1"/>
  <c r="N21" i="13"/>
  <c r="F37" i="13" s="1"/>
  <c r="G37" i="13" s="1"/>
  <c r="N20" i="13"/>
  <c r="F36" i="13" s="1"/>
  <c r="G36" i="13" s="1"/>
  <c r="N19" i="13"/>
  <c r="F24" i="13" s="1"/>
  <c r="G24" i="13" s="1"/>
  <c r="N18" i="13"/>
  <c r="F23" i="13" s="1"/>
  <c r="G23" i="13" s="1"/>
  <c r="N17" i="13"/>
  <c r="F32" i="13" s="1"/>
  <c r="G32" i="13" s="1"/>
  <c r="N16" i="13"/>
  <c r="F31" i="13" s="1"/>
  <c r="G31" i="13" s="1"/>
  <c r="N15" i="13"/>
  <c r="N14" i="13"/>
  <c r="F19" i="13" s="1"/>
  <c r="G19" i="13" s="1"/>
  <c r="N13" i="13"/>
  <c r="G17" i="13" s="1"/>
  <c r="N12" i="13"/>
  <c r="F25" i="13" s="1"/>
  <c r="G25" i="13" s="1"/>
  <c r="N11" i="13"/>
  <c r="F14" i="13" s="1"/>
  <c r="G14" i="13" s="1"/>
  <c r="N10" i="13"/>
  <c r="F13" i="13" s="1"/>
  <c r="G13" i="13" s="1"/>
  <c r="N9" i="13"/>
  <c r="F12" i="13" s="1"/>
  <c r="G12" i="13" s="1"/>
  <c r="N8" i="13"/>
  <c r="F11" i="13" s="1"/>
  <c r="G11" i="13" s="1"/>
  <c r="N7" i="13"/>
  <c r="F10" i="13" s="1"/>
  <c r="G10" i="13" s="1"/>
  <c r="N6" i="13"/>
  <c r="F8" i="13" s="1"/>
  <c r="G8" i="13" s="1"/>
  <c r="Q25" i="2"/>
  <c r="H48" i="2" s="1"/>
  <c r="Q24" i="2"/>
  <c r="H47" i="2" s="1"/>
  <c r="Q23" i="2"/>
  <c r="H46" i="2" s="1"/>
  <c r="Q20" i="2"/>
  <c r="Q19" i="2"/>
  <c r="Q18" i="2"/>
  <c r="Q16" i="2"/>
  <c r="Q15" i="2"/>
  <c r="Q14" i="2"/>
  <c r="Q13" i="2"/>
  <c r="Q12" i="2"/>
  <c r="Q11" i="2"/>
  <c r="Q10" i="2"/>
  <c r="Q8" i="2"/>
  <c r="Q7" i="2"/>
  <c r="Q6" i="2"/>
  <c r="O11" i="7"/>
  <c r="O10" i="7"/>
  <c r="O9" i="7"/>
  <c r="O8" i="7"/>
  <c r="O7" i="7"/>
  <c r="F174" i="13"/>
  <c r="G174" i="13" s="1"/>
  <c r="F173" i="13"/>
  <c r="G173" i="13" s="1"/>
  <c r="F170" i="13"/>
  <c r="G170" i="13" s="1"/>
  <c r="F168" i="13"/>
  <c r="G168" i="13" s="1"/>
  <c r="F162" i="13"/>
  <c r="G162" i="13" s="1"/>
  <c r="F148" i="13"/>
  <c r="G148" i="13" s="1"/>
  <c r="F126" i="13"/>
  <c r="G126" i="13" s="1"/>
  <c r="F125" i="13"/>
  <c r="G125" i="13" s="1"/>
  <c r="G124" i="13"/>
  <c r="G116" i="13"/>
  <c r="F114" i="13"/>
  <c r="G114" i="13" s="1"/>
  <c r="G112" i="13"/>
  <c r="F108" i="13"/>
  <c r="G108" i="13" s="1"/>
  <c r="F106" i="13"/>
  <c r="G106" i="13" s="1"/>
  <c r="G104" i="13"/>
  <c r="F85" i="13"/>
  <c r="G85" i="13" s="1"/>
  <c r="F84" i="13"/>
  <c r="G84" i="13" s="1"/>
  <c r="F67" i="13"/>
  <c r="G67" i="13" s="1"/>
  <c r="F63" i="13"/>
  <c r="G63" i="13" s="1"/>
  <c r="F62" i="13"/>
  <c r="G62" i="13" s="1"/>
  <c r="F55" i="13"/>
  <c r="G55" i="13" s="1"/>
  <c r="F54" i="13"/>
  <c r="G54" i="13" s="1"/>
  <c r="F48" i="13"/>
  <c r="G48" i="13" s="1"/>
  <c r="F40" i="13"/>
  <c r="G40" i="13" s="1"/>
  <c r="F34" i="13"/>
  <c r="G34" i="13" s="1"/>
  <c r="F30" i="13"/>
  <c r="G30" i="13" s="1"/>
  <c r="G20" i="13"/>
  <c r="G200" i="8"/>
  <c r="H200" i="8" s="1"/>
  <c r="G195" i="8"/>
  <c r="G194" i="8"/>
  <c r="G192" i="8"/>
  <c r="G176" i="8"/>
  <c r="G165" i="8"/>
  <c r="G163" i="8"/>
  <c r="G150" i="8"/>
  <c r="H150" i="8" s="1"/>
  <c r="G147" i="8"/>
  <c r="G146" i="8"/>
  <c r="G137" i="8"/>
  <c r="G136" i="8"/>
  <c r="G135" i="8"/>
  <c r="G86" i="8"/>
  <c r="G85" i="8"/>
  <c r="G77" i="8"/>
  <c r="H77" i="8" s="1"/>
  <c r="G67" i="8"/>
  <c r="H67" i="8" s="1"/>
  <c r="G57" i="8"/>
  <c r="G53" i="8"/>
  <c r="G44" i="8"/>
  <c r="H44" i="8" s="1"/>
  <c r="G40" i="8"/>
  <c r="G23" i="8"/>
  <c r="H23" i="8" s="1"/>
  <c r="G22" i="8"/>
  <c r="G13" i="8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H218" i="8" s="1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F120" i="13" l="1"/>
  <c r="G120" i="13" s="1"/>
  <c r="G119" i="8"/>
  <c r="G65" i="8"/>
  <c r="G46" i="8"/>
  <c r="F135" i="13"/>
  <c r="G135" i="13" s="1"/>
  <c r="G49" i="8"/>
  <c r="H49" i="8" s="1"/>
  <c r="G203" i="8"/>
  <c r="H203" i="8" s="1"/>
  <c r="G91" i="8"/>
  <c r="G93" i="8"/>
  <c r="H93" i="8" s="1"/>
  <c r="G206" i="8"/>
  <c r="H206" i="8" s="1"/>
  <c r="F140" i="13"/>
  <c r="G140" i="13" s="1"/>
  <c r="G94" i="8"/>
  <c r="H94" i="8" s="1"/>
  <c r="G101" i="8"/>
  <c r="G208" i="8"/>
  <c r="H208" i="8" s="1"/>
  <c r="F96" i="13"/>
  <c r="G96" i="13" s="1"/>
  <c r="H240" i="2"/>
  <c r="I240" i="2" s="1"/>
  <c r="H238" i="2"/>
  <c r="I238" i="2" s="1"/>
  <c r="H237" i="2"/>
  <c r="I237" i="2" s="1"/>
  <c r="H236" i="2"/>
  <c r="I236" i="2" s="1"/>
  <c r="H239" i="2"/>
  <c r="I239" i="2" s="1"/>
  <c r="H235" i="2"/>
  <c r="I235" i="2" s="1"/>
  <c r="G120" i="8"/>
  <c r="G220" i="8"/>
  <c r="F156" i="13"/>
  <c r="G156" i="13" s="1"/>
  <c r="H286" i="2"/>
  <c r="I286" i="2" s="1"/>
  <c r="H266" i="2"/>
  <c r="I266" i="2" s="1"/>
  <c r="H246" i="2"/>
  <c r="I246" i="2" s="1"/>
  <c r="H285" i="2"/>
  <c r="I285" i="2" s="1"/>
  <c r="H265" i="2"/>
  <c r="I265" i="2" s="1"/>
  <c r="H245" i="2"/>
  <c r="I245" i="2" s="1"/>
  <c r="H284" i="2"/>
  <c r="I284" i="2" s="1"/>
  <c r="H264" i="2"/>
  <c r="I264" i="2" s="1"/>
  <c r="H244" i="2"/>
  <c r="I244" i="2" s="1"/>
  <c r="H281" i="2"/>
  <c r="I281" i="2" s="1"/>
  <c r="H261" i="2"/>
  <c r="I261" i="2" s="1"/>
  <c r="H241" i="2"/>
  <c r="I241" i="2" s="1"/>
  <c r="H280" i="2"/>
  <c r="I280" i="2" s="1"/>
  <c r="H260" i="2"/>
  <c r="I260" i="2" s="1"/>
  <c r="H278" i="2"/>
  <c r="I278" i="2" s="1"/>
  <c r="H258" i="2"/>
  <c r="I258" i="2" s="1"/>
  <c r="H277" i="2"/>
  <c r="I277" i="2" s="1"/>
  <c r="H257" i="2"/>
  <c r="I257" i="2" s="1"/>
  <c r="H276" i="2"/>
  <c r="I276" i="2" s="1"/>
  <c r="H256" i="2"/>
  <c r="I256" i="2" s="1"/>
  <c r="H279" i="2"/>
  <c r="I279" i="2" s="1"/>
  <c r="H248" i="2"/>
  <c r="I248" i="2" s="1"/>
  <c r="H275" i="2"/>
  <c r="I275" i="2" s="1"/>
  <c r="H274" i="2"/>
  <c r="I274" i="2" s="1"/>
  <c r="H273" i="2"/>
  <c r="I273" i="2" s="1"/>
  <c r="H242" i="2"/>
  <c r="I242" i="2" s="1"/>
  <c r="H247" i="2"/>
  <c r="I247" i="2" s="1"/>
  <c r="H243" i="2"/>
  <c r="I243" i="2" s="1"/>
  <c r="H272" i="2"/>
  <c r="I272" i="2" s="1"/>
  <c r="H271" i="2"/>
  <c r="I271" i="2" s="1"/>
  <c r="H270" i="2"/>
  <c r="I270" i="2" s="1"/>
  <c r="H268" i="2"/>
  <c r="I268" i="2" s="1"/>
  <c r="H267" i="2"/>
  <c r="I267" i="2" s="1"/>
  <c r="H263" i="2"/>
  <c r="I263" i="2" s="1"/>
  <c r="H262" i="2"/>
  <c r="I262" i="2" s="1"/>
  <c r="H259" i="2"/>
  <c r="I259" i="2" s="1"/>
  <c r="H254" i="2"/>
  <c r="I254" i="2" s="1"/>
  <c r="H249" i="2"/>
  <c r="I249" i="2" s="1"/>
  <c r="H290" i="2"/>
  <c r="I290" i="2" s="1"/>
  <c r="H289" i="2"/>
  <c r="I289" i="2" s="1"/>
  <c r="H288" i="2"/>
  <c r="I288" i="2" s="1"/>
  <c r="H253" i="2"/>
  <c r="I253" i="2" s="1"/>
  <c r="H252" i="2"/>
  <c r="I252" i="2" s="1"/>
  <c r="H250" i="2"/>
  <c r="I250" i="2" s="1"/>
  <c r="H287" i="2"/>
  <c r="I287" i="2" s="1"/>
  <c r="H283" i="2"/>
  <c r="I283" i="2" s="1"/>
  <c r="H282" i="2"/>
  <c r="I282" i="2" s="1"/>
  <c r="H269" i="2"/>
  <c r="I269" i="2" s="1"/>
  <c r="H255" i="2"/>
  <c r="I255" i="2" s="1"/>
  <c r="H251" i="2"/>
  <c r="I251" i="2" s="1"/>
  <c r="H402" i="4"/>
  <c r="I402" i="4" s="1"/>
  <c r="H401" i="4"/>
  <c r="I401" i="4" s="1"/>
  <c r="H394" i="4"/>
  <c r="I394" i="4" s="1"/>
  <c r="H393" i="4"/>
  <c r="I393" i="4" s="1"/>
  <c r="H346" i="4"/>
  <c r="I346" i="4" s="1"/>
  <c r="H347" i="4"/>
  <c r="I347" i="4" s="1"/>
  <c r="H345" i="4"/>
  <c r="I345" i="4" s="1"/>
  <c r="H370" i="4"/>
  <c r="I370" i="4" s="1"/>
  <c r="H368" i="4"/>
  <c r="I368" i="4" s="1"/>
  <c r="H403" i="4"/>
  <c r="I403" i="4" s="1"/>
  <c r="H395" i="4"/>
  <c r="I395" i="4" s="1"/>
  <c r="H338" i="4"/>
  <c r="I338" i="4" s="1"/>
  <c r="H386" i="4"/>
  <c r="I386" i="4" s="1"/>
  <c r="H369" i="4"/>
  <c r="I369" i="4" s="1"/>
  <c r="G50" i="8"/>
  <c r="H50" i="8" s="1"/>
  <c r="G205" i="8"/>
  <c r="H205" i="8" s="1"/>
  <c r="F149" i="13"/>
  <c r="G149" i="13" s="1"/>
  <c r="G123" i="8"/>
  <c r="H123" i="8" s="1"/>
  <c r="F102" i="13"/>
  <c r="G102" i="13" s="1"/>
  <c r="F158" i="13"/>
  <c r="G158" i="13" s="1"/>
  <c r="H382" i="4"/>
  <c r="I382" i="4" s="1"/>
  <c r="H362" i="4"/>
  <c r="I362" i="4" s="1"/>
  <c r="H342" i="4"/>
  <c r="I342" i="4" s="1"/>
  <c r="H381" i="4"/>
  <c r="I381" i="4" s="1"/>
  <c r="H361" i="4"/>
  <c r="I361" i="4" s="1"/>
  <c r="H341" i="4"/>
  <c r="I341" i="4" s="1"/>
  <c r="H400" i="4"/>
  <c r="I400" i="4" s="1"/>
  <c r="H380" i="4"/>
  <c r="I380" i="4" s="1"/>
  <c r="H360" i="4"/>
  <c r="I360" i="4" s="1"/>
  <c r="H340" i="4"/>
  <c r="I340" i="4" s="1"/>
  <c r="H397" i="4"/>
  <c r="I397" i="4" s="1"/>
  <c r="H377" i="4"/>
  <c r="I377" i="4" s="1"/>
  <c r="H357" i="4"/>
  <c r="I357" i="4" s="1"/>
  <c r="H337" i="4"/>
  <c r="I337" i="4" s="1"/>
  <c r="H396" i="4"/>
  <c r="I396" i="4" s="1"/>
  <c r="H376" i="4"/>
  <c r="I376" i="4" s="1"/>
  <c r="H356" i="4"/>
  <c r="I356" i="4" s="1"/>
  <c r="H336" i="4"/>
  <c r="I336" i="4" s="1"/>
  <c r="H374" i="4"/>
  <c r="I374" i="4" s="1"/>
  <c r="H354" i="4"/>
  <c r="I354" i="4" s="1"/>
  <c r="H334" i="4"/>
  <c r="I334" i="4" s="1"/>
  <c r="H373" i="4"/>
  <c r="I373" i="4" s="1"/>
  <c r="H353" i="4"/>
  <c r="I353" i="4" s="1"/>
  <c r="H333" i="4"/>
  <c r="I333" i="4" s="1"/>
  <c r="H392" i="4"/>
  <c r="I392" i="4" s="1"/>
  <c r="H372" i="4"/>
  <c r="I372" i="4" s="1"/>
  <c r="H352" i="4"/>
  <c r="I352" i="4" s="1"/>
  <c r="H332" i="4"/>
  <c r="I332" i="4" s="1"/>
  <c r="H384" i="4"/>
  <c r="I384" i="4" s="1"/>
  <c r="H348" i="4"/>
  <c r="I348" i="4" s="1"/>
  <c r="H379" i="4"/>
  <c r="I379" i="4" s="1"/>
  <c r="H375" i="4"/>
  <c r="I375" i="4" s="1"/>
  <c r="H371" i="4"/>
  <c r="I371" i="4" s="1"/>
  <c r="H343" i="4"/>
  <c r="I343" i="4" s="1"/>
  <c r="H339" i="4"/>
  <c r="I339" i="4" s="1"/>
  <c r="H383" i="4"/>
  <c r="I383" i="4" s="1"/>
  <c r="H378" i="4"/>
  <c r="I378" i="4" s="1"/>
  <c r="H344" i="4"/>
  <c r="I344" i="4" s="1"/>
  <c r="H335" i="4"/>
  <c r="I335" i="4" s="1"/>
  <c r="H367" i="4"/>
  <c r="I367" i="4" s="1"/>
  <c r="H331" i="4"/>
  <c r="I331" i="4" s="1"/>
  <c r="H399" i="4"/>
  <c r="I399" i="4" s="1"/>
  <c r="H366" i="4"/>
  <c r="I366" i="4" s="1"/>
  <c r="H330" i="4"/>
  <c r="I330" i="4" s="1"/>
  <c r="H398" i="4"/>
  <c r="I398" i="4" s="1"/>
  <c r="H365" i="4"/>
  <c r="I365" i="4" s="1"/>
  <c r="H329" i="4"/>
  <c r="I329" i="4" s="1"/>
  <c r="H364" i="4"/>
  <c r="I364" i="4" s="1"/>
  <c r="H328" i="4"/>
  <c r="I328" i="4" s="1"/>
  <c r="H391" i="4"/>
  <c r="I391" i="4" s="1"/>
  <c r="H363" i="4"/>
  <c r="I363" i="4" s="1"/>
  <c r="H327" i="4"/>
  <c r="I327" i="4" s="1"/>
  <c r="H355" i="4"/>
  <c r="I355" i="4" s="1"/>
  <c r="H351" i="4"/>
  <c r="I351" i="4" s="1"/>
  <c r="H350" i="4"/>
  <c r="I350" i="4" s="1"/>
  <c r="H349" i="4"/>
  <c r="I349" i="4" s="1"/>
  <c r="H326" i="4"/>
  <c r="I326" i="4" s="1"/>
  <c r="H325" i="4"/>
  <c r="I325" i="4" s="1"/>
  <c r="H388" i="4"/>
  <c r="I388" i="4" s="1"/>
  <c r="H387" i="4"/>
  <c r="I387" i="4" s="1"/>
  <c r="H385" i="4"/>
  <c r="I385" i="4" s="1"/>
  <c r="H359" i="4"/>
  <c r="I359" i="4" s="1"/>
  <c r="H358" i="4"/>
  <c r="I358" i="4" s="1"/>
  <c r="H390" i="4"/>
  <c r="I390" i="4" s="1"/>
  <c r="H389" i="4"/>
  <c r="I389" i="4" s="1"/>
  <c r="F35" i="13"/>
  <c r="G35" i="13" s="1"/>
  <c r="F21" i="13"/>
  <c r="G21" i="13" s="1"/>
  <c r="F15" i="13"/>
  <c r="G15" i="13" s="1"/>
  <c r="F16" i="13"/>
  <c r="G16" i="13" s="1"/>
  <c r="H341" i="2"/>
  <c r="I341" i="2" s="1"/>
  <c r="H340" i="2"/>
  <c r="I340" i="2" s="1"/>
  <c r="H320" i="2"/>
  <c r="I320" i="2" s="1"/>
  <c r="H345" i="2"/>
  <c r="I345" i="2" s="1"/>
  <c r="H297" i="2"/>
  <c r="I297" i="2" s="1"/>
  <c r="H344" i="2"/>
  <c r="I344" i="2" s="1"/>
  <c r="H296" i="2"/>
  <c r="I296" i="2" s="1"/>
  <c r="H322" i="2"/>
  <c r="I322" i="2" s="1"/>
  <c r="H347" i="2"/>
  <c r="I347" i="2" s="1"/>
  <c r="H343" i="2"/>
  <c r="I343" i="2" s="1"/>
  <c r="H319" i="2"/>
  <c r="I319" i="2" s="1"/>
  <c r="H299" i="2"/>
  <c r="I299" i="2" s="1"/>
  <c r="H295" i="2"/>
  <c r="I295" i="2" s="1"/>
  <c r="H321" i="2"/>
  <c r="I321" i="2" s="1"/>
  <c r="H346" i="2"/>
  <c r="I346" i="2" s="1"/>
  <c r="H342" i="2"/>
  <c r="I342" i="2" s="1"/>
  <c r="H318" i="2"/>
  <c r="I318" i="2" s="1"/>
  <c r="H298" i="2"/>
  <c r="I298" i="2" s="1"/>
  <c r="H294" i="2"/>
  <c r="I294" i="2" s="1"/>
  <c r="H317" i="2"/>
  <c r="I317" i="2" s="1"/>
  <c r="H307" i="2"/>
  <c r="I307" i="2" s="1"/>
  <c r="H310" i="2"/>
  <c r="I310" i="2" s="1"/>
  <c r="H336" i="2"/>
  <c r="I336" i="2" s="1"/>
  <c r="H328" i="2"/>
  <c r="I328" i="2" s="1"/>
  <c r="H365" i="2"/>
  <c r="I365" i="2" s="1"/>
  <c r="H313" i="2"/>
  <c r="I313" i="2" s="1"/>
  <c r="H305" i="2"/>
  <c r="I305" i="2" s="1"/>
  <c r="H335" i="2"/>
  <c r="I335" i="2" s="1"/>
  <c r="H327" i="2"/>
  <c r="I327" i="2" s="1"/>
  <c r="H368" i="2"/>
  <c r="I368" i="2" s="1"/>
  <c r="H364" i="2"/>
  <c r="I364" i="2" s="1"/>
  <c r="H360" i="2"/>
  <c r="I360" i="2" s="1"/>
  <c r="H356" i="2"/>
  <c r="I356" i="2" s="1"/>
  <c r="H352" i="2"/>
  <c r="I352" i="2" s="1"/>
  <c r="H348" i="2"/>
  <c r="I348" i="2" s="1"/>
  <c r="H316" i="2"/>
  <c r="I316" i="2" s="1"/>
  <c r="H312" i="2"/>
  <c r="I312" i="2" s="1"/>
  <c r="H308" i="2"/>
  <c r="I308" i="2" s="1"/>
  <c r="H304" i="2"/>
  <c r="I304" i="2" s="1"/>
  <c r="H300" i="2"/>
  <c r="I300" i="2" s="1"/>
  <c r="H338" i="2"/>
  <c r="I338" i="2" s="1"/>
  <c r="H334" i="2"/>
  <c r="I334" i="2" s="1"/>
  <c r="H330" i="2"/>
  <c r="I330" i="2" s="1"/>
  <c r="H326" i="2"/>
  <c r="I326" i="2" s="1"/>
  <c r="H371" i="2"/>
  <c r="I371" i="2" s="1"/>
  <c r="H367" i="2"/>
  <c r="I367" i="2" s="1"/>
  <c r="H363" i="2"/>
  <c r="I363" i="2" s="1"/>
  <c r="H359" i="2"/>
  <c r="I359" i="2" s="1"/>
  <c r="H355" i="2"/>
  <c r="I355" i="2" s="1"/>
  <c r="H351" i="2"/>
  <c r="I351" i="2" s="1"/>
  <c r="H315" i="2"/>
  <c r="I315" i="2" s="1"/>
  <c r="H311" i="2"/>
  <c r="I311" i="2" s="1"/>
  <c r="H303" i="2"/>
  <c r="I303" i="2" s="1"/>
  <c r="H337" i="2"/>
  <c r="I337" i="2" s="1"/>
  <c r="H333" i="2"/>
  <c r="I333" i="2" s="1"/>
  <c r="H329" i="2"/>
  <c r="I329" i="2" s="1"/>
  <c r="H325" i="2"/>
  <c r="I325" i="2" s="1"/>
  <c r="H370" i="2"/>
  <c r="I370" i="2" s="1"/>
  <c r="H366" i="2"/>
  <c r="I366" i="2" s="1"/>
  <c r="H362" i="2"/>
  <c r="I362" i="2" s="1"/>
  <c r="H358" i="2"/>
  <c r="I358" i="2" s="1"/>
  <c r="H354" i="2"/>
  <c r="I354" i="2" s="1"/>
  <c r="H350" i="2"/>
  <c r="I350" i="2" s="1"/>
  <c r="H314" i="2"/>
  <c r="I314" i="2" s="1"/>
  <c r="H306" i="2"/>
  <c r="I306" i="2" s="1"/>
  <c r="H302" i="2"/>
  <c r="I302" i="2" s="1"/>
  <c r="H332" i="2"/>
  <c r="I332" i="2" s="1"/>
  <c r="H324" i="2"/>
  <c r="I324" i="2" s="1"/>
  <c r="H369" i="2"/>
  <c r="I369" i="2" s="1"/>
  <c r="H361" i="2"/>
  <c r="I361" i="2" s="1"/>
  <c r="H357" i="2"/>
  <c r="I357" i="2" s="1"/>
  <c r="H353" i="2"/>
  <c r="I353" i="2" s="1"/>
  <c r="H349" i="2"/>
  <c r="I349" i="2" s="1"/>
  <c r="H309" i="2"/>
  <c r="I309" i="2" s="1"/>
  <c r="H301" i="2"/>
  <c r="I301" i="2" s="1"/>
  <c r="H339" i="2"/>
  <c r="I339" i="2" s="1"/>
  <c r="H331" i="2"/>
  <c r="I331" i="2" s="1"/>
  <c r="H323" i="2"/>
  <c r="I323" i="2" s="1"/>
  <c r="G48" i="8"/>
  <c r="G92" i="8"/>
  <c r="G204" i="8"/>
  <c r="H194" i="8"/>
  <c r="H147" i="8"/>
  <c r="G41" i="8"/>
  <c r="H41" i="8" s="1"/>
  <c r="G196" i="8"/>
  <c r="H196" i="8" s="1"/>
  <c r="G42" i="8"/>
  <c r="H42" i="8" s="1"/>
  <c r="G84" i="8"/>
  <c r="H84" i="8" s="1"/>
  <c r="G145" i="8"/>
  <c r="H145" i="8" s="1"/>
  <c r="G38" i="8"/>
  <c r="H38" i="8" s="1"/>
  <c r="H81" i="8"/>
  <c r="G193" i="8"/>
  <c r="H193" i="8" s="1"/>
  <c r="G231" i="8"/>
  <c r="H231" i="8" s="1"/>
  <c r="G39" i="8"/>
  <c r="H39" i="8" s="1"/>
  <c r="G82" i="8"/>
  <c r="H82" i="8" s="1"/>
  <c r="G219" i="8"/>
  <c r="H219" i="8" s="1"/>
  <c r="H135" i="8"/>
  <c r="G131" i="8"/>
  <c r="H131" i="8" s="1"/>
  <c r="G33" i="8"/>
  <c r="H33" i="8" s="1"/>
  <c r="G188" i="8"/>
  <c r="H188" i="8" s="1"/>
  <c r="G34" i="8"/>
  <c r="H34" i="8" s="1"/>
  <c r="G189" i="8"/>
  <c r="H189" i="8" s="1"/>
  <c r="H71" i="8"/>
  <c r="G25" i="8"/>
  <c r="H25" i="8" s="1"/>
  <c r="G69" i="8"/>
  <c r="H69" i="8" s="1"/>
  <c r="G111" i="8"/>
  <c r="H111" i="8" s="1"/>
  <c r="G121" i="8"/>
  <c r="H121" i="8" s="1"/>
  <c r="G168" i="8"/>
  <c r="H168" i="8" s="1"/>
  <c r="G179" i="8"/>
  <c r="H179" i="8" s="1"/>
  <c r="G112" i="8"/>
  <c r="H112" i="8" s="1"/>
  <c r="G122" i="8"/>
  <c r="H122" i="8" s="1"/>
  <c r="G169" i="8"/>
  <c r="H169" i="8" s="1"/>
  <c r="G180" i="8"/>
  <c r="H180" i="8" s="1"/>
  <c r="G24" i="8"/>
  <c r="H24" i="8" s="1"/>
  <c r="G68" i="8"/>
  <c r="H68" i="8" s="1"/>
  <c r="G110" i="8"/>
  <c r="H110" i="8" s="1"/>
  <c r="G167" i="8"/>
  <c r="H167" i="8" s="1"/>
  <c r="G14" i="8"/>
  <c r="G58" i="8"/>
  <c r="G108" i="8"/>
  <c r="G177" i="8"/>
  <c r="H177" i="8" s="1"/>
  <c r="G109" i="8"/>
  <c r="H109" i="8" s="1"/>
  <c r="G159" i="8"/>
  <c r="H159" i="8"/>
  <c r="H14" i="8"/>
  <c r="H22" i="8"/>
  <c r="G21" i="8"/>
  <c r="G66" i="8"/>
  <c r="H66" i="8" s="1"/>
  <c r="H119" i="8"/>
  <c r="H91" i="8"/>
  <c r="H195" i="8"/>
  <c r="G140" i="8"/>
  <c r="H140" i="8" s="1"/>
  <c r="G31" i="8"/>
  <c r="H31" i="8" s="1"/>
  <c r="G76" i="8"/>
  <c r="H76" i="8" s="1"/>
  <c r="H163" i="8"/>
  <c r="G10" i="8"/>
  <c r="H10" i="8" s="1"/>
  <c r="G20" i="8"/>
  <c r="H20" i="8" s="1"/>
  <c r="G105" i="8"/>
  <c r="G155" i="8"/>
  <c r="H155" i="8" s="1"/>
  <c r="H95" i="8"/>
  <c r="H8" i="8"/>
  <c r="F7" i="13"/>
  <c r="G7" i="13" s="1"/>
  <c r="H48" i="8"/>
  <c r="G141" i="8"/>
  <c r="H141" i="8" s="1"/>
  <c r="G143" i="8"/>
  <c r="H143" i="8" s="1"/>
  <c r="G35" i="8"/>
  <c r="H35" i="8" s="1"/>
  <c r="G78" i="8"/>
  <c r="H78" i="8" s="1"/>
  <c r="G132" i="8"/>
  <c r="H132" i="8" s="1"/>
  <c r="G191" i="8"/>
  <c r="H191" i="8" s="1"/>
  <c r="G133" i="8"/>
  <c r="H133" i="8" s="1"/>
  <c r="G32" i="8"/>
  <c r="H32" i="8" s="1"/>
  <c r="G128" i="8"/>
  <c r="H128" i="8" s="1"/>
  <c r="G30" i="8"/>
  <c r="H30" i="8" s="1"/>
  <c r="G129" i="8"/>
  <c r="H129" i="8" s="1"/>
  <c r="G185" i="8"/>
  <c r="H185" i="8" s="1"/>
  <c r="G74" i="8"/>
  <c r="H74" i="8" s="1"/>
  <c r="G187" i="8"/>
  <c r="H187" i="8" s="1"/>
  <c r="H127" i="8"/>
  <c r="H176" i="8"/>
  <c r="G107" i="8"/>
  <c r="H107" i="8" s="1"/>
  <c r="G164" i="8"/>
  <c r="H164" i="8" s="1"/>
  <c r="G12" i="8"/>
  <c r="H12" i="8" s="1"/>
  <c r="H18" i="8"/>
  <c r="G54" i="8"/>
  <c r="H54" i="8" s="1"/>
  <c r="H62" i="8"/>
  <c r="G100" i="8"/>
  <c r="H100" i="8" s="1"/>
  <c r="G157" i="8"/>
  <c r="H157" i="8" s="1"/>
  <c r="G11" i="8"/>
  <c r="H11" i="8" s="1"/>
  <c r="G99" i="8"/>
  <c r="H99" i="8" s="1"/>
  <c r="G117" i="8"/>
  <c r="H117" i="8" s="1"/>
  <c r="G156" i="8"/>
  <c r="H156" i="8" s="1"/>
  <c r="G19" i="8"/>
  <c r="H19" i="8" s="1"/>
  <c r="G56" i="8"/>
  <c r="H56" i="8" s="1"/>
  <c r="G64" i="8"/>
  <c r="H64" i="8" s="1"/>
  <c r="G175" i="8"/>
  <c r="H175" i="8" s="1"/>
  <c r="F58" i="13"/>
  <c r="G58" i="13" s="1"/>
  <c r="F68" i="13"/>
  <c r="G68" i="13" s="1"/>
  <c r="F50" i="13"/>
  <c r="G50" i="13" s="1"/>
  <c r="F87" i="13"/>
  <c r="G87" i="13" s="1"/>
  <c r="F29" i="13"/>
  <c r="G29" i="13" s="1"/>
  <c r="F132" i="13"/>
  <c r="F6" i="13"/>
  <c r="G6" i="13" s="1"/>
  <c r="F99" i="3"/>
  <c r="G99" i="3" s="1"/>
  <c r="F98" i="3"/>
  <c r="G98" i="3" s="1"/>
  <c r="F97" i="3"/>
  <c r="G97" i="3" s="1"/>
  <c r="F108" i="3"/>
  <c r="G108" i="3" s="1"/>
  <c r="F109" i="3"/>
  <c r="G109" i="3" s="1"/>
  <c r="F71" i="3"/>
  <c r="G71" i="3" s="1"/>
  <c r="F72" i="3"/>
  <c r="G72" i="3" s="1"/>
  <c r="F80" i="3"/>
  <c r="G80" i="3" s="1"/>
  <c r="F79" i="3"/>
  <c r="G79" i="3" s="1"/>
  <c r="H36" i="7"/>
  <c r="F102" i="3"/>
  <c r="G102" i="3" s="1"/>
  <c r="F100" i="3"/>
  <c r="G100" i="3" s="1"/>
  <c r="F101" i="3"/>
  <c r="G101" i="3" s="1"/>
  <c r="F119" i="3"/>
  <c r="G119" i="3" s="1"/>
  <c r="F118" i="3"/>
  <c r="G118" i="3" s="1"/>
  <c r="F82" i="3"/>
  <c r="G82" i="3" s="1"/>
  <c r="F81" i="3"/>
  <c r="G81" i="3" s="1"/>
  <c r="H314" i="4"/>
  <c r="I314" i="4" s="1"/>
  <c r="H306" i="4"/>
  <c r="I306" i="4" s="1"/>
  <c r="H298" i="4"/>
  <c r="I298" i="4" s="1"/>
  <c r="H294" i="4"/>
  <c r="I294" i="4" s="1"/>
  <c r="H290" i="4"/>
  <c r="I290" i="4" s="1"/>
  <c r="H282" i="4"/>
  <c r="I282" i="4" s="1"/>
  <c r="H278" i="4"/>
  <c r="I278" i="4" s="1"/>
  <c r="H274" i="4"/>
  <c r="I274" i="4" s="1"/>
  <c r="H270" i="4"/>
  <c r="I270" i="4" s="1"/>
  <c r="H266" i="4"/>
  <c r="I266" i="4" s="1"/>
  <c r="H313" i="4"/>
  <c r="I313" i="4" s="1"/>
  <c r="H305" i="4"/>
  <c r="I305" i="4" s="1"/>
  <c r="H301" i="4"/>
  <c r="I301" i="4" s="1"/>
  <c r="H297" i="4"/>
  <c r="I297" i="4" s="1"/>
  <c r="H293" i="4"/>
  <c r="I293" i="4" s="1"/>
  <c r="H289" i="4"/>
  <c r="I289" i="4" s="1"/>
  <c r="H281" i="4"/>
  <c r="I281" i="4" s="1"/>
  <c r="H273" i="4"/>
  <c r="I273" i="4" s="1"/>
  <c r="H269" i="4"/>
  <c r="I269" i="4" s="1"/>
  <c r="H265" i="4"/>
  <c r="I265" i="4" s="1"/>
  <c r="H315" i="4"/>
  <c r="I315" i="4" s="1"/>
  <c r="H307" i="4"/>
  <c r="I307" i="4" s="1"/>
  <c r="H303" i="4"/>
  <c r="I303" i="4" s="1"/>
  <c r="H299" i="4"/>
  <c r="I299" i="4" s="1"/>
  <c r="H295" i="4"/>
  <c r="I295" i="4" s="1"/>
  <c r="H291" i="4"/>
  <c r="I291" i="4" s="1"/>
  <c r="H287" i="4"/>
  <c r="I287" i="4" s="1"/>
  <c r="H283" i="4"/>
  <c r="I283" i="4" s="1"/>
  <c r="H279" i="4"/>
  <c r="I279" i="4" s="1"/>
  <c r="H275" i="4"/>
  <c r="I275" i="4" s="1"/>
  <c r="H271" i="4"/>
  <c r="I271" i="4" s="1"/>
  <c r="H267" i="4"/>
  <c r="I267" i="4" s="1"/>
  <c r="H316" i="4"/>
  <c r="I316" i="4" s="1"/>
  <c r="H300" i="4"/>
  <c r="I300" i="4" s="1"/>
  <c r="H268" i="4"/>
  <c r="I268" i="4" s="1"/>
  <c r="H312" i="4"/>
  <c r="I312" i="4" s="1"/>
  <c r="H296" i="4"/>
  <c r="I296" i="4" s="1"/>
  <c r="H280" i="4"/>
  <c r="I280" i="4" s="1"/>
  <c r="H264" i="4"/>
  <c r="I264" i="4" s="1"/>
  <c r="H308" i="4"/>
  <c r="I308" i="4" s="1"/>
  <c r="H292" i="4"/>
  <c r="I292" i="4" s="1"/>
  <c r="H276" i="4"/>
  <c r="I276" i="4" s="1"/>
  <c r="H304" i="4"/>
  <c r="I304" i="4" s="1"/>
  <c r="H288" i="4"/>
  <c r="I288" i="4" s="1"/>
  <c r="H272" i="4"/>
  <c r="I272" i="4" s="1"/>
  <c r="F92" i="3"/>
  <c r="G92" i="3" s="1"/>
  <c r="F93" i="3"/>
  <c r="G93" i="3" s="1"/>
  <c r="F103" i="3"/>
  <c r="G103" i="3" s="1"/>
  <c r="F104" i="3"/>
  <c r="G104" i="3" s="1"/>
  <c r="F105" i="3"/>
  <c r="G105" i="3" s="1"/>
  <c r="F123" i="3"/>
  <c r="G123" i="3" s="1"/>
  <c r="F122" i="3"/>
  <c r="G122" i="3" s="1"/>
  <c r="F124" i="3"/>
  <c r="G124" i="3" s="1"/>
  <c r="F120" i="3"/>
  <c r="G120" i="3" s="1"/>
  <c r="F121" i="3"/>
  <c r="G121" i="3" s="1"/>
  <c r="F83" i="3"/>
  <c r="G83" i="3" s="1"/>
  <c r="F84" i="3"/>
  <c r="G84" i="3" s="1"/>
  <c r="F91" i="3"/>
  <c r="G91" i="3" s="1"/>
  <c r="F90" i="3"/>
  <c r="G90" i="3" s="1"/>
  <c r="F88" i="3"/>
  <c r="G88" i="3" s="1"/>
  <c r="F89" i="3"/>
  <c r="G89" i="3" s="1"/>
  <c r="H318" i="4"/>
  <c r="I318" i="4" s="1"/>
  <c r="H310" i="4"/>
  <c r="I310" i="4" s="1"/>
  <c r="H302" i="4"/>
  <c r="I302" i="4" s="1"/>
  <c r="H286" i="4"/>
  <c r="I286" i="4" s="1"/>
  <c r="H317" i="4"/>
  <c r="I317" i="4" s="1"/>
  <c r="H309" i="4"/>
  <c r="I309" i="4" s="1"/>
  <c r="H285" i="4"/>
  <c r="I285" i="4" s="1"/>
  <c r="H277" i="4"/>
  <c r="I277" i="4" s="1"/>
  <c r="H319" i="4"/>
  <c r="I319" i="4" s="1"/>
  <c r="H311" i="4"/>
  <c r="I311" i="4" s="1"/>
  <c r="H284" i="4"/>
  <c r="I284" i="4" s="1"/>
  <c r="F95" i="3"/>
  <c r="G95" i="3" s="1"/>
  <c r="F94" i="3"/>
  <c r="G94" i="3" s="1"/>
  <c r="F96" i="3"/>
  <c r="G96" i="3" s="1"/>
  <c r="F107" i="3"/>
  <c r="G107" i="3" s="1"/>
  <c r="F106" i="3"/>
  <c r="G106" i="3" s="1"/>
  <c r="F115" i="3"/>
  <c r="G115" i="3" s="1"/>
  <c r="F111" i="3"/>
  <c r="G111" i="3" s="1"/>
  <c r="F114" i="3"/>
  <c r="G114" i="3" s="1"/>
  <c r="F116" i="3"/>
  <c r="G116" i="3" s="1"/>
  <c r="F112" i="3"/>
  <c r="G112" i="3" s="1"/>
  <c r="F113" i="3"/>
  <c r="G113" i="3" s="1"/>
  <c r="F70" i="3"/>
  <c r="G70" i="3" s="1"/>
  <c r="F69" i="3"/>
  <c r="G69" i="3" s="1"/>
  <c r="F75" i="3"/>
  <c r="G75" i="3" s="1"/>
  <c r="F78" i="3"/>
  <c r="G78" i="3" s="1"/>
  <c r="F77" i="3"/>
  <c r="G77" i="3" s="1"/>
  <c r="F76" i="3"/>
  <c r="G76" i="3" s="1"/>
  <c r="F129" i="13"/>
  <c r="G129" i="13" s="1"/>
  <c r="H46" i="8"/>
  <c r="H58" i="8"/>
  <c r="H86" i="8"/>
  <c r="H114" i="8"/>
  <c r="H146" i="8"/>
  <c r="H182" i="8"/>
  <c r="H226" i="8"/>
  <c r="H230" i="8"/>
  <c r="H7" i="8"/>
  <c r="H15" i="8"/>
  <c r="H27" i="8"/>
  <c r="G43" i="8"/>
  <c r="H43" i="8" s="1"/>
  <c r="G52" i="8"/>
  <c r="H52" i="8" s="1"/>
  <c r="H61" i="8"/>
  <c r="H70" i="8"/>
  <c r="G89" i="8"/>
  <c r="H89" i="8" s="1"/>
  <c r="G104" i="8"/>
  <c r="H104" i="8" s="1"/>
  <c r="H113" i="8"/>
  <c r="H126" i="8"/>
  <c r="G149" i="8"/>
  <c r="H149" i="8" s="1"/>
  <c r="G153" i="8"/>
  <c r="H153" i="8" s="1"/>
  <c r="H172" i="8"/>
  <c r="H181" i="8"/>
  <c r="G199" i="8"/>
  <c r="H199" i="8" s="1"/>
  <c r="H212" i="8"/>
  <c r="H216" i="8"/>
  <c r="H225" i="8"/>
  <c r="H229" i="8"/>
  <c r="G154" i="8"/>
  <c r="H154" i="8" s="1"/>
  <c r="H209" i="8"/>
  <c r="H213" i="8"/>
  <c r="H222" i="8"/>
  <c r="H139" i="8"/>
  <c r="H221" i="8"/>
  <c r="G255" i="8"/>
  <c r="H255" i="8" s="1"/>
  <c r="G251" i="8"/>
  <c r="H251" i="8" s="1"/>
  <c r="G245" i="8"/>
  <c r="H245" i="8" s="1"/>
  <c r="G235" i="8"/>
  <c r="H235" i="8" s="1"/>
  <c r="G254" i="8"/>
  <c r="H254" i="8" s="1"/>
  <c r="G244" i="8"/>
  <c r="H244" i="8" s="1"/>
  <c r="G234" i="8"/>
  <c r="H234" i="8" s="1"/>
  <c r="G253" i="8"/>
  <c r="H253" i="8" s="1"/>
  <c r="G243" i="8"/>
  <c r="H243" i="8" s="1"/>
  <c r="H237" i="8"/>
  <c r="G233" i="8"/>
  <c r="H233" i="8" s="1"/>
  <c r="G252" i="8"/>
  <c r="H252" i="8" s="1"/>
  <c r="H246" i="8"/>
  <c r="G242" i="8"/>
  <c r="H242" i="8" s="1"/>
  <c r="G236" i="8"/>
  <c r="H236" i="8" s="1"/>
  <c r="H28" i="8"/>
  <c r="H36" i="8"/>
  <c r="H40" i="8"/>
  <c r="G9" i="8"/>
  <c r="H9" i="8" s="1"/>
  <c r="H17" i="8"/>
  <c r="H29" i="8"/>
  <c r="G45" i="8"/>
  <c r="H45" i="8" s="1"/>
  <c r="H59" i="8"/>
  <c r="H72" i="8"/>
  <c r="G87" i="8"/>
  <c r="H87" i="8" s="1"/>
  <c r="G96" i="8"/>
  <c r="H96" i="8" s="1"/>
  <c r="H115" i="8"/>
  <c r="H124" i="8"/>
  <c r="G138" i="8"/>
  <c r="H138" i="8" s="1"/>
  <c r="G151" i="8"/>
  <c r="H151" i="8" s="1"/>
  <c r="H160" i="8"/>
  <c r="H170" i="8"/>
  <c r="H183" i="8"/>
  <c r="G197" i="8"/>
  <c r="H197" i="8" s="1"/>
  <c r="H210" i="8"/>
  <c r="H214" i="8"/>
  <c r="H223" i="8"/>
  <c r="H227" i="8"/>
  <c r="G241" i="8"/>
  <c r="H241" i="8" s="1"/>
  <c r="G250" i="8"/>
  <c r="H250" i="8" s="1"/>
  <c r="G259" i="8"/>
  <c r="H259" i="8" s="1"/>
  <c r="H173" i="8"/>
  <c r="H26" i="8"/>
  <c r="H51" i="8"/>
  <c r="H60" i="8"/>
  <c r="H73" i="8"/>
  <c r="G88" i="8"/>
  <c r="H88" i="8" s="1"/>
  <c r="G97" i="8"/>
  <c r="H97" i="8" s="1"/>
  <c r="H103" i="8"/>
  <c r="H125" i="8"/>
  <c r="G148" i="8"/>
  <c r="H148" i="8" s="1"/>
  <c r="H152" i="8"/>
  <c r="G161" i="8"/>
  <c r="H161" i="8" s="1"/>
  <c r="H171" i="8"/>
  <c r="H211" i="8"/>
  <c r="H215" i="8"/>
  <c r="H224" i="8"/>
  <c r="H228" i="8"/>
  <c r="G166" i="8"/>
  <c r="H166" i="8" s="1"/>
  <c r="G83" i="8"/>
  <c r="H83" i="8" s="1"/>
  <c r="H240" i="8"/>
  <c r="G249" i="8"/>
  <c r="H249" i="8" s="1"/>
  <c r="G258" i="8"/>
  <c r="H258" i="8" s="1"/>
  <c r="F153" i="13"/>
  <c r="G153" i="13" s="1"/>
  <c r="F165" i="13"/>
  <c r="G165" i="13" s="1"/>
  <c r="F38" i="13"/>
  <c r="G38" i="13" s="1"/>
  <c r="F43" i="13"/>
  <c r="G43" i="13" s="1"/>
  <c r="F51" i="13"/>
  <c r="G51" i="13" s="1"/>
  <c r="F59" i="13"/>
  <c r="G59" i="13" s="1"/>
  <c r="F64" i="13"/>
  <c r="G64" i="13" s="1"/>
  <c r="F133" i="13"/>
  <c r="G133" i="13" s="1"/>
  <c r="F151" i="13"/>
  <c r="G151" i="13" s="1"/>
  <c r="F163" i="13"/>
  <c r="G163" i="13" s="1"/>
  <c r="F142" i="13"/>
  <c r="G142" i="13" s="1"/>
  <c r="F33" i="13"/>
  <c r="G33" i="13" s="1"/>
  <c r="F60" i="13"/>
  <c r="G60" i="13" s="1"/>
  <c r="F65" i="13"/>
  <c r="G65" i="13" s="1"/>
  <c r="F94" i="13"/>
  <c r="G94" i="13" s="1"/>
  <c r="F110" i="13"/>
  <c r="G110" i="13" s="1"/>
  <c r="G118" i="13"/>
  <c r="F160" i="13"/>
  <c r="G160" i="13" s="1"/>
  <c r="F152" i="13"/>
  <c r="G152" i="13" s="1"/>
  <c r="F164" i="13"/>
  <c r="G164" i="13" s="1"/>
  <c r="F22" i="13"/>
  <c r="G22" i="13" s="1"/>
  <c r="F28" i="13"/>
  <c r="G28" i="13" s="1"/>
  <c r="F57" i="13"/>
  <c r="G57" i="13" s="1"/>
  <c r="F72" i="13"/>
  <c r="G72" i="13" s="1"/>
  <c r="F80" i="13"/>
  <c r="G80" i="13" s="1"/>
  <c r="F92" i="13"/>
  <c r="G92" i="13" s="1"/>
  <c r="F18" i="13"/>
  <c r="G18" i="13" s="1"/>
  <c r="G26" i="13"/>
  <c r="H204" i="8"/>
  <c r="H220" i="8"/>
  <c r="H232" i="8"/>
  <c r="H53" i="8"/>
  <c r="H192" i="8"/>
  <c r="H65" i="8"/>
  <c r="H184" i="8"/>
  <c r="H174" i="8"/>
  <c r="H186" i="8"/>
  <c r="H202" i="8"/>
  <c r="H80" i="8"/>
  <c r="H92" i="8"/>
  <c r="H108" i="8"/>
  <c r="H120" i="8"/>
  <c r="H144" i="8"/>
  <c r="H13" i="8"/>
  <c r="H21" i="8"/>
  <c r="H37" i="8"/>
  <c r="H57" i="8"/>
  <c r="H85" i="8"/>
  <c r="H101" i="8"/>
  <c r="H105" i="8"/>
  <c r="H137" i="8"/>
  <c r="H165" i="8"/>
  <c r="H201" i="8"/>
  <c r="H217" i="8"/>
  <c r="G55" i="8"/>
  <c r="H55" i="8" s="1"/>
  <c r="H63" i="8"/>
  <c r="G75" i="8"/>
  <c r="H75" i="8" s="1"/>
  <c r="G79" i="8"/>
  <c r="H79" i="8" s="1"/>
  <c r="G47" i="8"/>
  <c r="H47" i="8" s="1"/>
  <c r="G90" i="8"/>
  <c r="H90" i="8" s="1"/>
  <c r="G98" i="8"/>
  <c r="H98" i="8" s="1"/>
  <c r="G102" i="8"/>
  <c r="H102" i="8" s="1"/>
  <c r="G106" i="8"/>
  <c r="H106" i="8" s="1"/>
  <c r="G118" i="8"/>
  <c r="H118" i="8" s="1"/>
  <c r="G130" i="8"/>
  <c r="H130" i="8" s="1"/>
  <c r="G134" i="8"/>
  <c r="H134" i="8" s="1"/>
  <c r="G158" i="8"/>
  <c r="H158" i="8" s="1"/>
  <c r="G162" i="8"/>
  <c r="H162" i="8" s="1"/>
  <c r="H116" i="8"/>
  <c r="H136" i="8"/>
  <c r="H16" i="8"/>
  <c r="F27" i="13"/>
  <c r="G27" i="13" s="1"/>
  <c r="F82" i="13"/>
  <c r="G82" i="13" s="1"/>
  <c r="F119" i="13"/>
  <c r="G119" i="13" s="1"/>
  <c r="G123" i="13"/>
  <c r="F127" i="13"/>
  <c r="G127" i="13" s="1"/>
  <c r="F131" i="13"/>
  <c r="G131" i="13" s="1"/>
  <c r="F155" i="13"/>
  <c r="G155" i="13" s="1"/>
  <c r="F159" i="13"/>
  <c r="G159" i="13" s="1"/>
  <c r="F167" i="13"/>
  <c r="G167" i="13" s="1"/>
  <c r="G53" i="13"/>
  <c r="F157" i="13"/>
  <c r="G157" i="13" s="1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69" i="4"/>
  <c r="H170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27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7" i="2"/>
  <c r="F63" i="3"/>
  <c r="G63" i="3" s="1"/>
  <c r="F62" i="3"/>
  <c r="G62" i="3" s="1"/>
  <c r="F61" i="3"/>
  <c r="G61" i="3" s="1"/>
  <c r="F60" i="3"/>
  <c r="G60" i="3" s="1"/>
  <c r="F59" i="3"/>
  <c r="G59" i="3" s="1"/>
  <c r="F58" i="3"/>
  <c r="G58" i="3" s="1"/>
  <c r="F57" i="3"/>
  <c r="G57" i="3" s="1"/>
  <c r="F56" i="3"/>
  <c r="G56" i="3" s="1"/>
  <c r="F55" i="3"/>
  <c r="G55" i="3" s="1"/>
  <c r="F54" i="3"/>
  <c r="G54" i="3" s="1"/>
  <c r="F53" i="3"/>
  <c r="G53" i="3" s="1"/>
  <c r="F52" i="3"/>
  <c r="G52" i="3" s="1"/>
  <c r="F51" i="3"/>
  <c r="G51" i="3" s="1"/>
  <c r="F50" i="3"/>
  <c r="G50" i="3" s="1"/>
  <c r="F49" i="3"/>
  <c r="G49" i="3" s="1"/>
  <c r="F48" i="3"/>
  <c r="G48" i="3" s="1"/>
  <c r="F47" i="3"/>
  <c r="G47" i="3" s="1"/>
  <c r="F46" i="3"/>
  <c r="G46" i="3" s="1"/>
  <c r="F45" i="3"/>
  <c r="G45" i="3" s="1"/>
  <c r="F44" i="3"/>
  <c r="G44" i="3" s="1"/>
  <c r="F43" i="3"/>
  <c r="G43" i="3" s="1"/>
  <c r="F42" i="3"/>
  <c r="G42" i="3" s="1"/>
  <c r="F41" i="3"/>
  <c r="G41" i="3" s="1"/>
  <c r="F39" i="3"/>
  <c r="G39" i="3" s="1"/>
  <c r="F38" i="3"/>
  <c r="G38" i="3" s="1"/>
  <c r="F37" i="3"/>
  <c r="G37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F30" i="3"/>
  <c r="G30" i="3" s="1"/>
  <c r="F29" i="3"/>
  <c r="G29" i="3" s="1"/>
  <c r="F28" i="3"/>
  <c r="G28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8" i="3"/>
  <c r="G8" i="3" s="1"/>
  <c r="F7" i="3"/>
  <c r="G7" i="3" s="1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233" i="5"/>
  <c r="G233" i="5" s="1"/>
  <c r="E232" i="5"/>
  <c r="G232" i="5" s="1"/>
  <c r="E231" i="5"/>
  <c r="G231" i="5" s="1"/>
  <c r="E230" i="5"/>
  <c r="G230" i="5" s="1"/>
  <c r="E229" i="5"/>
  <c r="G229" i="5" s="1"/>
  <c r="E228" i="5"/>
  <c r="G228" i="5" s="1"/>
  <c r="E227" i="5"/>
  <c r="G227" i="5" s="1"/>
  <c r="E226" i="5"/>
  <c r="G226" i="5" s="1"/>
  <c r="E225" i="5"/>
  <c r="G225" i="5" s="1"/>
  <c r="E224" i="5"/>
  <c r="G224" i="5" s="1"/>
  <c r="E223" i="5"/>
  <c r="G223" i="5" s="1"/>
  <c r="E222" i="5"/>
  <c r="G222" i="5" s="1"/>
  <c r="E221" i="5"/>
  <c r="G221" i="5" s="1"/>
  <c r="E220" i="5"/>
  <c r="G220" i="5" s="1"/>
  <c r="E219" i="5"/>
  <c r="G219" i="5" s="1"/>
  <c r="E218" i="5"/>
  <c r="G218" i="5" s="1"/>
  <c r="E217" i="5"/>
  <c r="G217" i="5" s="1"/>
  <c r="E216" i="5"/>
  <c r="G216" i="5" s="1"/>
  <c r="E215" i="5"/>
  <c r="G215" i="5" s="1"/>
  <c r="E214" i="5"/>
  <c r="G214" i="5" s="1"/>
  <c r="E213" i="5"/>
  <c r="G213" i="5" s="1"/>
  <c r="E212" i="5"/>
  <c r="G212" i="5" s="1"/>
  <c r="E211" i="5"/>
  <c r="G211" i="5" s="1"/>
  <c r="E210" i="5"/>
  <c r="G210" i="5" s="1"/>
  <c r="E209" i="5"/>
  <c r="G209" i="5" s="1"/>
  <c r="E208" i="5"/>
  <c r="G208" i="5" s="1"/>
  <c r="E207" i="5"/>
  <c r="G207" i="5" s="1"/>
  <c r="E206" i="5"/>
  <c r="G206" i="5" s="1"/>
  <c r="E205" i="5"/>
  <c r="G205" i="5" s="1"/>
  <c r="E204" i="5"/>
  <c r="G204" i="5" s="1"/>
  <c r="E203" i="5"/>
  <c r="G203" i="5" s="1"/>
  <c r="E202" i="5"/>
  <c r="G202" i="5" s="1"/>
  <c r="E201" i="5"/>
  <c r="G201" i="5" s="1"/>
  <c r="E200" i="5"/>
  <c r="G200" i="5" s="1"/>
  <c r="E199" i="5"/>
  <c r="G199" i="5" s="1"/>
  <c r="E198" i="5"/>
  <c r="G198" i="5" s="1"/>
  <c r="E197" i="5"/>
  <c r="G197" i="5" s="1"/>
  <c r="E196" i="5"/>
  <c r="G196" i="5" s="1"/>
  <c r="E195" i="5"/>
  <c r="G195" i="5" s="1"/>
  <c r="E194" i="5"/>
  <c r="G194" i="5" s="1"/>
  <c r="E193" i="5"/>
  <c r="G193" i="5" s="1"/>
  <c r="E192" i="5"/>
  <c r="G192" i="5" s="1"/>
  <c r="E191" i="5"/>
  <c r="G191" i="5" s="1"/>
  <c r="E190" i="5"/>
  <c r="G190" i="5" s="1"/>
  <c r="E189" i="5"/>
  <c r="G189" i="5" s="1"/>
  <c r="E188" i="5"/>
  <c r="G188" i="5" s="1"/>
  <c r="E187" i="5"/>
  <c r="G187" i="5" s="1"/>
  <c r="E186" i="5"/>
  <c r="G186" i="5" s="1"/>
  <c r="E185" i="5"/>
  <c r="G185" i="5" s="1"/>
  <c r="E184" i="5"/>
  <c r="G184" i="5" s="1"/>
  <c r="E183" i="5"/>
  <c r="G183" i="5" s="1"/>
  <c r="E182" i="5"/>
  <c r="G182" i="5" s="1"/>
  <c r="E181" i="5"/>
  <c r="G181" i="5" s="1"/>
  <c r="E180" i="5"/>
  <c r="G180" i="5" s="1"/>
  <c r="E179" i="5"/>
  <c r="G179" i="5" s="1"/>
  <c r="E178" i="5"/>
  <c r="G178" i="5" s="1"/>
  <c r="E177" i="5"/>
  <c r="G177" i="5" s="1"/>
  <c r="E176" i="5"/>
  <c r="G176" i="5" s="1"/>
  <c r="E175" i="5"/>
  <c r="G175" i="5" s="1"/>
  <c r="E174" i="5"/>
  <c r="G174" i="5" s="1"/>
  <c r="E173" i="5"/>
  <c r="G173" i="5" s="1"/>
  <c r="E172" i="5"/>
  <c r="G172" i="5" s="1"/>
  <c r="E171" i="5"/>
  <c r="G171" i="5" s="1"/>
  <c r="E170" i="5"/>
  <c r="G170" i="5" s="1"/>
  <c r="E169" i="5"/>
  <c r="G169" i="5" s="1"/>
  <c r="E168" i="5"/>
  <c r="G168" i="5" s="1"/>
  <c r="E167" i="5"/>
  <c r="G167" i="5" s="1"/>
  <c r="E166" i="5"/>
  <c r="G166" i="5" s="1"/>
  <c r="E165" i="5"/>
  <c r="G165" i="5" s="1"/>
  <c r="E164" i="5"/>
  <c r="G164" i="5" s="1"/>
  <c r="E163" i="5"/>
  <c r="G163" i="5" s="1"/>
  <c r="E162" i="5"/>
  <c r="G162" i="5" s="1"/>
  <c r="E161" i="5"/>
  <c r="G161" i="5" s="1"/>
  <c r="E160" i="5"/>
  <c r="G160" i="5" s="1"/>
  <c r="E159" i="5"/>
  <c r="G159" i="5" s="1"/>
  <c r="E158" i="5"/>
  <c r="G158" i="5" s="1"/>
  <c r="E157" i="5"/>
  <c r="G157" i="5" s="1"/>
  <c r="E156" i="5"/>
  <c r="G156" i="5" s="1"/>
  <c r="E155" i="5"/>
  <c r="G155" i="5" s="1"/>
  <c r="E154" i="5"/>
  <c r="G154" i="5" s="1"/>
  <c r="E153" i="5"/>
  <c r="G153" i="5" s="1"/>
  <c r="E152" i="5"/>
  <c r="G152" i="5" s="1"/>
  <c r="E151" i="5"/>
  <c r="G151" i="5" s="1"/>
  <c r="E150" i="5"/>
  <c r="G150" i="5" s="1"/>
  <c r="E149" i="5"/>
  <c r="G149" i="5" s="1"/>
  <c r="E148" i="5"/>
  <c r="G148" i="5" s="1"/>
  <c r="E147" i="5"/>
  <c r="G147" i="5" s="1"/>
  <c r="E146" i="5"/>
  <c r="G146" i="5" s="1"/>
  <c r="E145" i="5"/>
  <c r="G145" i="5" s="1"/>
  <c r="E144" i="5"/>
  <c r="G144" i="5" s="1"/>
  <c r="E143" i="5"/>
  <c r="G143" i="5" s="1"/>
  <c r="E142" i="5"/>
  <c r="G142" i="5" s="1"/>
  <c r="E141" i="5"/>
  <c r="G141" i="5" s="1"/>
  <c r="E140" i="5"/>
  <c r="G140" i="5" s="1"/>
  <c r="E139" i="5"/>
  <c r="G139" i="5" s="1"/>
  <c r="E138" i="5"/>
  <c r="G138" i="5" s="1"/>
  <c r="E137" i="5"/>
  <c r="G137" i="5" s="1"/>
  <c r="E136" i="5"/>
  <c r="G136" i="5" s="1"/>
  <c r="E135" i="5"/>
  <c r="G135" i="5" s="1"/>
  <c r="E134" i="5"/>
  <c r="G134" i="5" s="1"/>
  <c r="E133" i="5"/>
  <c r="G133" i="5" s="1"/>
  <c r="E132" i="5"/>
  <c r="G132" i="5" s="1"/>
  <c r="E131" i="5"/>
  <c r="G131" i="5" s="1"/>
  <c r="E130" i="5"/>
  <c r="G130" i="5" s="1"/>
  <c r="E129" i="5"/>
  <c r="G129" i="5" s="1"/>
  <c r="E128" i="5"/>
  <c r="G128" i="5" s="1"/>
  <c r="E127" i="5"/>
  <c r="G127" i="5" s="1"/>
  <c r="E126" i="5"/>
  <c r="G126" i="5" s="1"/>
  <c r="E125" i="5"/>
  <c r="G125" i="5" s="1"/>
  <c r="E124" i="5"/>
  <c r="G124" i="5" s="1"/>
  <c r="E123" i="5"/>
  <c r="G123" i="5" s="1"/>
  <c r="E122" i="5"/>
  <c r="G122" i="5" s="1"/>
  <c r="E121" i="5"/>
  <c r="G121" i="5" s="1"/>
  <c r="E120" i="5"/>
  <c r="G120" i="5" s="1"/>
  <c r="E119" i="5"/>
  <c r="G119" i="5" s="1"/>
  <c r="E118" i="5"/>
  <c r="G118" i="5" s="1"/>
  <c r="E117" i="5"/>
  <c r="G117" i="5" s="1"/>
  <c r="E116" i="5"/>
  <c r="G116" i="5" s="1"/>
  <c r="E115" i="5"/>
  <c r="G115" i="5" s="1"/>
  <c r="E114" i="5"/>
  <c r="G114" i="5" s="1"/>
  <c r="E113" i="5"/>
  <c r="G113" i="5" s="1"/>
  <c r="E112" i="5"/>
  <c r="G112" i="5" s="1"/>
  <c r="E111" i="5"/>
  <c r="G111" i="5" s="1"/>
  <c r="E110" i="5"/>
  <c r="G110" i="5" s="1"/>
  <c r="E109" i="5"/>
  <c r="G109" i="5" s="1"/>
  <c r="E108" i="5"/>
  <c r="G108" i="5" s="1"/>
  <c r="E107" i="5"/>
  <c r="G107" i="5" s="1"/>
  <c r="E106" i="5"/>
  <c r="G106" i="5" s="1"/>
  <c r="E105" i="5"/>
  <c r="G105" i="5" s="1"/>
  <c r="E104" i="5"/>
  <c r="G104" i="5" s="1"/>
  <c r="E103" i="5"/>
  <c r="G103" i="5" s="1"/>
  <c r="E102" i="5"/>
  <c r="G102" i="5" s="1"/>
  <c r="E101" i="5"/>
  <c r="G101" i="5" s="1"/>
  <c r="E100" i="5"/>
  <c r="G100" i="5" s="1"/>
  <c r="E99" i="5"/>
  <c r="G99" i="5" s="1"/>
  <c r="E98" i="5"/>
  <c r="G98" i="5" s="1"/>
  <c r="E97" i="5"/>
  <c r="G97" i="5" s="1"/>
  <c r="E96" i="5"/>
  <c r="G96" i="5" s="1"/>
  <c r="E95" i="5"/>
  <c r="G95" i="5" s="1"/>
  <c r="E94" i="5"/>
  <c r="G94" i="5" s="1"/>
  <c r="E93" i="5"/>
  <c r="G93" i="5" s="1"/>
  <c r="E92" i="5"/>
  <c r="G92" i="5" s="1"/>
  <c r="E91" i="5"/>
  <c r="G91" i="5" s="1"/>
  <c r="E90" i="5"/>
  <c r="G90" i="5" s="1"/>
  <c r="E89" i="5"/>
  <c r="G89" i="5" s="1"/>
  <c r="E88" i="5"/>
  <c r="G88" i="5" s="1"/>
  <c r="E87" i="5"/>
  <c r="G87" i="5" s="1"/>
  <c r="E86" i="5"/>
  <c r="G86" i="5" s="1"/>
  <c r="E85" i="5"/>
  <c r="G85" i="5" s="1"/>
  <c r="E84" i="5"/>
  <c r="G84" i="5" s="1"/>
  <c r="E83" i="5"/>
  <c r="G83" i="5" s="1"/>
  <c r="E82" i="5"/>
  <c r="G82" i="5" s="1"/>
  <c r="E81" i="5"/>
  <c r="G81" i="5" s="1"/>
  <c r="E80" i="5"/>
  <c r="G80" i="5" s="1"/>
  <c r="E79" i="5"/>
  <c r="G79" i="5" s="1"/>
  <c r="E78" i="5"/>
  <c r="G78" i="5" s="1"/>
  <c r="E77" i="5"/>
  <c r="G77" i="5" s="1"/>
  <c r="E76" i="5"/>
  <c r="G76" i="5" s="1"/>
  <c r="E75" i="5"/>
  <c r="G75" i="5" s="1"/>
  <c r="E74" i="5"/>
  <c r="G74" i="5" s="1"/>
  <c r="E73" i="5"/>
  <c r="G73" i="5" s="1"/>
  <c r="E72" i="5"/>
  <c r="G72" i="5" s="1"/>
  <c r="E71" i="5"/>
  <c r="G71" i="5" s="1"/>
  <c r="E70" i="5"/>
  <c r="G70" i="5" s="1"/>
  <c r="E69" i="5"/>
  <c r="G69" i="5" s="1"/>
  <c r="E68" i="5"/>
  <c r="G68" i="5" s="1"/>
  <c r="E67" i="5"/>
  <c r="G67" i="5" s="1"/>
  <c r="E66" i="5"/>
  <c r="G66" i="5" s="1"/>
  <c r="E65" i="5"/>
  <c r="G65" i="5" s="1"/>
  <c r="E64" i="5"/>
  <c r="G64" i="5" s="1"/>
  <c r="E63" i="5"/>
  <c r="G63" i="5" s="1"/>
  <c r="E62" i="5"/>
  <c r="G62" i="5" s="1"/>
  <c r="E61" i="5"/>
  <c r="G61" i="5" s="1"/>
  <c r="E60" i="5"/>
  <c r="G60" i="5" s="1"/>
  <c r="E59" i="5"/>
  <c r="G59" i="5" s="1"/>
  <c r="E58" i="5"/>
  <c r="G58" i="5" s="1"/>
  <c r="E57" i="5"/>
  <c r="G57" i="5" s="1"/>
  <c r="E56" i="5"/>
  <c r="G56" i="5" s="1"/>
  <c r="E55" i="5"/>
  <c r="G55" i="5" s="1"/>
  <c r="E54" i="5"/>
  <c r="G54" i="5" s="1"/>
  <c r="E53" i="5"/>
  <c r="G53" i="5" s="1"/>
  <c r="E52" i="5"/>
  <c r="G52" i="5" s="1"/>
  <c r="E51" i="5"/>
  <c r="G51" i="5" s="1"/>
  <c r="E50" i="5"/>
  <c r="G50" i="5" s="1"/>
  <c r="E49" i="5"/>
  <c r="G49" i="5" s="1"/>
  <c r="E48" i="5"/>
  <c r="G48" i="5" s="1"/>
  <c r="E47" i="5"/>
  <c r="G47" i="5" s="1"/>
  <c r="E46" i="5"/>
  <c r="G46" i="5" s="1"/>
  <c r="E45" i="5"/>
  <c r="G45" i="5" s="1"/>
  <c r="E44" i="5"/>
  <c r="G44" i="5" s="1"/>
  <c r="E43" i="5"/>
  <c r="G43" i="5" s="1"/>
  <c r="E42" i="5"/>
  <c r="G42" i="5" s="1"/>
  <c r="E41" i="5"/>
  <c r="G41" i="5" s="1"/>
  <c r="E40" i="5"/>
  <c r="G40" i="5" s="1"/>
  <c r="E39" i="5"/>
  <c r="G39" i="5" s="1"/>
  <c r="E38" i="5"/>
  <c r="G38" i="5" s="1"/>
  <c r="E37" i="5"/>
  <c r="G37" i="5" s="1"/>
  <c r="E36" i="5"/>
  <c r="G36" i="5" s="1"/>
  <c r="E35" i="5"/>
  <c r="G35" i="5" s="1"/>
  <c r="E34" i="5"/>
  <c r="G34" i="5" s="1"/>
  <c r="E33" i="5"/>
  <c r="G33" i="5" s="1"/>
  <c r="E32" i="5"/>
  <c r="G32" i="5" s="1"/>
  <c r="E31" i="5"/>
  <c r="G31" i="5" s="1"/>
  <c r="E30" i="5"/>
  <c r="G30" i="5" s="1"/>
  <c r="E29" i="5"/>
  <c r="G29" i="5" s="1"/>
  <c r="E28" i="5"/>
  <c r="G28" i="5" s="1"/>
  <c r="E27" i="5"/>
  <c r="G27" i="5" s="1"/>
  <c r="E26" i="5"/>
  <c r="G26" i="5" s="1"/>
  <c r="E25" i="5"/>
  <c r="G25" i="5" s="1"/>
  <c r="E24" i="5"/>
  <c r="G24" i="5" s="1"/>
  <c r="E23" i="5"/>
  <c r="G23" i="5" s="1"/>
  <c r="E22" i="5"/>
  <c r="G22" i="5" s="1"/>
  <c r="E21" i="5"/>
  <c r="G21" i="5" s="1"/>
  <c r="E20" i="5"/>
  <c r="G20" i="5" s="1"/>
  <c r="E19" i="5"/>
  <c r="G19" i="5" s="1"/>
  <c r="E18" i="5"/>
  <c r="G18" i="5" s="1"/>
  <c r="E17" i="5"/>
  <c r="G17" i="5" s="1"/>
  <c r="E16" i="5"/>
  <c r="G16" i="5" s="1"/>
  <c r="E15" i="5"/>
  <c r="G15" i="5" s="1"/>
  <c r="E14" i="5"/>
  <c r="G14" i="5" s="1"/>
  <c r="E13" i="5"/>
  <c r="G13" i="5" s="1"/>
  <c r="E12" i="5"/>
  <c r="G12" i="5" s="1"/>
  <c r="E11" i="5"/>
  <c r="G11" i="5" s="1"/>
  <c r="E10" i="5"/>
  <c r="G10" i="5" s="1"/>
  <c r="E9" i="5"/>
  <c r="G9" i="5" s="1"/>
  <c r="E8" i="5"/>
  <c r="G8" i="5" s="1"/>
  <c r="E232" i="4"/>
  <c r="G232" i="4" s="1"/>
  <c r="E231" i="4"/>
  <c r="G231" i="4" s="1"/>
  <c r="E230" i="4"/>
  <c r="G230" i="4" s="1"/>
  <c r="E229" i="4"/>
  <c r="G229" i="4" s="1"/>
  <c r="E228" i="4"/>
  <c r="G228" i="4" s="1"/>
  <c r="E227" i="4"/>
  <c r="G227" i="4" s="1"/>
  <c r="E226" i="4"/>
  <c r="G226" i="4" s="1"/>
  <c r="E225" i="4"/>
  <c r="G225" i="4" s="1"/>
  <c r="E224" i="4"/>
  <c r="G224" i="4" s="1"/>
  <c r="E223" i="4"/>
  <c r="G223" i="4" s="1"/>
  <c r="E222" i="4"/>
  <c r="G222" i="4" s="1"/>
  <c r="E221" i="4"/>
  <c r="G221" i="4" s="1"/>
  <c r="E220" i="4"/>
  <c r="G220" i="4" s="1"/>
  <c r="E219" i="4"/>
  <c r="G219" i="4" s="1"/>
  <c r="E218" i="4"/>
  <c r="G218" i="4" s="1"/>
  <c r="E217" i="4"/>
  <c r="G217" i="4" s="1"/>
  <c r="E216" i="4"/>
  <c r="G216" i="4" s="1"/>
  <c r="E215" i="4"/>
  <c r="G215" i="4" s="1"/>
  <c r="E214" i="4"/>
  <c r="G214" i="4" s="1"/>
  <c r="E213" i="4"/>
  <c r="G213" i="4" s="1"/>
  <c r="E212" i="4"/>
  <c r="G212" i="4" s="1"/>
  <c r="E211" i="4"/>
  <c r="G211" i="4" s="1"/>
  <c r="E210" i="4"/>
  <c r="G210" i="4" s="1"/>
  <c r="E209" i="4"/>
  <c r="G209" i="4" s="1"/>
  <c r="E208" i="4"/>
  <c r="G208" i="4" s="1"/>
  <c r="E207" i="4"/>
  <c r="G207" i="4" s="1"/>
  <c r="E206" i="4"/>
  <c r="G206" i="4" s="1"/>
  <c r="E205" i="4"/>
  <c r="G205" i="4" s="1"/>
  <c r="E204" i="4"/>
  <c r="G204" i="4" s="1"/>
  <c r="E203" i="4"/>
  <c r="G203" i="4" s="1"/>
  <c r="E202" i="4"/>
  <c r="G202" i="4" s="1"/>
  <c r="E201" i="4"/>
  <c r="G201" i="4" s="1"/>
  <c r="E200" i="4"/>
  <c r="G200" i="4" s="1"/>
  <c r="E199" i="4"/>
  <c r="G199" i="4" s="1"/>
  <c r="E198" i="4"/>
  <c r="G198" i="4" s="1"/>
  <c r="E197" i="4"/>
  <c r="G197" i="4" s="1"/>
  <c r="E196" i="4"/>
  <c r="G196" i="4" s="1"/>
  <c r="E195" i="4"/>
  <c r="G195" i="4" s="1"/>
  <c r="E194" i="4"/>
  <c r="G194" i="4" s="1"/>
  <c r="E193" i="4"/>
  <c r="G193" i="4" s="1"/>
  <c r="E192" i="4"/>
  <c r="G192" i="4" s="1"/>
  <c r="E191" i="4"/>
  <c r="G191" i="4" s="1"/>
  <c r="E190" i="4"/>
  <c r="G190" i="4" s="1"/>
  <c r="E189" i="4"/>
  <c r="G189" i="4" s="1"/>
  <c r="E188" i="4"/>
  <c r="G188" i="4" s="1"/>
  <c r="E187" i="4"/>
  <c r="G187" i="4" s="1"/>
  <c r="E186" i="4"/>
  <c r="G186" i="4" s="1"/>
  <c r="E185" i="4"/>
  <c r="G185" i="4" s="1"/>
  <c r="E184" i="4"/>
  <c r="G184" i="4" s="1"/>
  <c r="E183" i="4"/>
  <c r="G183" i="4" s="1"/>
  <c r="E182" i="4"/>
  <c r="G182" i="4" s="1"/>
  <c r="E181" i="4"/>
  <c r="G181" i="4" s="1"/>
  <c r="E180" i="4"/>
  <c r="G180" i="4" s="1"/>
  <c r="E179" i="4"/>
  <c r="G179" i="4" s="1"/>
  <c r="E178" i="4"/>
  <c r="G178" i="4" s="1"/>
  <c r="E177" i="4"/>
  <c r="G177" i="4" s="1"/>
  <c r="E176" i="4"/>
  <c r="G176" i="4" s="1"/>
  <c r="E175" i="4"/>
  <c r="G175" i="4" s="1"/>
  <c r="E174" i="4"/>
  <c r="G174" i="4" s="1"/>
  <c r="E173" i="4"/>
  <c r="G173" i="4" s="1"/>
  <c r="E172" i="4"/>
  <c r="G172" i="4" s="1"/>
  <c r="E171" i="4"/>
  <c r="G171" i="4" s="1"/>
  <c r="E170" i="4"/>
  <c r="G170" i="4" s="1"/>
  <c r="E169" i="4"/>
  <c r="G169" i="4" s="1"/>
  <c r="E168" i="4"/>
  <c r="G168" i="4" s="1"/>
  <c r="E167" i="4"/>
  <c r="G167" i="4" s="1"/>
  <c r="E166" i="4"/>
  <c r="G166" i="4" s="1"/>
  <c r="E165" i="4"/>
  <c r="G165" i="4" s="1"/>
  <c r="E164" i="4"/>
  <c r="G164" i="4" s="1"/>
  <c r="E163" i="4"/>
  <c r="G163" i="4" s="1"/>
  <c r="E162" i="4"/>
  <c r="G162" i="4" s="1"/>
  <c r="E161" i="4"/>
  <c r="G161" i="4" s="1"/>
  <c r="E160" i="4"/>
  <c r="G160" i="4" s="1"/>
  <c r="E159" i="4"/>
  <c r="G159" i="4" s="1"/>
  <c r="E158" i="4"/>
  <c r="G158" i="4" s="1"/>
  <c r="E157" i="4"/>
  <c r="G157" i="4" s="1"/>
  <c r="E156" i="4"/>
  <c r="G156" i="4" s="1"/>
  <c r="E155" i="4"/>
  <c r="G155" i="4" s="1"/>
  <c r="E154" i="4"/>
  <c r="G154" i="4" s="1"/>
  <c r="E153" i="4"/>
  <c r="G153" i="4" s="1"/>
  <c r="E152" i="4"/>
  <c r="G152" i="4" s="1"/>
  <c r="E151" i="4"/>
  <c r="G151" i="4" s="1"/>
  <c r="E150" i="4"/>
  <c r="G150" i="4" s="1"/>
  <c r="E149" i="4"/>
  <c r="G149" i="4" s="1"/>
  <c r="E148" i="4"/>
  <c r="G148" i="4" s="1"/>
  <c r="E147" i="4"/>
  <c r="G147" i="4" s="1"/>
  <c r="E146" i="4"/>
  <c r="G146" i="4" s="1"/>
  <c r="E145" i="4"/>
  <c r="G145" i="4" s="1"/>
  <c r="E144" i="4"/>
  <c r="G144" i="4" s="1"/>
  <c r="E143" i="4"/>
  <c r="G143" i="4" s="1"/>
  <c r="E142" i="4"/>
  <c r="G142" i="4" s="1"/>
  <c r="E141" i="4"/>
  <c r="G141" i="4" s="1"/>
  <c r="E140" i="4"/>
  <c r="G140" i="4" s="1"/>
  <c r="E139" i="4"/>
  <c r="G139" i="4" s="1"/>
  <c r="E138" i="4"/>
  <c r="G138" i="4" s="1"/>
  <c r="E137" i="4"/>
  <c r="G137" i="4" s="1"/>
  <c r="E136" i="4"/>
  <c r="G136" i="4" s="1"/>
  <c r="E135" i="4"/>
  <c r="G135" i="4" s="1"/>
  <c r="E134" i="4"/>
  <c r="G134" i="4" s="1"/>
  <c r="E133" i="4"/>
  <c r="G133" i="4" s="1"/>
  <c r="E132" i="4"/>
  <c r="G132" i="4" s="1"/>
  <c r="E131" i="4"/>
  <c r="G131" i="4" s="1"/>
  <c r="E130" i="4"/>
  <c r="G130" i="4" s="1"/>
  <c r="E129" i="4"/>
  <c r="G129" i="4" s="1"/>
  <c r="E128" i="4"/>
  <c r="G128" i="4" s="1"/>
  <c r="E127" i="4"/>
  <c r="G127" i="4" s="1"/>
  <c r="E126" i="4"/>
  <c r="G126" i="4" s="1"/>
  <c r="E125" i="4"/>
  <c r="G125" i="4" s="1"/>
  <c r="E124" i="4"/>
  <c r="G124" i="4" s="1"/>
  <c r="E123" i="4"/>
  <c r="G123" i="4" s="1"/>
  <c r="E122" i="4"/>
  <c r="G122" i="4" s="1"/>
  <c r="E121" i="4"/>
  <c r="G121" i="4" s="1"/>
  <c r="E120" i="4"/>
  <c r="G120" i="4" s="1"/>
  <c r="E119" i="4"/>
  <c r="G119" i="4" s="1"/>
  <c r="E118" i="4"/>
  <c r="G118" i="4" s="1"/>
  <c r="E117" i="4"/>
  <c r="G117" i="4" s="1"/>
  <c r="E116" i="4"/>
  <c r="G116" i="4" s="1"/>
  <c r="E115" i="4"/>
  <c r="G115" i="4" s="1"/>
  <c r="E114" i="4"/>
  <c r="G114" i="4" s="1"/>
  <c r="E113" i="4"/>
  <c r="G113" i="4" s="1"/>
  <c r="E112" i="4"/>
  <c r="G112" i="4" s="1"/>
  <c r="E111" i="4"/>
  <c r="G111" i="4" s="1"/>
  <c r="E110" i="4"/>
  <c r="G110" i="4" s="1"/>
  <c r="E109" i="4"/>
  <c r="G109" i="4" s="1"/>
  <c r="E108" i="4"/>
  <c r="G108" i="4" s="1"/>
  <c r="E107" i="4"/>
  <c r="G107" i="4" s="1"/>
  <c r="E106" i="4"/>
  <c r="G106" i="4" s="1"/>
  <c r="E105" i="4"/>
  <c r="G105" i="4" s="1"/>
  <c r="E104" i="4"/>
  <c r="G104" i="4" s="1"/>
  <c r="E103" i="4"/>
  <c r="G103" i="4" s="1"/>
  <c r="E102" i="4"/>
  <c r="G102" i="4" s="1"/>
  <c r="E101" i="4"/>
  <c r="G101" i="4" s="1"/>
  <c r="E100" i="4"/>
  <c r="G100" i="4" s="1"/>
  <c r="E99" i="4"/>
  <c r="G99" i="4" s="1"/>
  <c r="E98" i="4"/>
  <c r="G98" i="4" s="1"/>
  <c r="E97" i="4"/>
  <c r="G97" i="4" s="1"/>
  <c r="E96" i="4"/>
  <c r="G96" i="4" s="1"/>
  <c r="E95" i="4"/>
  <c r="G95" i="4" s="1"/>
  <c r="E94" i="4"/>
  <c r="G94" i="4" s="1"/>
  <c r="E93" i="4"/>
  <c r="G93" i="4" s="1"/>
  <c r="E92" i="4"/>
  <c r="G92" i="4" s="1"/>
  <c r="E91" i="4"/>
  <c r="G91" i="4" s="1"/>
  <c r="E90" i="4"/>
  <c r="G90" i="4" s="1"/>
  <c r="E89" i="4"/>
  <c r="G89" i="4" s="1"/>
  <c r="E88" i="4"/>
  <c r="G88" i="4" s="1"/>
  <c r="E87" i="4"/>
  <c r="G87" i="4" s="1"/>
  <c r="E86" i="4"/>
  <c r="G86" i="4" s="1"/>
  <c r="E85" i="4"/>
  <c r="G85" i="4" s="1"/>
  <c r="E84" i="4"/>
  <c r="G84" i="4" s="1"/>
  <c r="E83" i="4"/>
  <c r="G83" i="4" s="1"/>
  <c r="E82" i="4"/>
  <c r="G82" i="4" s="1"/>
  <c r="E81" i="4"/>
  <c r="G81" i="4" s="1"/>
  <c r="E80" i="4"/>
  <c r="G80" i="4" s="1"/>
  <c r="E79" i="4"/>
  <c r="G79" i="4" s="1"/>
  <c r="E78" i="4"/>
  <c r="G78" i="4" s="1"/>
  <c r="E77" i="4"/>
  <c r="G77" i="4" s="1"/>
  <c r="E76" i="4"/>
  <c r="G76" i="4" s="1"/>
  <c r="E75" i="4"/>
  <c r="G75" i="4" s="1"/>
  <c r="E74" i="4"/>
  <c r="G74" i="4" s="1"/>
  <c r="E73" i="4"/>
  <c r="G73" i="4" s="1"/>
  <c r="E72" i="4"/>
  <c r="G72" i="4" s="1"/>
  <c r="E71" i="4"/>
  <c r="G71" i="4" s="1"/>
  <c r="E70" i="4"/>
  <c r="G70" i="4" s="1"/>
  <c r="E69" i="4"/>
  <c r="G69" i="4" s="1"/>
  <c r="E68" i="4"/>
  <c r="G68" i="4" s="1"/>
  <c r="E67" i="4"/>
  <c r="G67" i="4" s="1"/>
  <c r="E66" i="4"/>
  <c r="G66" i="4" s="1"/>
  <c r="E65" i="4"/>
  <c r="G65" i="4" s="1"/>
  <c r="E64" i="4"/>
  <c r="G64" i="4" s="1"/>
  <c r="E63" i="4"/>
  <c r="G63" i="4" s="1"/>
  <c r="E62" i="4"/>
  <c r="G62" i="4" s="1"/>
  <c r="E61" i="4"/>
  <c r="G61" i="4" s="1"/>
  <c r="E60" i="4"/>
  <c r="G60" i="4" s="1"/>
  <c r="E59" i="4"/>
  <c r="G59" i="4" s="1"/>
  <c r="E58" i="4"/>
  <c r="G58" i="4" s="1"/>
  <c r="E57" i="4"/>
  <c r="G57" i="4" s="1"/>
  <c r="E56" i="4"/>
  <c r="G56" i="4" s="1"/>
  <c r="E55" i="4"/>
  <c r="G55" i="4" s="1"/>
  <c r="E54" i="4"/>
  <c r="G54" i="4" s="1"/>
  <c r="E53" i="4"/>
  <c r="G53" i="4" s="1"/>
  <c r="E52" i="4"/>
  <c r="G52" i="4" s="1"/>
  <c r="E51" i="4"/>
  <c r="G51" i="4" s="1"/>
  <c r="E50" i="4"/>
  <c r="G50" i="4" s="1"/>
  <c r="E49" i="4"/>
  <c r="G49" i="4" s="1"/>
  <c r="E48" i="4"/>
  <c r="G48" i="4" s="1"/>
  <c r="E47" i="4"/>
  <c r="G47" i="4" s="1"/>
  <c r="E46" i="4"/>
  <c r="G46" i="4" s="1"/>
  <c r="E45" i="4"/>
  <c r="G45" i="4" s="1"/>
  <c r="E44" i="4"/>
  <c r="G44" i="4" s="1"/>
  <c r="E43" i="4"/>
  <c r="G43" i="4" s="1"/>
  <c r="E42" i="4"/>
  <c r="G42" i="4" s="1"/>
  <c r="E41" i="4"/>
  <c r="G41" i="4" s="1"/>
  <c r="E40" i="4"/>
  <c r="G40" i="4" s="1"/>
  <c r="E39" i="4"/>
  <c r="G39" i="4" s="1"/>
  <c r="E38" i="4"/>
  <c r="G38" i="4" s="1"/>
  <c r="E37" i="4"/>
  <c r="G37" i="4" s="1"/>
  <c r="E36" i="4"/>
  <c r="G36" i="4" s="1"/>
  <c r="E35" i="4"/>
  <c r="G35" i="4" s="1"/>
  <c r="E34" i="4"/>
  <c r="G34" i="4" s="1"/>
  <c r="E33" i="4"/>
  <c r="G33" i="4" s="1"/>
  <c r="E32" i="4"/>
  <c r="G32" i="4" s="1"/>
  <c r="E31" i="4"/>
  <c r="G31" i="4" s="1"/>
  <c r="E30" i="4"/>
  <c r="G30" i="4" s="1"/>
  <c r="E29" i="4"/>
  <c r="G29" i="4" s="1"/>
  <c r="E28" i="4"/>
  <c r="G28" i="4" s="1"/>
  <c r="E27" i="4"/>
  <c r="G27" i="4" s="1"/>
  <c r="E26" i="4"/>
  <c r="G26" i="4" s="1"/>
  <c r="E25" i="4"/>
  <c r="G25" i="4" s="1"/>
  <c r="E24" i="4"/>
  <c r="G24" i="4" s="1"/>
  <c r="E23" i="4"/>
  <c r="G23" i="4" s="1"/>
  <c r="E22" i="4"/>
  <c r="G22" i="4" s="1"/>
  <c r="E21" i="4"/>
  <c r="G21" i="4" s="1"/>
  <c r="E20" i="4"/>
  <c r="G20" i="4" s="1"/>
  <c r="E19" i="4"/>
  <c r="G19" i="4" s="1"/>
  <c r="E18" i="4"/>
  <c r="G18" i="4" s="1"/>
  <c r="E17" i="4"/>
  <c r="G17" i="4" s="1"/>
  <c r="E16" i="4"/>
  <c r="G16" i="4" s="1"/>
  <c r="E15" i="4"/>
  <c r="G15" i="4" s="1"/>
  <c r="E14" i="4"/>
  <c r="G14" i="4" s="1"/>
  <c r="E13" i="4"/>
  <c r="G13" i="4" s="1"/>
  <c r="E12" i="4"/>
  <c r="G12" i="4" s="1"/>
  <c r="E11" i="4"/>
  <c r="G11" i="4" s="1"/>
  <c r="E10" i="4"/>
  <c r="G10" i="4" s="1"/>
  <c r="E9" i="4"/>
  <c r="G9" i="4" s="1"/>
  <c r="E8" i="4"/>
  <c r="G8" i="4" s="1"/>
  <c r="E7" i="4"/>
  <c r="G7" i="4" s="1"/>
  <c r="O228" i="1" l="1"/>
  <c r="O227" i="1"/>
  <c r="O226" i="1"/>
  <c r="O225" i="1"/>
  <c r="O224" i="1"/>
  <c r="O223" i="1"/>
  <c r="O216" i="1"/>
  <c r="O215" i="1"/>
  <c r="O214" i="1"/>
  <c r="O213" i="1"/>
  <c r="O212" i="1"/>
  <c r="O211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C230" i="12"/>
  <c r="D230" i="12" s="1"/>
  <c r="C229" i="12"/>
  <c r="D229" i="12" s="1"/>
  <c r="C226" i="12"/>
  <c r="D226" i="12" s="1"/>
  <c r="C225" i="12"/>
  <c r="D225" i="12" s="1"/>
  <c r="C224" i="12"/>
  <c r="D224" i="12" s="1"/>
  <c r="C221" i="12"/>
  <c r="D221" i="12" s="1"/>
  <c r="C220" i="12"/>
  <c r="D220" i="12" s="1"/>
  <c r="C218" i="12"/>
  <c r="D218" i="12" s="1"/>
  <c r="C217" i="12"/>
  <c r="D217" i="12" s="1"/>
  <c r="C214" i="12"/>
  <c r="D214" i="12" s="1"/>
  <c r="C212" i="12"/>
  <c r="D212" i="12" s="1"/>
  <c r="C209" i="12"/>
  <c r="D209" i="12" s="1"/>
  <c r="C208" i="12"/>
  <c r="D208" i="12" s="1"/>
  <c r="C197" i="12"/>
  <c r="D197" i="12" s="1"/>
  <c r="C193" i="12"/>
  <c r="D193" i="12" s="1"/>
  <c r="C189" i="12"/>
  <c r="D189" i="12" s="1"/>
  <c r="C187" i="12"/>
  <c r="D187" i="12" s="1"/>
  <c r="C185" i="12"/>
  <c r="D185" i="12" s="1"/>
  <c r="C183" i="12"/>
  <c r="D183" i="12" s="1"/>
  <c r="C181" i="12"/>
  <c r="D181" i="12" s="1"/>
  <c r="C178" i="12"/>
  <c r="D178" i="12" s="1"/>
  <c r="C177" i="12"/>
  <c r="D177" i="12" s="1"/>
  <c r="C174" i="12"/>
  <c r="D174" i="12" s="1"/>
  <c r="C173" i="12"/>
  <c r="D173" i="12" s="1"/>
  <c r="C170" i="12"/>
  <c r="D170" i="12" s="1"/>
  <c r="C169" i="12"/>
  <c r="D169" i="12" s="1"/>
  <c r="C167" i="12"/>
  <c r="D167" i="12" s="1"/>
  <c r="C166" i="12"/>
  <c r="D166" i="12" s="1"/>
  <c r="C165" i="12"/>
  <c r="D165" i="12" s="1"/>
  <c r="C163" i="12"/>
  <c r="D163" i="12" s="1"/>
  <c r="C162" i="12"/>
  <c r="D162" i="12" s="1"/>
  <c r="C161" i="12"/>
  <c r="D161" i="12" s="1"/>
  <c r="C159" i="12"/>
  <c r="D159" i="12" s="1"/>
  <c r="C158" i="12"/>
  <c r="D158" i="12" s="1"/>
  <c r="C157" i="12"/>
  <c r="D157" i="12" s="1"/>
  <c r="C156" i="12"/>
  <c r="D156" i="12" s="1"/>
  <c r="C154" i="12"/>
  <c r="D154" i="12" s="1"/>
  <c r="C153" i="12"/>
  <c r="D153" i="12" s="1"/>
  <c r="C152" i="12"/>
  <c r="D152" i="12" s="1"/>
  <c r="C141" i="12"/>
  <c r="D141" i="12" s="1"/>
  <c r="C137" i="12"/>
  <c r="D137" i="12" s="1"/>
  <c r="C133" i="12"/>
  <c r="D133" i="12" s="1"/>
  <c r="C131" i="12"/>
  <c r="D131" i="12" s="1"/>
  <c r="C129" i="12"/>
  <c r="D129" i="12" s="1"/>
  <c r="C127" i="12"/>
  <c r="D127" i="12" s="1"/>
  <c r="C125" i="12"/>
  <c r="D125" i="12" s="1"/>
  <c r="C123" i="12"/>
  <c r="D123" i="12" s="1"/>
  <c r="C121" i="12"/>
  <c r="D121" i="12" s="1"/>
  <c r="C120" i="12"/>
  <c r="D120" i="12" s="1"/>
  <c r="C117" i="12"/>
  <c r="D117" i="12" s="1"/>
  <c r="C116" i="12"/>
  <c r="D116" i="12" s="1"/>
  <c r="C113" i="12"/>
  <c r="D113" i="12" s="1"/>
  <c r="C112" i="12"/>
  <c r="D112" i="12" s="1"/>
  <c r="C111" i="12"/>
  <c r="D111" i="12" s="1"/>
  <c r="C109" i="12"/>
  <c r="D109" i="12" s="1"/>
  <c r="C108" i="12"/>
  <c r="D108" i="12" s="1"/>
  <c r="C107" i="12"/>
  <c r="D107" i="12" s="1"/>
  <c r="C105" i="12"/>
  <c r="D105" i="12" s="1"/>
  <c r="C104" i="12"/>
  <c r="D104" i="12" s="1"/>
  <c r="C103" i="12"/>
  <c r="D103" i="12" s="1"/>
  <c r="C101" i="12"/>
  <c r="D101" i="12" s="1"/>
  <c r="C100" i="12"/>
  <c r="D100" i="12" s="1"/>
  <c r="C98" i="12"/>
  <c r="D98" i="12" s="1"/>
  <c r="C97" i="12"/>
  <c r="D97" i="12" s="1"/>
  <c r="C96" i="12"/>
  <c r="D96" i="12" s="1"/>
  <c r="C94" i="12"/>
  <c r="D94" i="12" s="1"/>
  <c r="C93" i="12"/>
  <c r="D93" i="12" s="1"/>
  <c r="C92" i="12"/>
  <c r="D92" i="12" s="1"/>
  <c r="C90" i="12"/>
  <c r="D90" i="12" s="1"/>
  <c r="C89" i="12"/>
  <c r="D89" i="12" s="1"/>
  <c r="C88" i="12"/>
  <c r="D88" i="12" s="1"/>
  <c r="C87" i="12"/>
  <c r="D87" i="12" s="1"/>
  <c r="C85" i="12"/>
  <c r="D85" i="12" s="1"/>
  <c r="C84" i="12"/>
  <c r="D84" i="12" s="1"/>
  <c r="C83" i="12"/>
  <c r="D83" i="12" s="1"/>
  <c r="C81" i="12"/>
  <c r="D81" i="12" s="1"/>
  <c r="C80" i="12"/>
  <c r="D80" i="12" s="1"/>
  <c r="C79" i="12"/>
  <c r="D79" i="12" s="1"/>
  <c r="C67" i="12"/>
  <c r="D67" i="12" s="1"/>
  <c r="C65" i="12"/>
  <c r="D65" i="12" s="1"/>
  <c r="C63" i="12"/>
  <c r="D63" i="12" s="1"/>
  <c r="C61" i="12"/>
  <c r="D61" i="12" s="1"/>
  <c r="C59" i="12"/>
  <c r="D59" i="12" s="1"/>
  <c r="C57" i="12"/>
  <c r="D57" i="12" s="1"/>
  <c r="C56" i="12"/>
  <c r="D56" i="12" s="1"/>
  <c r="C53" i="12"/>
  <c r="D53" i="12" s="1"/>
  <c r="C52" i="12"/>
  <c r="D52" i="12" s="1"/>
  <c r="C48" i="12"/>
  <c r="D48" i="12" s="1"/>
  <c r="C47" i="12"/>
  <c r="D47" i="12" s="1"/>
  <c r="C46" i="12"/>
  <c r="D46" i="12" s="1"/>
  <c r="C44" i="12"/>
  <c r="D44" i="12" s="1"/>
  <c r="C43" i="12"/>
  <c r="D43" i="12" s="1"/>
  <c r="C41" i="12"/>
  <c r="D41" i="12" s="1"/>
  <c r="C40" i="12"/>
  <c r="D40" i="12" s="1"/>
  <c r="C39" i="12"/>
  <c r="D39" i="12" s="1"/>
  <c r="C37" i="12"/>
  <c r="D37" i="12" s="1"/>
  <c r="C36" i="12"/>
  <c r="D36" i="12" s="1"/>
  <c r="C35" i="12"/>
  <c r="D35" i="12" s="1"/>
  <c r="C23" i="12"/>
  <c r="D23" i="12" s="1"/>
  <c r="C21" i="12"/>
  <c r="D21" i="12" s="1"/>
  <c r="C19" i="12"/>
  <c r="D19" i="12" s="1"/>
  <c r="C17" i="12"/>
  <c r="D17" i="12" s="1"/>
  <c r="C15" i="12"/>
  <c r="D15" i="12" s="1"/>
  <c r="C13" i="12"/>
  <c r="D13" i="12" s="1"/>
  <c r="C12" i="12"/>
  <c r="D12" i="12" s="1"/>
  <c r="C9" i="12"/>
  <c r="D9" i="12" s="1"/>
  <c r="C8" i="12"/>
  <c r="D8" i="12" s="1"/>
  <c r="C205" i="12"/>
  <c r="D205" i="12" s="1"/>
  <c r="C196" i="12"/>
  <c r="D196" i="12" s="1"/>
  <c r="C190" i="12"/>
  <c r="D190" i="12" s="1"/>
  <c r="C176" i="12"/>
  <c r="D176" i="12" s="1"/>
  <c r="C168" i="12"/>
  <c r="D168" i="12" s="1"/>
  <c r="C155" i="12"/>
  <c r="D155" i="12" s="1"/>
  <c r="C91" i="12"/>
  <c r="D91" i="12" s="1"/>
  <c r="C231" i="12"/>
  <c r="D231" i="12" s="1"/>
  <c r="C70" i="12"/>
  <c r="D70" i="12" s="1"/>
  <c r="C215" i="12"/>
  <c r="D215" i="12" s="1"/>
  <c r="C213" i="12"/>
  <c r="D213" i="12" s="1"/>
  <c r="C223" i="12"/>
  <c r="D223" i="12" s="1"/>
  <c r="C82" i="10"/>
  <c r="E82" i="10" s="1"/>
  <c r="C81" i="10"/>
  <c r="E81" i="10" s="1"/>
  <c r="C80" i="10"/>
  <c r="E80" i="10" s="1"/>
  <c r="C79" i="10"/>
  <c r="E79" i="10" s="1"/>
  <c r="C78" i="10"/>
  <c r="E78" i="10" s="1"/>
  <c r="C77" i="10"/>
  <c r="E77" i="10" s="1"/>
  <c r="C76" i="10"/>
  <c r="E76" i="10" s="1"/>
  <c r="C75" i="10"/>
  <c r="E75" i="10" s="1"/>
  <c r="C74" i="10"/>
  <c r="E74" i="10" s="1"/>
  <c r="C73" i="10"/>
  <c r="E73" i="10" s="1"/>
  <c r="C72" i="10"/>
  <c r="E72" i="10" s="1"/>
  <c r="C71" i="10"/>
  <c r="E71" i="10" s="1"/>
  <c r="C70" i="10"/>
  <c r="E70" i="10" s="1"/>
  <c r="C69" i="10"/>
  <c r="E69" i="10" s="1"/>
  <c r="C68" i="10"/>
  <c r="E68" i="10" s="1"/>
  <c r="C67" i="10"/>
  <c r="E67" i="10" s="1"/>
  <c r="C66" i="10"/>
  <c r="E66" i="10" s="1"/>
  <c r="C65" i="10"/>
  <c r="E65" i="10" s="1"/>
  <c r="C64" i="10"/>
  <c r="E64" i="10" s="1"/>
  <c r="C63" i="10"/>
  <c r="E63" i="10" s="1"/>
  <c r="C62" i="10"/>
  <c r="E62" i="10" s="1"/>
  <c r="C61" i="10"/>
  <c r="E61" i="10" s="1"/>
  <c r="C60" i="10"/>
  <c r="E60" i="10" s="1"/>
  <c r="C59" i="10"/>
  <c r="E59" i="10" s="1"/>
  <c r="C58" i="10"/>
  <c r="E58" i="10" s="1"/>
  <c r="C57" i="10"/>
  <c r="E57" i="10" s="1"/>
  <c r="C56" i="10"/>
  <c r="E56" i="10" s="1"/>
  <c r="C55" i="10"/>
  <c r="E55" i="10" s="1"/>
  <c r="C54" i="10"/>
  <c r="E54" i="10" s="1"/>
  <c r="C53" i="10"/>
  <c r="E53" i="10" s="1"/>
  <c r="C52" i="10"/>
  <c r="E52" i="10" s="1"/>
  <c r="C51" i="10"/>
  <c r="E51" i="10" s="1"/>
  <c r="C50" i="10"/>
  <c r="E50" i="10" s="1"/>
  <c r="C49" i="10"/>
  <c r="E49" i="10" s="1"/>
  <c r="C48" i="10"/>
  <c r="E48" i="10" s="1"/>
  <c r="C47" i="10"/>
  <c r="E47" i="10" s="1"/>
  <c r="C46" i="10"/>
  <c r="E46" i="10" s="1"/>
  <c r="C45" i="10"/>
  <c r="E45" i="10" s="1"/>
  <c r="C44" i="10"/>
  <c r="E44" i="10" s="1"/>
  <c r="C43" i="10"/>
  <c r="E43" i="10" s="1"/>
  <c r="C42" i="10"/>
  <c r="E42" i="10" s="1"/>
  <c r="C41" i="10"/>
  <c r="E41" i="10" s="1"/>
  <c r="C40" i="10"/>
  <c r="E40" i="10" s="1"/>
  <c r="C39" i="10"/>
  <c r="E39" i="10" s="1"/>
  <c r="C38" i="10"/>
  <c r="E38" i="10" s="1"/>
  <c r="C37" i="10"/>
  <c r="E37" i="10" s="1"/>
  <c r="C36" i="10"/>
  <c r="E36" i="10" s="1"/>
  <c r="C35" i="10"/>
  <c r="E35" i="10" s="1"/>
  <c r="C34" i="10"/>
  <c r="E34" i="10" s="1"/>
  <c r="C33" i="10"/>
  <c r="E33" i="10" s="1"/>
  <c r="C32" i="10"/>
  <c r="E32" i="10" s="1"/>
  <c r="C31" i="10"/>
  <c r="E31" i="10" s="1"/>
  <c r="C30" i="10"/>
  <c r="E30" i="10" s="1"/>
  <c r="C29" i="10"/>
  <c r="E29" i="10" s="1"/>
  <c r="C28" i="10"/>
  <c r="E28" i="10" s="1"/>
  <c r="C27" i="10"/>
  <c r="E27" i="10" s="1"/>
  <c r="C26" i="10"/>
  <c r="E26" i="10" s="1"/>
  <c r="C25" i="10"/>
  <c r="E25" i="10" s="1"/>
  <c r="C24" i="10"/>
  <c r="E24" i="10" s="1"/>
  <c r="C23" i="10"/>
  <c r="E23" i="10" s="1"/>
  <c r="C22" i="10"/>
  <c r="E22" i="10" s="1"/>
  <c r="C21" i="10"/>
  <c r="E21" i="10" s="1"/>
  <c r="C20" i="10"/>
  <c r="E20" i="10" s="1"/>
  <c r="C19" i="10"/>
  <c r="E19" i="10" s="1"/>
  <c r="C18" i="10"/>
  <c r="E18" i="10" s="1"/>
  <c r="C17" i="10"/>
  <c r="E17" i="10" s="1"/>
  <c r="C16" i="10"/>
  <c r="E16" i="10" s="1"/>
  <c r="C15" i="10"/>
  <c r="E15" i="10" s="1"/>
  <c r="C14" i="10"/>
  <c r="E14" i="10" s="1"/>
  <c r="C13" i="10"/>
  <c r="E13" i="10" s="1"/>
  <c r="C12" i="10"/>
  <c r="E12" i="10" s="1"/>
  <c r="C11" i="10"/>
  <c r="E11" i="10" s="1"/>
  <c r="C10" i="10"/>
  <c r="E10" i="10" s="1"/>
  <c r="C9" i="10"/>
  <c r="E9" i="10" s="1"/>
  <c r="C8" i="10"/>
  <c r="E8" i="10" s="1"/>
  <c r="C7" i="10"/>
  <c r="E7" i="10" s="1"/>
  <c r="C6" i="10"/>
  <c r="E6" i="10" s="1"/>
  <c r="C5" i="10"/>
  <c r="E5" i="10" s="1"/>
  <c r="C4" i="10"/>
  <c r="E4" i="10" s="1"/>
  <c r="C227" i="9"/>
  <c r="D227" i="9" s="1"/>
  <c r="C225" i="9"/>
  <c r="D225" i="9" s="1"/>
  <c r="C214" i="9"/>
  <c r="D214" i="9" s="1"/>
  <c r="C213" i="9"/>
  <c r="D213" i="9" s="1"/>
  <c r="C186" i="9"/>
  <c r="D186" i="9" s="1"/>
  <c r="C182" i="9"/>
  <c r="D182" i="9" s="1"/>
  <c r="C177" i="9"/>
  <c r="D177" i="9" s="1"/>
  <c r="C176" i="9"/>
  <c r="D176" i="9" s="1"/>
  <c r="C175" i="9"/>
  <c r="D175" i="9" s="1"/>
  <c r="C173" i="9"/>
  <c r="D173" i="9" s="1"/>
  <c r="C172" i="9"/>
  <c r="D172" i="9" s="1"/>
  <c r="C171" i="9"/>
  <c r="D171" i="9" s="1"/>
  <c r="C169" i="9"/>
  <c r="D169" i="9" s="1"/>
  <c r="C168" i="9"/>
  <c r="D168" i="9" s="1"/>
  <c r="C129" i="9"/>
  <c r="D129" i="9" s="1"/>
  <c r="C125" i="9"/>
  <c r="D125" i="9" s="1"/>
  <c r="C121" i="9"/>
  <c r="D121" i="9" s="1"/>
  <c r="C119" i="9"/>
  <c r="D119" i="9" s="1"/>
  <c r="C118" i="9"/>
  <c r="D118" i="9" s="1"/>
  <c r="C117" i="9"/>
  <c r="D117" i="9" s="1"/>
  <c r="C115" i="9"/>
  <c r="D115" i="9" s="1"/>
  <c r="C114" i="9"/>
  <c r="D114" i="9" s="1"/>
  <c r="C113" i="9"/>
  <c r="D113" i="9" s="1"/>
  <c r="C111" i="9"/>
  <c r="D111" i="9" s="1"/>
  <c r="C75" i="9"/>
  <c r="D75" i="9" s="1"/>
  <c r="C71" i="9"/>
  <c r="D71" i="9" s="1"/>
  <c r="C67" i="9"/>
  <c r="D67" i="9" s="1"/>
  <c r="C66" i="9"/>
  <c r="D66" i="9" s="1"/>
  <c r="C64" i="9"/>
  <c r="D64" i="9" s="1"/>
  <c r="C63" i="9"/>
  <c r="D63" i="9" s="1"/>
  <c r="C62" i="9"/>
  <c r="D62" i="9" s="1"/>
  <c r="C60" i="9"/>
  <c r="D60" i="9" s="1"/>
  <c r="C59" i="9"/>
  <c r="D59" i="9" s="1"/>
  <c r="C58" i="9"/>
  <c r="D58" i="9" s="1"/>
  <c r="C32" i="9"/>
  <c r="D32" i="9" s="1"/>
  <c r="C28" i="9"/>
  <c r="D28" i="9" s="1"/>
  <c r="C24" i="9"/>
  <c r="D24" i="9" s="1"/>
  <c r="C23" i="9"/>
  <c r="D23" i="9" s="1"/>
  <c r="C22" i="9"/>
  <c r="D22" i="9" s="1"/>
  <c r="C20" i="9"/>
  <c r="D20" i="9" s="1"/>
  <c r="C19" i="9"/>
  <c r="D19" i="9" s="1"/>
  <c r="C18" i="9"/>
  <c r="D18" i="9" s="1"/>
  <c r="C16" i="9"/>
  <c r="D16" i="9" s="1"/>
  <c r="C15" i="9"/>
  <c r="D15" i="9" s="1"/>
  <c r="C14" i="9"/>
  <c r="D14" i="9" s="1"/>
  <c r="C192" i="9"/>
  <c r="D192" i="9" s="1"/>
  <c r="C138" i="9"/>
  <c r="D138" i="9" s="1"/>
  <c r="C188" i="9"/>
  <c r="D188" i="9" s="1"/>
  <c r="C226" i="9"/>
  <c r="D226" i="9" s="1"/>
  <c r="C34" i="9" l="1"/>
  <c r="D34" i="9" s="1"/>
  <c r="C38" i="9"/>
  <c r="D38" i="9" s="1"/>
  <c r="C81" i="9"/>
  <c r="D81" i="9" s="1"/>
  <c r="C149" i="9"/>
  <c r="D149" i="9" s="1"/>
  <c r="C191" i="9"/>
  <c r="D191" i="9" s="1"/>
  <c r="C35" i="9"/>
  <c r="D35" i="9" s="1"/>
  <c r="C39" i="9"/>
  <c r="D39" i="9" s="1"/>
  <c r="C43" i="9"/>
  <c r="D43" i="9" s="1"/>
  <c r="C78" i="9"/>
  <c r="D78" i="9" s="1"/>
  <c r="C82" i="9"/>
  <c r="D82" i="9" s="1"/>
  <c r="C86" i="9"/>
  <c r="D86" i="9" s="1"/>
  <c r="C142" i="9"/>
  <c r="D142" i="9" s="1"/>
  <c r="C146" i="9"/>
  <c r="D146" i="9" s="1"/>
  <c r="C196" i="9"/>
  <c r="D196" i="9" s="1"/>
  <c r="C36" i="9"/>
  <c r="D36" i="9" s="1"/>
  <c r="C40" i="9"/>
  <c r="D40" i="9" s="1"/>
  <c r="C44" i="9"/>
  <c r="D44" i="9" s="1"/>
  <c r="C79" i="9"/>
  <c r="D79" i="9" s="1"/>
  <c r="C83" i="9"/>
  <c r="D83" i="9" s="1"/>
  <c r="C87" i="9"/>
  <c r="D87" i="9" s="1"/>
  <c r="C143" i="9"/>
  <c r="D143" i="9" s="1"/>
  <c r="C147" i="9"/>
  <c r="D147" i="9" s="1"/>
  <c r="C193" i="9"/>
  <c r="D193" i="9" s="1"/>
  <c r="C197" i="9"/>
  <c r="D197" i="9" s="1"/>
  <c r="C217" i="9"/>
  <c r="D217" i="9" s="1"/>
  <c r="C229" i="9"/>
  <c r="D229" i="9" s="1"/>
  <c r="C37" i="9"/>
  <c r="D37" i="9" s="1"/>
  <c r="C41" i="9"/>
  <c r="D41" i="9" s="1"/>
  <c r="C80" i="9"/>
  <c r="D80" i="9" s="1"/>
  <c r="C84" i="9"/>
  <c r="D84" i="9" s="1"/>
  <c r="C144" i="9"/>
  <c r="D144" i="9" s="1"/>
  <c r="C148" i="9"/>
  <c r="D148" i="9" s="1"/>
  <c r="C190" i="9"/>
  <c r="D190" i="9" s="1"/>
  <c r="C194" i="9"/>
  <c r="D194" i="9" s="1"/>
  <c r="C198" i="9"/>
  <c r="D198" i="9" s="1"/>
  <c r="C218" i="9"/>
  <c r="D218" i="9" s="1"/>
  <c r="C230" i="9"/>
  <c r="D230" i="9" s="1"/>
  <c r="C42" i="9"/>
  <c r="D42" i="9" s="1"/>
  <c r="C85" i="9"/>
  <c r="D85" i="9" s="1"/>
  <c r="C145" i="9"/>
  <c r="D145" i="9" s="1"/>
  <c r="C195" i="9"/>
  <c r="D195" i="9" s="1"/>
  <c r="C135" i="9"/>
  <c r="D135" i="9" s="1"/>
  <c r="C139" i="9"/>
  <c r="D139" i="9" s="1"/>
  <c r="C216" i="9"/>
  <c r="D216" i="9" s="1"/>
  <c r="C136" i="9"/>
  <c r="D136" i="9" s="1"/>
  <c r="C140" i="9"/>
  <c r="D140" i="9" s="1"/>
  <c r="C228" i="9"/>
  <c r="D228" i="9" s="1"/>
  <c r="C133" i="9"/>
  <c r="D133" i="9" s="1"/>
  <c r="C137" i="9"/>
  <c r="D137" i="9" s="1"/>
  <c r="C141" i="9"/>
  <c r="D141" i="9" s="1"/>
  <c r="C134" i="9"/>
  <c r="D134" i="9" s="1"/>
  <c r="C27" i="9"/>
  <c r="D27" i="9" s="1"/>
  <c r="C31" i="9"/>
  <c r="D31" i="9" s="1"/>
  <c r="C70" i="9"/>
  <c r="D70" i="9" s="1"/>
  <c r="C74" i="9"/>
  <c r="D74" i="9" s="1"/>
  <c r="C124" i="9"/>
  <c r="D124" i="9" s="1"/>
  <c r="C128" i="9"/>
  <c r="D128" i="9" s="1"/>
  <c r="C132" i="9"/>
  <c r="D132" i="9" s="1"/>
  <c r="C181" i="9"/>
  <c r="D181" i="9" s="1"/>
  <c r="C185" i="9"/>
  <c r="D185" i="9" s="1"/>
  <c r="C189" i="9"/>
  <c r="D189" i="9" s="1"/>
  <c r="C215" i="9"/>
  <c r="D215" i="9" s="1"/>
  <c r="C25" i="9"/>
  <c r="D25" i="9" s="1"/>
  <c r="C29" i="9"/>
  <c r="D29" i="9" s="1"/>
  <c r="C33" i="9"/>
  <c r="D33" i="9" s="1"/>
  <c r="C68" i="9"/>
  <c r="D68" i="9" s="1"/>
  <c r="C72" i="9"/>
  <c r="D72" i="9" s="1"/>
  <c r="C76" i="9"/>
  <c r="D76" i="9" s="1"/>
  <c r="C122" i="9"/>
  <c r="D122" i="9" s="1"/>
  <c r="C126" i="9"/>
  <c r="D126" i="9" s="1"/>
  <c r="C130" i="9"/>
  <c r="D130" i="9" s="1"/>
  <c r="C179" i="9"/>
  <c r="D179" i="9" s="1"/>
  <c r="C183" i="9"/>
  <c r="D183" i="9" s="1"/>
  <c r="C187" i="9"/>
  <c r="D187" i="9" s="1"/>
  <c r="C26" i="9"/>
  <c r="D26" i="9" s="1"/>
  <c r="C30" i="9"/>
  <c r="D30" i="9" s="1"/>
  <c r="C69" i="9"/>
  <c r="D69" i="9" s="1"/>
  <c r="C73" i="9"/>
  <c r="D73" i="9" s="1"/>
  <c r="C77" i="9"/>
  <c r="D77" i="9" s="1"/>
  <c r="C123" i="9"/>
  <c r="D123" i="9" s="1"/>
  <c r="C127" i="9"/>
  <c r="D127" i="9" s="1"/>
  <c r="C131" i="9"/>
  <c r="D131" i="9" s="1"/>
  <c r="C180" i="9"/>
  <c r="D180" i="9" s="1"/>
  <c r="C184" i="9"/>
  <c r="D184" i="9" s="1"/>
  <c r="C13" i="9"/>
  <c r="D13" i="9" s="1"/>
  <c r="C17" i="9"/>
  <c r="D17" i="9" s="1"/>
  <c r="C21" i="9"/>
  <c r="D21" i="9" s="1"/>
  <c r="C57" i="9"/>
  <c r="D57" i="9" s="1"/>
  <c r="C61" i="9"/>
  <c r="D61" i="9" s="1"/>
  <c r="C65" i="9"/>
  <c r="D65" i="9" s="1"/>
  <c r="C112" i="9"/>
  <c r="D112" i="9" s="1"/>
  <c r="C116" i="9"/>
  <c r="D116" i="9" s="1"/>
  <c r="C120" i="9"/>
  <c r="D120" i="9" s="1"/>
  <c r="C170" i="9"/>
  <c r="D170" i="9" s="1"/>
  <c r="C174" i="9"/>
  <c r="D174" i="9" s="1"/>
  <c r="C178" i="9"/>
  <c r="D178" i="9" s="1"/>
  <c r="C147" i="12"/>
  <c r="D147" i="12" s="1"/>
  <c r="C202" i="12"/>
  <c r="D202" i="12" s="1"/>
  <c r="C144" i="12"/>
  <c r="D144" i="12" s="1"/>
  <c r="C148" i="12"/>
  <c r="D148" i="12" s="1"/>
  <c r="C203" i="12"/>
  <c r="D203" i="12" s="1"/>
  <c r="C207" i="12"/>
  <c r="D207" i="12" s="1"/>
  <c r="C143" i="12"/>
  <c r="D143" i="12" s="1"/>
  <c r="C206" i="12"/>
  <c r="D206" i="12" s="1"/>
  <c r="C145" i="12"/>
  <c r="D145" i="12" s="1"/>
  <c r="C149" i="12"/>
  <c r="D149" i="12" s="1"/>
  <c r="C200" i="12"/>
  <c r="D200" i="12" s="1"/>
  <c r="C204" i="12"/>
  <c r="D204" i="12" s="1"/>
  <c r="C146" i="12"/>
  <c r="D146" i="12" s="1"/>
  <c r="C150" i="12"/>
  <c r="D150" i="12" s="1"/>
  <c r="C201" i="12"/>
  <c r="D201" i="12" s="1"/>
  <c r="C138" i="12"/>
  <c r="D138" i="12" s="1"/>
  <c r="C194" i="12"/>
  <c r="D194" i="12" s="1"/>
  <c r="C135" i="12"/>
  <c r="D135" i="12" s="1"/>
  <c r="C139" i="12"/>
  <c r="D139" i="12" s="1"/>
  <c r="C191" i="12"/>
  <c r="D191" i="12" s="1"/>
  <c r="C195" i="12"/>
  <c r="D195" i="12" s="1"/>
  <c r="C199" i="12"/>
  <c r="D199" i="12" s="1"/>
  <c r="C134" i="12"/>
  <c r="D134" i="12" s="1"/>
  <c r="C142" i="12"/>
  <c r="D142" i="12" s="1"/>
  <c r="C198" i="12"/>
  <c r="D198" i="12" s="1"/>
  <c r="C136" i="12"/>
  <c r="D136" i="12" s="1"/>
  <c r="C140" i="12"/>
  <c r="D140" i="12" s="1"/>
  <c r="C192" i="12"/>
  <c r="D192" i="12" s="1"/>
  <c r="C126" i="12"/>
  <c r="D126" i="12" s="1"/>
  <c r="C130" i="12"/>
  <c r="D130" i="12" s="1"/>
  <c r="C180" i="12"/>
  <c r="D180" i="12" s="1"/>
  <c r="C184" i="12"/>
  <c r="D184" i="12" s="1"/>
  <c r="C188" i="12"/>
  <c r="D188" i="12" s="1"/>
  <c r="C124" i="12"/>
  <c r="D124" i="12" s="1"/>
  <c r="C128" i="12"/>
  <c r="D128" i="12" s="1"/>
  <c r="C132" i="12"/>
  <c r="D132" i="12" s="1"/>
  <c r="C182" i="12"/>
  <c r="D182" i="12" s="1"/>
  <c r="C186" i="12"/>
  <c r="D186" i="12" s="1"/>
  <c r="C114" i="12"/>
  <c r="D114" i="12" s="1"/>
  <c r="C118" i="12"/>
  <c r="D118" i="12" s="1"/>
  <c r="C122" i="12"/>
  <c r="D122" i="12" s="1"/>
  <c r="C171" i="12"/>
  <c r="D171" i="12" s="1"/>
  <c r="C175" i="12"/>
  <c r="D175" i="12" s="1"/>
  <c r="C179" i="12"/>
  <c r="D179" i="12" s="1"/>
  <c r="C115" i="12"/>
  <c r="D115" i="12" s="1"/>
  <c r="C119" i="12"/>
  <c r="D119" i="12" s="1"/>
  <c r="C172" i="12"/>
  <c r="D172" i="12" s="1"/>
  <c r="C102" i="12"/>
  <c r="D102" i="12" s="1"/>
  <c r="C106" i="12"/>
  <c r="D106" i="12" s="1"/>
  <c r="C110" i="12"/>
  <c r="D110" i="12" s="1"/>
  <c r="C160" i="12"/>
  <c r="D160" i="12" s="1"/>
  <c r="C164" i="12"/>
  <c r="D164" i="12" s="1"/>
  <c r="C95" i="12"/>
  <c r="D95" i="12" s="1"/>
  <c r="C99" i="12"/>
  <c r="D99" i="12" s="1"/>
  <c r="C151" i="12"/>
  <c r="D151" i="12" s="1"/>
  <c r="C45" i="12"/>
  <c r="D45" i="12" s="1"/>
  <c r="C49" i="12"/>
  <c r="D49" i="12" s="1"/>
  <c r="C38" i="12"/>
  <c r="D38" i="12" s="1"/>
  <c r="C42" i="12"/>
  <c r="D42" i="12" s="1"/>
  <c r="C82" i="12"/>
  <c r="D82" i="12" s="1"/>
  <c r="C86" i="12"/>
  <c r="D86" i="12" s="1"/>
  <c r="C219" i="12"/>
  <c r="D219" i="12" s="1"/>
  <c r="C28" i="12"/>
  <c r="D28" i="12" s="1"/>
  <c r="C74" i="12"/>
  <c r="D74" i="12" s="1"/>
  <c r="C25" i="12"/>
  <c r="D25" i="12" s="1"/>
  <c r="C29" i="12"/>
  <c r="D29" i="12" s="1"/>
  <c r="C33" i="12"/>
  <c r="D33" i="12" s="1"/>
  <c r="C71" i="12"/>
  <c r="D71" i="12" s="1"/>
  <c r="C75" i="12"/>
  <c r="D75" i="12" s="1"/>
  <c r="C32" i="12"/>
  <c r="D32" i="12" s="1"/>
  <c r="C78" i="12"/>
  <c r="D78" i="12" s="1"/>
  <c r="C26" i="12"/>
  <c r="D26" i="12" s="1"/>
  <c r="C30" i="12"/>
  <c r="D30" i="12" s="1"/>
  <c r="C34" i="12"/>
  <c r="D34" i="12" s="1"/>
  <c r="C72" i="12"/>
  <c r="D72" i="12" s="1"/>
  <c r="C76" i="12"/>
  <c r="D76" i="12" s="1"/>
  <c r="C216" i="12"/>
  <c r="D216" i="12" s="1"/>
  <c r="C27" i="12"/>
  <c r="D27" i="12" s="1"/>
  <c r="C31" i="12"/>
  <c r="D31" i="12" s="1"/>
  <c r="C69" i="12"/>
  <c r="D69" i="12" s="1"/>
  <c r="C73" i="12"/>
  <c r="D73" i="12" s="1"/>
  <c r="C77" i="12"/>
  <c r="D77" i="12" s="1"/>
  <c r="C228" i="12"/>
  <c r="D228" i="12" s="1"/>
  <c r="C14" i="12"/>
  <c r="D14" i="12" s="1"/>
  <c r="C18" i="12"/>
  <c r="D18" i="12" s="1"/>
  <c r="C22" i="12"/>
  <c r="D22" i="12" s="1"/>
  <c r="C58" i="12"/>
  <c r="D58" i="12" s="1"/>
  <c r="C62" i="12"/>
  <c r="D62" i="12" s="1"/>
  <c r="C66" i="12"/>
  <c r="D66" i="12" s="1"/>
  <c r="C227" i="12"/>
  <c r="D227" i="12" s="1"/>
  <c r="C16" i="12"/>
  <c r="D16" i="12" s="1"/>
  <c r="C20" i="12"/>
  <c r="D20" i="12" s="1"/>
  <c r="C24" i="12"/>
  <c r="D24" i="12" s="1"/>
  <c r="C60" i="12"/>
  <c r="D60" i="12" s="1"/>
  <c r="C64" i="12"/>
  <c r="D64" i="12" s="1"/>
  <c r="C68" i="12"/>
  <c r="D68" i="12" s="1"/>
  <c r="C6" i="12"/>
  <c r="D6" i="12" s="1"/>
  <c r="C10" i="12"/>
  <c r="D10" i="12" s="1"/>
  <c r="C50" i="12"/>
  <c r="D50" i="12" s="1"/>
  <c r="C54" i="12"/>
  <c r="D54" i="12" s="1"/>
  <c r="C210" i="12"/>
  <c r="D210" i="12" s="1"/>
  <c r="C222" i="12"/>
  <c r="D222" i="12" s="1"/>
  <c r="C7" i="12"/>
  <c r="D7" i="12" s="1"/>
  <c r="C11" i="12"/>
  <c r="D11" i="12" s="1"/>
  <c r="C51" i="12"/>
  <c r="D51" i="12" s="1"/>
  <c r="C55" i="12"/>
  <c r="D55" i="12" s="1"/>
  <c r="C211" i="12"/>
  <c r="D211" i="12" s="1"/>
  <c r="M19" i="6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1" i="4"/>
  <c r="I232" i="4"/>
  <c r="O12" i="5"/>
  <c r="H124" i="5" s="1"/>
  <c r="O10" i="5"/>
  <c r="H112" i="5" s="1"/>
  <c r="I112" i="5" s="1"/>
  <c r="O16" i="5"/>
  <c r="O15" i="5"/>
  <c r="O13" i="5"/>
  <c r="O11" i="5"/>
  <c r="O9" i="5"/>
  <c r="O8" i="5"/>
  <c r="H8" i="5" s="1"/>
  <c r="M43" i="6"/>
  <c r="M42" i="6"/>
  <c r="M41" i="6"/>
  <c r="M40" i="6"/>
  <c r="F145" i="6" s="1"/>
  <c r="M39" i="6"/>
  <c r="M38" i="6"/>
  <c r="M37" i="6"/>
  <c r="M36" i="6"/>
  <c r="M35" i="6"/>
  <c r="F136" i="6" s="1"/>
  <c r="M33" i="6"/>
  <c r="F132" i="6" s="1"/>
  <c r="M32" i="6"/>
  <c r="M31" i="6"/>
  <c r="M30" i="6"/>
  <c r="M29" i="6"/>
  <c r="M28" i="6"/>
  <c r="M25" i="6"/>
  <c r="M24" i="6"/>
  <c r="M23" i="6"/>
  <c r="M22" i="6"/>
  <c r="M20" i="6"/>
  <c r="M16" i="6"/>
  <c r="M15" i="6"/>
  <c r="M14" i="6"/>
  <c r="M13" i="6"/>
  <c r="M12" i="6"/>
  <c r="M11" i="6"/>
  <c r="M9" i="6"/>
  <c r="M8" i="6"/>
  <c r="M6" i="6"/>
  <c r="G221" i="6"/>
  <c r="G48" i="6"/>
  <c r="H232" i="7"/>
  <c r="H231" i="7"/>
  <c r="H230" i="7"/>
  <c r="H220" i="7"/>
  <c r="H219" i="7"/>
  <c r="H218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191" i="7"/>
  <c r="H216" i="7"/>
  <c r="H226" i="7"/>
  <c r="H222" i="7"/>
  <c r="I222" i="7" s="1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I80" i="7" s="1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I44" i="7" s="1"/>
  <c r="G43" i="7"/>
  <c r="G42" i="7"/>
  <c r="G41" i="7"/>
  <c r="G40" i="7"/>
  <c r="G39" i="7"/>
  <c r="G38" i="7"/>
  <c r="G37" i="7"/>
  <c r="G36" i="7"/>
  <c r="I36" i="7" s="1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I230" i="4"/>
  <c r="G231" i="2"/>
  <c r="I231" i="2" s="1"/>
  <c r="G230" i="2"/>
  <c r="I230" i="2" s="1"/>
  <c r="G229" i="2"/>
  <c r="I229" i="2" s="1"/>
  <c r="G228" i="2"/>
  <c r="I228" i="2" s="1"/>
  <c r="G227" i="2"/>
  <c r="I227" i="2" s="1"/>
  <c r="G226" i="2"/>
  <c r="I226" i="2" s="1"/>
  <c r="G225" i="2"/>
  <c r="I225" i="2" s="1"/>
  <c r="G224" i="2"/>
  <c r="I224" i="2" s="1"/>
  <c r="G223" i="2"/>
  <c r="I223" i="2" s="1"/>
  <c r="G222" i="2"/>
  <c r="I222" i="2" s="1"/>
  <c r="G221" i="2"/>
  <c r="I221" i="2" s="1"/>
  <c r="G220" i="2"/>
  <c r="I220" i="2" s="1"/>
  <c r="G219" i="2"/>
  <c r="I219" i="2" s="1"/>
  <c r="G218" i="2"/>
  <c r="I218" i="2" s="1"/>
  <c r="G217" i="2"/>
  <c r="I217" i="2" s="1"/>
  <c r="G216" i="2"/>
  <c r="I216" i="2" s="1"/>
  <c r="G215" i="2"/>
  <c r="I215" i="2" s="1"/>
  <c r="G214" i="2"/>
  <c r="I214" i="2" s="1"/>
  <c r="G213" i="2"/>
  <c r="I213" i="2" s="1"/>
  <c r="G212" i="2"/>
  <c r="I212" i="2" s="1"/>
  <c r="G211" i="2"/>
  <c r="I211" i="2" s="1"/>
  <c r="G210" i="2"/>
  <c r="I210" i="2" s="1"/>
  <c r="G209" i="2"/>
  <c r="I209" i="2" s="1"/>
  <c r="G208" i="2"/>
  <c r="I208" i="2" s="1"/>
  <c r="G207" i="2"/>
  <c r="I207" i="2" s="1"/>
  <c r="G206" i="2"/>
  <c r="I206" i="2" s="1"/>
  <c r="G205" i="2"/>
  <c r="I205" i="2" s="1"/>
  <c r="G204" i="2"/>
  <c r="I204" i="2" s="1"/>
  <c r="G203" i="2"/>
  <c r="I203" i="2" s="1"/>
  <c r="G202" i="2"/>
  <c r="I202" i="2" s="1"/>
  <c r="G201" i="2"/>
  <c r="I201" i="2" s="1"/>
  <c r="G200" i="2"/>
  <c r="I200" i="2" s="1"/>
  <c r="G199" i="2"/>
  <c r="I199" i="2" s="1"/>
  <c r="G198" i="2"/>
  <c r="I198" i="2" s="1"/>
  <c r="G197" i="2"/>
  <c r="I197" i="2" s="1"/>
  <c r="G196" i="2"/>
  <c r="I196" i="2" s="1"/>
  <c r="G195" i="2"/>
  <c r="I195" i="2" s="1"/>
  <c r="G194" i="2"/>
  <c r="I194" i="2" s="1"/>
  <c r="G193" i="2"/>
  <c r="I193" i="2" s="1"/>
  <c r="G192" i="2"/>
  <c r="I192" i="2" s="1"/>
  <c r="G191" i="2"/>
  <c r="I191" i="2" s="1"/>
  <c r="G190" i="2"/>
  <c r="I190" i="2" s="1"/>
  <c r="G189" i="2"/>
  <c r="I189" i="2" s="1"/>
  <c r="G188" i="2"/>
  <c r="I188" i="2" s="1"/>
  <c r="G187" i="2"/>
  <c r="I187" i="2" s="1"/>
  <c r="G186" i="2"/>
  <c r="I186" i="2" s="1"/>
  <c r="G185" i="2"/>
  <c r="I185" i="2" s="1"/>
  <c r="G184" i="2"/>
  <c r="I184" i="2" s="1"/>
  <c r="G183" i="2"/>
  <c r="I183" i="2" s="1"/>
  <c r="G182" i="2"/>
  <c r="I182" i="2" s="1"/>
  <c r="G181" i="2"/>
  <c r="I181" i="2" s="1"/>
  <c r="G180" i="2"/>
  <c r="I180" i="2" s="1"/>
  <c r="G179" i="2"/>
  <c r="I179" i="2" s="1"/>
  <c r="G178" i="2"/>
  <c r="I178" i="2" s="1"/>
  <c r="G177" i="2"/>
  <c r="I177" i="2" s="1"/>
  <c r="G176" i="2"/>
  <c r="I176" i="2" s="1"/>
  <c r="G175" i="2"/>
  <c r="I175" i="2" s="1"/>
  <c r="G174" i="2"/>
  <c r="I174" i="2" s="1"/>
  <c r="G173" i="2"/>
  <c r="I173" i="2" s="1"/>
  <c r="G172" i="2"/>
  <c r="I172" i="2" s="1"/>
  <c r="G171" i="2"/>
  <c r="I171" i="2" s="1"/>
  <c r="G170" i="2"/>
  <c r="I170" i="2" s="1"/>
  <c r="G169" i="2"/>
  <c r="I169" i="2" s="1"/>
  <c r="G168" i="2"/>
  <c r="I168" i="2" s="1"/>
  <c r="G167" i="2"/>
  <c r="I167" i="2" s="1"/>
  <c r="G166" i="2"/>
  <c r="I166" i="2" s="1"/>
  <c r="G165" i="2"/>
  <c r="I165" i="2" s="1"/>
  <c r="G164" i="2"/>
  <c r="I164" i="2" s="1"/>
  <c r="G163" i="2"/>
  <c r="I163" i="2" s="1"/>
  <c r="G162" i="2"/>
  <c r="I162" i="2" s="1"/>
  <c r="G161" i="2"/>
  <c r="I161" i="2" s="1"/>
  <c r="G160" i="2"/>
  <c r="I160" i="2" s="1"/>
  <c r="G159" i="2"/>
  <c r="I159" i="2" s="1"/>
  <c r="G158" i="2"/>
  <c r="I158" i="2" s="1"/>
  <c r="G157" i="2"/>
  <c r="I157" i="2" s="1"/>
  <c r="G156" i="2"/>
  <c r="I156" i="2" s="1"/>
  <c r="G155" i="2"/>
  <c r="I155" i="2" s="1"/>
  <c r="G154" i="2"/>
  <c r="I154" i="2" s="1"/>
  <c r="G153" i="2"/>
  <c r="I153" i="2" s="1"/>
  <c r="G152" i="2"/>
  <c r="I152" i="2" s="1"/>
  <c r="G151" i="2"/>
  <c r="I151" i="2" s="1"/>
  <c r="G150" i="2"/>
  <c r="I150" i="2" s="1"/>
  <c r="G149" i="2"/>
  <c r="I149" i="2" s="1"/>
  <c r="G148" i="2"/>
  <c r="I148" i="2" s="1"/>
  <c r="G147" i="2"/>
  <c r="I147" i="2" s="1"/>
  <c r="G146" i="2"/>
  <c r="I146" i="2" s="1"/>
  <c r="G145" i="2"/>
  <c r="I145" i="2" s="1"/>
  <c r="G144" i="2"/>
  <c r="I144" i="2" s="1"/>
  <c r="G143" i="2"/>
  <c r="I143" i="2" s="1"/>
  <c r="G142" i="2"/>
  <c r="I142" i="2" s="1"/>
  <c r="G141" i="2"/>
  <c r="I141" i="2" s="1"/>
  <c r="G140" i="2"/>
  <c r="I140" i="2" s="1"/>
  <c r="G139" i="2"/>
  <c r="I139" i="2" s="1"/>
  <c r="G138" i="2"/>
  <c r="I138" i="2" s="1"/>
  <c r="G137" i="2"/>
  <c r="I137" i="2" s="1"/>
  <c r="G136" i="2"/>
  <c r="I136" i="2" s="1"/>
  <c r="G135" i="2"/>
  <c r="I135" i="2" s="1"/>
  <c r="G134" i="2"/>
  <c r="I134" i="2" s="1"/>
  <c r="G133" i="2"/>
  <c r="I133" i="2" s="1"/>
  <c r="G132" i="2"/>
  <c r="I132" i="2" s="1"/>
  <c r="G131" i="2"/>
  <c r="I131" i="2" s="1"/>
  <c r="G130" i="2"/>
  <c r="I130" i="2" s="1"/>
  <c r="G129" i="2"/>
  <c r="I129" i="2" s="1"/>
  <c r="G128" i="2"/>
  <c r="I128" i="2" s="1"/>
  <c r="G127" i="2"/>
  <c r="I127" i="2" s="1"/>
  <c r="G126" i="2"/>
  <c r="I126" i="2" s="1"/>
  <c r="G125" i="2"/>
  <c r="I125" i="2" s="1"/>
  <c r="G124" i="2"/>
  <c r="I124" i="2" s="1"/>
  <c r="G123" i="2"/>
  <c r="I123" i="2" s="1"/>
  <c r="G122" i="2"/>
  <c r="I122" i="2" s="1"/>
  <c r="G121" i="2"/>
  <c r="I121" i="2" s="1"/>
  <c r="G120" i="2"/>
  <c r="I120" i="2" s="1"/>
  <c r="G119" i="2"/>
  <c r="I119" i="2" s="1"/>
  <c r="G118" i="2"/>
  <c r="I118" i="2" s="1"/>
  <c r="G117" i="2"/>
  <c r="I117" i="2" s="1"/>
  <c r="G116" i="2"/>
  <c r="I116" i="2" s="1"/>
  <c r="G115" i="2"/>
  <c r="I115" i="2" s="1"/>
  <c r="G114" i="2"/>
  <c r="I114" i="2" s="1"/>
  <c r="G113" i="2"/>
  <c r="I113" i="2" s="1"/>
  <c r="G112" i="2"/>
  <c r="I112" i="2" s="1"/>
  <c r="G111" i="2"/>
  <c r="I111" i="2" s="1"/>
  <c r="G110" i="2"/>
  <c r="I110" i="2" s="1"/>
  <c r="G109" i="2"/>
  <c r="I109" i="2" s="1"/>
  <c r="G108" i="2"/>
  <c r="I108" i="2" s="1"/>
  <c r="G107" i="2"/>
  <c r="I107" i="2" s="1"/>
  <c r="G106" i="2"/>
  <c r="I106" i="2" s="1"/>
  <c r="G105" i="2"/>
  <c r="I105" i="2" s="1"/>
  <c r="G104" i="2"/>
  <c r="I104" i="2" s="1"/>
  <c r="G103" i="2"/>
  <c r="I103" i="2" s="1"/>
  <c r="G102" i="2"/>
  <c r="I102" i="2" s="1"/>
  <c r="G101" i="2"/>
  <c r="I101" i="2" s="1"/>
  <c r="G100" i="2"/>
  <c r="I100" i="2" s="1"/>
  <c r="G99" i="2"/>
  <c r="I99" i="2" s="1"/>
  <c r="G98" i="2"/>
  <c r="I98" i="2" s="1"/>
  <c r="G97" i="2"/>
  <c r="I97" i="2" s="1"/>
  <c r="G96" i="2"/>
  <c r="I96" i="2" s="1"/>
  <c r="G95" i="2"/>
  <c r="I95" i="2" s="1"/>
  <c r="G94" i="2"/>
  <c r="I94" i="2" s="1"/>
  <c r="G93" i="2"/>
  <c r="I93" i="2" s="1"/>
  <c r="G92" i="2"/>
  <c r="I92" i="2" s="1"/>
  <c r="G91" i="2"/>
  <c r="I91" i="2" s="1"/>
  <c r="G90" i="2"/>
  <c r="I90" i="2" s="1"/>
  <c r="G89" i="2"/>
  <c r="I89" i="2" s="1"/>
  <c r="G88" i="2"/>
  <c r="I88" i="2" s="1"/>
  <c r="G87" i="2"/>
  <c r="I87" i="2" s="1"/>
  <c r="G86" i="2"/>
  <c r="I86" i="2" s="1"/>
  <c r="G85" i="2"/>
  <c r="I85" i="2" s="1"/>
  <c r="I84" i="2"/>
  <c r="G83" i="2"/>
  <c r="I83" i="2" s="1"/>
  <c r="G82" i="2"/>
  <c r="I82" i="2" s="1"/>
  <c r="G81" i="2"/>
  <c r="I81" i="2" s="1"/>
  <c r="G80" i="2"/>
  <c r="I80" i="2" s="1"/>
  <c r="G79" i="2"/>
  <c r="I79" i="2" s="1"/>
  <c r="G78" i="2"/>
  <c r="I78" i="2" s="1"/>
  <c r="G77" i="2"/>
  <c r="I77" i="2" s="1"/>
  <c r="G76" i="2"/>
  <c r="I76" i="2" s="1"/>
  <c r="G75" i="2"/>
  <c r="I75" i="2" s="1"/>
  <c r="G74" i="2"/>
  <c r="I74" i="2" s="1"/>
  <c r="G73" i="2"/>
  <c r="I73" i="2" s="1"/>
  <c r="G72" i="2"/>
  <c r="I72" i="2" s="1"/>
  <c r="G71" i="2"/>
  <c r="I71" i="2" s="1"/>
  <c r="G70" i="2"/>
  <c r="I70" i="2" s="1"/>
  <c r="G69" i="2"/>
  <c r="I69" i="2" s="1"/>
  <c r="G68" i="2"/>
  <c r="I68" i="2" s="1"/>
  <c r="G67" i="2"/>
  <c r="I67" i="2" s="1"/>
  <c r="G66" i="2"/>
  <c r="I66" i="2" s="1"/>
  <c r="G65" i="2"/>
  <c r="I65" i="2" s="1"/>
  <c r="G64" i="2"/>
  <c r="I64" i="2" s="1"/>
  <c r="G63" i="2"/>
  <c r="I63" i="2" s="1"/>
  <c r="G62" i="2"/>
  <c r="I62" i="2" s="1"/>
  <c r="G61" i="2"/>
  <c r="I61" i="2" s="1"/>
  <c r="G60" i="2"/>
  <c r="I60" i="2" s="1"/>
  <c r="G59" i="2"/>
  <c r="I59" i="2" s="1"/>
  <c r="G58" i="2"/>
  <c r="I58" i="2" s="1"/>
  <c r="G57" i="2"/>
  <c r="I57" i="2" s="1"/>
  <c r="G56" i="2"/>
  <c r="I56" i="2" s="1"/>
  <c r="G55" i="2"/>
  <c r="I55" i="2" s="1"/>
  <c r="G54" i="2"/>
  <c r="I54" i="2" s="1"/>
  <c r="G53" i="2"/>
  <c r="I53" i="2" s="1"/>
  <c r="G52" i="2"/>
  <c r="I52" i="2" s="1"/>
  <c r="G51" i="2"/>
  <c r="I51" i="2" s="1"/>
  <c r="G50" i="2"/>
  <c r="I50" i="2" s="1"/>
  <c r="G49" i="2"/>
  <c r="I49" i="2" s="1"/>
  <c r="G48" i="2"/>
  <c r="I48" i="2" s="1"/>
  <c r="G47" i="2"/>
  <c r="I47" i="2" s="1"/>
  <c r="G46" i="2"/>
  <c r="I46" i="2" s="1"/>
  <c r="G45" i="2"/>
  <c r="I45" i="2" s="1"/>
  <c r="G44" i="2"/>
  <c r="I44" i="2" s="1"/>
  <c r="G43" i="2"/>
  <c r="I43" i="2" s="1"/>
  <c r="G42" i="2"/>
  <c r="I42" i="2" s="1"/>
  <c r="G41" i="2"/>
  <c r="I41" i="2" s="1"/>
  <c r="G40" i="2"/>
  <c r="I40" i="2" s="1"/>
  <c r="G39" i="2"/>
  <c r="I39" i="2" s="1"/>
  <c r="G38" i="2"/>
  <c r="I38" i="2" s="1"/>
  <c r="G37" i="2"/>
  <c r="I37" i="2" s="1"/>
  <c r="G36" i="2"/>
  <c r="I36" i="2" s="1"/>
  <c r="G35" i="2"/>
  <c r="I35" i="2" s="1"/>
  <c r="G34" i="2"/>
  <c r="I34" i="2" s="1"/>
  <c r="G33" i="2"/>
  <c r="I33" i="2" s="1"/>
  <c r="G32" i="2"/>
  <c r="I32" i="2" s="1"/>
  <c r="G31" i="2"/>
  <c r="I31" i="2" s="1"/>
  <c r="G30" i="2"/>
  <c r="I30" i="2" s="1"/>
  <c r="G29" i="2"/>
  <c r="I29" i="2" s="1"/>
  <c r="G28" i="2"/>
  <c r="I28" i="2" s="1"/>
  <c r="G27" i="2"/>
  <c r="I27" i="2" s="1"/>
  <c r="G26" i="2"/>
  <c r="I26" i="2" s="1"/>
  <c r="G25" i="2"/>
  <c r="I25" i="2" s="1"/>
  <c r="G24" i="2"/>
  <c r="I24" i="2" s="1"/>
  <c r="G23" i="2"/>
  <c r="I23" i="2" s="1"/>
  <c r="G22" i="2"/>
  <c r="I22" i="2" s="1"/>
  <c r="G21" i="2"/>
  <c r="I21" i="2" s="1"/>
  <c r="G20" i="2"/>
  <c r="I20" i="2" s="1"/>
  <c r="G19" i="2"/>
  <c r="I19" i="2" s="1"/>
  <c r="G18" i="2"/>
  <c r="I18" i="2" s="1"/>
  <c r="G17" i="2"/>
  <c r="I17" i="2" s="1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  <c r="G9" i="2"/>
  <c r="I9" i="2" s="1"/>
  <c r="G8" i="2"/>
  <c r="I8" i="2" s="1"/>
  <c r="G7" i="2"/>
  <c r="I7" i="2" s="1"/>
  <c r="G6" i="2"/>
  <c r="I6" i="2" s="1"/>
  <c r="H403" i="5" l="1"/>
  <c r="I403" i="5" s="1"/>
  <c r="H402" i="5"/>
  <c r="I402" i="5" s="1"/>
  <c r="H362" i="5"/>
  <c r="I362" i="5" s="1"/>
  <c r="H339" i="5"/>
  <c r="I339" i="5" s="1"/>
  <c r="H395" i="5"/>
  <c r="I395" i="5" s="1"/>
  <c r="H394" i="5"/>
  <c r="I394" i="5" s="1"/>
  <c r="H347" i="5"/>
  <c r="I347" i="5" s="1"/>
  <c r="H371" i="5"/>
  <c r="I371" i="5" s="1"/>
  <c r="H370" i="5"/>
  <c r="I370" i="5" s="1"/>
  <c r="H369" i="5"/>
  <c r="I369" i="5" s="1"/>
  <c r="H346" i="5"/>
  <c r="I346" i="5" s="1"/>
  <c r="H387" i="5"/>
  <c r="I387" i="5" s="1"/>
  <c r="H265" i="5"/>
  <c r="I265" i="5" s="1"/>
  <c r="H326" i="5"/>
  <c r="I326" i="5" s="1"/>
  <c r="H379" i="5"/>
  <c r="I379" i="5" s="1"/>
  <c r="H378" i="5"/>
  <c r="I378" i="5" s="1"/>
  <c r="H376" i="5"/>
  <c r="I376" i="5" s="1"/>
  <c r="H375" i="5"/>
  <c r="I375" i="5" s="1"/>
  <c r="H374" i="5"/>
  <c r="I374" i="5" s="1"/>
  <c r="H354" i="5"/>
  <c r="I354" i="5" s="1"/>
  <c r="H377" i="5"/>
  <c r="I377" i="5" s="1"/>
  <c r="H331" i="5"/>
  <c r="I331" i="5" s="1"/>
  <c r="H330" i="5"/>
  <c r="I330" i="5" s="1"/>
  <c r="H329" i="5"/>
  <c r="I329" i="5" s="1"/>
  <c r="H328" i="5"/>
  <c r="I328" i="5" s="1"/>
  <c r="H327" i="5"/>
  <c r="I327" i="5" s="1"/>
  <c r="H352" i="5"/>
  <c r="I352" i="5" s="1"/>
  <c r="H353" i="5"/>
  <c r="I353" i="5" s="1"/>
  <c r="H351" i="5"/>
  <c r="I351" i="5" s="1"/>
  <c r="H350" i="5"/>
  <c r="I350" i="5" s="1"/>
  <c r="H349" i="5"/>
  <c r="I349" i="5" s="1"/>
  <c r="H219" i="5"/>
  <c r="H364" i="5"/>
  <c r="I364" i="5" s="1"/>
  <c r="H363" i="5"/>
  <c r="I363" i="5" s="1"/>
  <c r="H382" i="5"/>
  <c r="I382" i="5" s="1"/>
  <c r="H356" i="5"/>
  <c r="I356" i="5" s="1"/>
  <c r="H355" i="5"/>
  <c r="I355" i="5" s="1"/>
  <c r="H334" i="5"/>
  <c r="I334" i="5" s="1"/>
  <c r="H380" i="5"/>
  <c r="I380" i="5" s="1"/>
  <c r="H341" i="5"/>
  <c r="I341" i="5" s="1"/>
  <c r="H340" i="5"/>
  <c r="I340" i="5" s="1"/>
  <c r="H333" i="5"/>
  <c r="I333" i="5" s="1"/>
  <c r="H357" i="5"/>
  <c r="I357" i="5" s="1"/>
  <c r="H381" i="5"/>
  <c r="I381" i="5" s="1"/>
  <c r="H332" i="5"/>
  <c r="I332" i="5" s="1"/>
  <c r="H229" i="5"/>
  <c r="H373" i="5"/>
  <c r="I373" i="5" s="1"/>
  <c r="H372" i="5"/>
  <c r="I372" i="5" s="1"/>
  <c r="H152" i="5"/>
  <c r="I152" i="5" s="1"/>
  <c r="H404" i="5"/>
  <c r="I404" i="5" s="1"/>
  <c r="H396" i="5"/>
  <c r="I396" i="5" s="1"/>
  <c r="H348" i="5"/>
  <c r="I348" i="5" s="1"/>
  <c r="I92" i="7"/>
  <c r="I232" i="7"/>
  <c r="F77" i="6"/>
  <c r="G77" i="6" s="1"/>
  <c r="F33" i="6"/>
  <c r="G33" i="6" s="1"/>
  <c r="F87" i="6"/>
  <c r="G87" i="6" s="1"/>
  <c r="F43" i="6"/>
  <c r="G43" i="6" s="1"/>
  <c r="F199" i="6"/>
  <c r="G199" i="6" s="1"/>
  <c r="F198" i="6"/>
  <c r="G198" i="6" s="1"/>
  <c r="F229" i="6"/>
  <c r="F189" i="6"/>
  <c r="F142" i="6"/>
  <c r="F141" i="6"/>
  <c r="G141" i="6" s="1"/>
  <c r="F81" i="6"/>
  <c r="F78" i="6"/>
  <c r="F217" i="6"/>
  <c r="G217" i="6" s="1"/>
  <c r="F216" i="6"/>
  <c r="F37" i="6"/>
  <c r="F190" i="6"/>
  <c r="F191" i="6"/>
  <c r="F201" i="6"/>
  <c r="G201" i="6" s="1"/>
  <c r="F200" i="6"/>
  <c r="F89" i="6"/>
  <c r="G89" i="6" s="1"/>
  <c r="F88" i="6"/>
  <c r="G88" i="6" s="1"/>
  <c r="F44" i="6"/>
  <c r="G44" i="6" s="1"/>
  <c r="F45" i="6"/>
  <c r="G45" i="6" s="1"/>
  <c r="F193" i="6"/>
  <c r="G193" i="6" s="1"/>
  <c r="F192" i="6"/>
  <c r="G192" i="6" s="1"/>
  <c r="F39" i="6"/>
  <c r="F144" i="6"/>
  <c r="F143" i="6"/>
  <c r="F47" i="6"/>
  <c r="G47" i="6" s="1"/>
  <c r="F202" i="6"/>
  <c r="F46" i="6"/>
  <c r="H136" i="5"/>
  <c r="I136" i="5" s="1"/>
  <c r="H186" i="5"/>
  <c r="I186" i="5" s="1"/>
  <c r="H220" i="5"/>
  <c r="H169" i="5"/>
  <c r="H113" i="5"/>
  <c r="H193" i="5"/>
  <c r="I193" i="5" s="1"/>
  <c r="H230" i="5"/>
  <c r="I230" i="5" s="1"/>
  <c r="H127" i="5"/>
  <c r="I127" i="5" s="1"/>
  <c r="H183" i="5"/>
  <c r="I183" i="5" s="1"/>
  <c r="H194" i="5"/>
  <c r="I194" i="5" s="1"/>
  <c r="H231" i="5"/>
  <c r="H128" i="5"/>
  <c r="I128" i="5" s="1"/>
  <c r="H185" i="5"/>
  <c r="I185" i="5" s="1"/>
  <c r="H170" i="5"/>
  <c r="I170" i="5" s="1"/>
  <c r="F168" i="6"/>
  <c r="G168" i="6" s="1"/>
  <c r="F111" i="6"/>
  <c r="G111" i="6" s="1"/>
  <c r="F57" i="6"/>
  <c r="G57" i="6" s="1"/>
  <c r="F13" i="6"/>
  <c r="G13" i="6" s="1"/>
  <c r="F185" i="6"/>
  <c r="G185" i="6" s="1"/>
  <c r="F129" i="6"/>
  <c r="F30" i="6"/>
  <c r="G30" i="6" s="1"/>
  <c r="F75" i="6"/>
  <c r="G75" i="6" s="1"/>
  <c r="F128" i="6"/>
  <c r="G128" i="6" s="1"/>
  <c r="F74" i="6"/>
  <c r="G74" i="6" s="1"/>
  <c r="F186" i="6"/>
  <c r="F31" i="6"/>
  <c r="G31" i="6" s="1"/>
  <c r="G191" i="6"/>
  <c r="G81" i="6"/>
  <c r="F38" i="6"/>
  <c r="G38" i="6" s="1"/>
  <c r="G142" i="6"/>
  <c r="F82" i="6"/>
  <c r="G82" i="6" s="1"/>
  <c r="F187" i="6"/>
  <c r="G187" i="6" s="1"/>
  <c r="F131" i="6"/>
  <c r="G131" i="6" s="1"/>
  <c r="F188" i="6"/>
  <c r="G188" i="6" s="1"/>
  <c r="F130" i="6"/>
  <c r="F32" i="6"/>
  <c r="F76" i="6"/>
  <c r="G76" i="6" s="1"/>
  <c r="F139" i="6"/>
  <c r="G139" i="6" s="1"/>
  <c r="F137" i="6"/>
  <c r="G137" i="6" s="1"/>
  <c r="F138" i="6"/>
  <c r="G136" i="6"/>
  <c r="F140" i="6"/>
  <c r="G140" i="6" s="1"/>
  <c r="F195" i="6"/>
  <c r="G195" i="6" s="1"/>
  <c r="F147" i="6"/>
  <c r="G147" i="6" s="1"/>
  <c r="F197" i="6"/>
  <c r="G197" i="6" s="1"/>
  <c r="G145" i="6"/>
  <c r="F85" i="6"/>
  <c r="G85" i="6" s="1"/>
  <c r="F42" i="6"/>
  <c r="G42" i="6" s="1"/>
  <c r="F196" i="6"/>
  <c r="G196" i="6" s="1"/>
  <c r="F194" i="6"/>
  <c r="G194" i="6" s="1"/>
  <c r="F146" i="6"/>
  <c r="G146" i="6" s="1"/>
  <c r="F86" i="6"/>
  <c r="G86" i="6" s="1"/>
  <c r="G39" i="6"/>
  <c r="G144" i="6"/>
  <c r="F84" i="6"/>
  <c r="F83" i="6"/>
  <c r="G83" i="6" s="1"/>
  <c r="F41" i="6"/>
  <c r="G41" i="6" s="1"/>
  <c r="F40" i="6"/>
  <c r="G40" i="6" s="1"/>
  <c r="F148" i="6"/>
  <c r="G148" i="6" s="1"/>
  <c r="F160" i="6"/>
  <c r="G160" i="6" s="1"/>
  <c r="F103" i="6"/>
  <c r="G103" i="6" s="1"/>
  <c r="F167" i="6"/>
  <c r="G167" i="6" s="1"/>
  <c r="F12" i="6"/>
  <c r="F110" i="6"/>
  <c r="G110" i="6" s="1"/>
  <c r="F56" i="6"/>
  <c r="G56" i="6" s="1"/>
  <c r="F177" i="6"/>
  <c r="G177" i="6" s="1"/>
  <c r="F66" i="6"/>
  <c r="G66" i="6" s="1"/>
  <c r="F22" i="6"/>
  <c r="G22" i="6" s="1"/>
  <c r="F120" i="6"/>
  <c r="G120" i="6" s="1"/>
  <c r="F184" i="6"/>
  <c r="G184" i="6" s="1"/>
  <c r="F127" i="6"/>
  <c r="G127" i="6" s="1"/>
  <c r="F73" i="6"/>
  <c r="G73" i="6" s="1"/>
  <c r="F183" i="6"/>
  <c r="G183" i="6" s="1"/>
  <c r="F28" i="6"/>
  <c r="G28" i="6" s="1"/>
  <c r="F126" i="6"/>
  <c r="F72" i="6"/>
  <c r="G72" i="6" s="1"/>
  <c r="F29" i="6"/>
  <c r="G29" i="6" s="1"/>
  <c r="F215" i="6"/>
  <c r="G215" i="6" s="1"/>
  <c r="F227" i="6"/>
  <c r="G227" i="6" s="1"/>
  <c r="G132" i="6"/>
  <c r="F257" i="6"/>
  <c r="F228" i="6"/>
  <c r="G228" i="6" s="1"/>
  <c r="F34" i="6"/>
  <c r="G216" i="6"/>
  <c r="F80" i="6"/>
  <c r="G80" i="6" s="1"/>
  <c r="G190" i="6"/>
  <c r="F79" i="6"/>
  <c r="G79" i="6" s="1"/>
  <c r="F239" i="6"/>
  <c r="G239" i="6" s="1"/>
  <c r="G78" i="6"/>
  <c r="F248" i="6"/>
  <c r="G248" i="6" s="1"/>
  <c r="F36" i="6"/>
  <c r="G36" i="6" s="1"/>
  <c r="F35" i="6"/>
  <c r="G35" i="6" s="1"/>
  <c r="G200" i="6"/>
  <c r="F172" i="6"/>
  <c r="G172" i="6" s="1"/>
  <c r="F17" i="6"/>
  <c r="G17" i="6" s="1"/>
  <c r="F115" i="6"/>
  <c r="G115" i="6" s="1"/>
  <c r="F61" i="6"/>
  <c r="G61" i="6" s="1"/>
  <c r="F151" i="6"/>
  <c r="G151" i="6" s="1"/>
  <c r="F153" i="6"/>
  <c r="G153" i="6" s="1"/>
  <c r="F50" i="6"/>
  <c r="G50" i="6" s="1"/>
  <c r="F6" i="6"/>
  <c r="G6" i="6" s="1"/>
  <c r="F7" i="6"/>
  <c r="G7" i="6" s="1"/>
  <c r="F152" i="6"/>
  <c r="F95" i="6"/>
  <c r="G95" i="6" s="1"/>
  <c r="F94" i="6"/>
  <c r="G94" i="6" s="1"/>
  <c r="F51" i="6"/>
  <c r="G51" i="6" s="1"/>
  <c r="F161" i="6"/>
  <c r="G161" i="6" s="1"/>
  <c r="F104" i="6"/>
  <c r="G104" i="6" s="1"/>
  <c r="F121" i="6"/>
  <c r="G121" i="6" s="1"/>
  <c r="F178" i="6"/>
  <c r="G178" i="6" s="1"/>
  <c r="F23" i="6"/>
  <c r="G23" i="6" s="1"/>
  <c r="F67" i="6"/>
  <c r="G67" i="6" s="1"/>
  <c r="F135" i="6"/>
  <c r="G135" i="6" s="1"/>
  <c r="G134" i="6"/>
  <c r="F203" i="6"/>
  <c r="G203" i="6" s="1"/>
  <c r="F205" i="6"/>
  <c r="G205" i="6" s="1"/>
  <c r="G46" i="6"/>
  <c r="F204" i="6"/>
  <c r="G204" i="6" s="1"/>
  <c r="F91" i="6"/>
  <c r="G91" i="6" s="1"/>
  <c r="F90" i="6"/>
  <c r="G90" i="6" s="1"/>
  <c r="G202" i="6"/>
  <c r="F163" i="6"/>
  <c r="G163" i="6" s="1"/>
  <c r="F105" i="6"/>
  <c r="G105" i="6" s="1"/>
  <c r="F162" i="6"/>
  <c r="G162" i="6" s="1"/>
  <c r="F106" i="6"/>
  <c r="G106" i="6" s="1"/>
  <c r="F222" i="6"/>
  <c r="G222" i="6" s="1"/>
  <c r="F211" i="6"/>
  <c r="G211" i="6" s="1"/>
  <c r="F157" i="6"/>
  <c r="G157" i="6" s="1"/>
  <c r="F223" i="6"/>
  <c r="G223" i="6" s="1"/>
  <c r="F210" i="6"/>
  <c r="G210" i="6" s="1"/>
  <c r="F100" i="6"/>
  <c r="G100" i="6" s="1"/>
  <c r="F165" i="6"/>
  <c r="G165" i="6" s="1"/>
  <c r="F109" i="6"/>
  <c r="G109" i="6" s="1"/>
  <c r="F164" i="6"/>
  <c r="G164" i="6" s="1"/>
  <c r="F107" i="6"/>
  <c r="G107" i="6" s="1"/>
  <c r="F166" i="6"/>
  <c r="G166" i="6" s="1"/>
  <c r="F108" i="6"/>
  <c r="F175" i="6"/>
  <c r="G175" i="6" s="1"/>
  <c r="F176" i="6"/>
  <c r="G176" i="6" s="1"/>
  <c r="F118" i="6"/>
  <c r="G118" i="6" s="1"/>
  <c r="F65" i="6"/>
  <c r="G65" i="6" s="1"/>
  <c r="F64" i="6"/>
  <c r="G64" i="6" s="1"/>
  <c r="F21" i="6"/>
  <c r="G21" i="6" s="1"/>
  <c r="F20" i="6"/>
  <c r="G20" i="6" s="1"/>
  <c r="F119" i="6"/>
  <c r="G119" i="6" s="1"/>
  <c r="F125" i="6"/>
  <c r="G125" i="6" s="1"/>
  <c r="F27" i="6"/>
  <c r="G27" i="6" s="1"/>
  <c r="F182" i="6"/>
  <c r="G182" i="6" s="1"/>
  <c r="F71" i="6"/>
  <c r="G71" i="6" s="1"/>
  <c r="F249" i="6"/>
  <c r="G249" i="6" s="1"/>
  <c r="F240" i="6"/>
  <c r="G240" i="6" s="1"/>
  <c r="F258" i="6"/>
  <c r="G258" i="6" s="1"/>
  <c r="H101" i="5"/>
  <c r="H252" i="5"/>
  <c r="I252" i="5" s="1"/>
  <c r="H244" i="5"/>
  <c r="I244" i="5" s="1"/>
  <c r="H236" i="5"/>
  <c r="I236" i="5" s="1"/>
  <c r="H243" i="5"/>
  <c r="I243" i="5" s="1"/>
  <c r="H235" i="5"/>
  <c r="I235" i="5" s="1"/>
  <c r="H254" i="5"/>
  <c r="I254" i="5" s="1"/>
  <c r="H234" i="5"/>
  <c r="I234" i="5" s="1"/>
  <c r="H253" i="5"/>
  <c r="I253" i="5" s="1"/>
  <c r="H245" i="5"/>
  <c r="I245" i="5" s="1"/>
  <c r="H93" i="5"/>
  <c r="I93" i="5" s="1"/>
  <c r="I317" i="5"/>
  <c r="H313" i="5"/>
  <c r="I313" i="5" s="1"/>
  <c r="H309" i="5"/>
  <c r="I309" i="5" s="1"/>
  <c r="H305" i="5"/>
  <c r="I305" i="5" s="1"/>
  <c r="H301" i="5"/>
  <c r="I301" i="5" s="1"/>
  <c r="H281" i="5"/>
  <c r="I281" i="5" s="1"/>
  <c r="H277" i="5"/>
  <c r="I277" i="5" s="1"/>
  <c r="H316" i="5"/>
  <c r="I316" i="5" s="1"/>
  <c r="H308" i="5"/>
  <c r="I308" i="5" s="1"/>
  <c r="H300" i="5"/>
  <c r="I300" i="5" s="1"/>
  <c r="H284" i="5"/>
  <c r="I284" i="5" s="1"/>
  <c r="H276" i="5"/>
  <c r="I276" i="5" s="1"/>
  <c r="H314" i="5"/>
  <c r="I314" i="5" s="1"/>
  <c r="H306" i="5"/>
  <c r="I306" i="5" s="1"/>
  <c r="H302" i="5"/>
  <c r="I302" i="5" s="1"/>
  <c r="H282" i="5"/>
  <c r="I282" i="5" s="1"/>
  <c r="H274" i="5"/>
  <c r="I274" i="5" s="1"/>
  <c r="H315" i="5"/>
  <c r="I315" i="5" s="1"/>
  <c r="H299" i="5"/>
  <c r="I299" i="5" s="1"/>
  <c r="H283" i="5"/>
  <c r="I283" i="5" s="1"/>
  <c r="H307" i="5"/>
  <c r="I307" i="5" s="1"/>
  <c r="H275" i="5"/>
  <c r="I275" i="5" s="1"/>
  <c r="H166" i="5"/>
  <c r="I166" i="5" s="1"/>
  <c r="H217" i="5"/>
  <c r="I217" i="5" s="1"/>
  <c r="H111" i="5"/>
  <c r="I111" i="5" s="1"/>
  <c r="H289" i="5"/>
  <c r="I289" i="5" s="1"/>
  <c r="H288" i="5"/>
  <c r="I288" i="5" s="1"/>
  <c r="H255" i="5"/>
  <c r="I255" i="5" s="1"/>
  <c r="H246" i="5"/>
  <c r="I246" i="5" s="1"/>
  <c r="H237" i="5"/>
  <c r="I237" i="5" s="1"/>
  <c r="H79" i="5"/>
  <c r="H285" i="5"/>
  <c r="I285" i="5" s="1"/>
  <c r="H318" i="5"/>
  <c r="I318" i="5" s="1"/>
  <c r="H310" i="5"/>
  <c r="I310" i="5" s="1"/>
  <c r="H286" i="5"/>
  <c r="I286" i="5" s="1"/>
  <c r="H278" i="5"/>
  <c r="I278" i="5" s="1"/>
  <c r="H311" i="5"/>
  <c r="I311" i="5" s="1"/>
  <c r="H319" i="5"/>
  <c r="I319" i="5" s="1"/>
  <c r="H303" i="5"/>
  <c r="I303" i="5" s="1"/>
  <c r="H161" i="5"/>
  <c r="I161" i="5" s="1"/>
  <c r="H65" i="5"/>
  <c r="I65" i="5" s="1"/>
  <c r="H293" i="5"/>
  <c r="I293" i="5" s="1"/>
  <c r="H269" i="5"/>
  <c r="I269" i="5" s="1"/>
  <c r="H266" i="5"/>
  <c r="I266" i="5" s="1"/>
  <c r="H292" i="5"/>
  <c r="I292" i="5" s="1"/>
  <c r="H268" i="5"/>
  <c r="I268" i="5" s="1"/>
  <c r="H294" i="5"/>
  <c r="I294" i="5" s="1"/>
  <c r="H290" i="5"/>
  <c r="I290" i="5" s="1"/>
  <c r="H270" i="5"/>
  <c r="I270" i="5" s="1"/>
  <c r="H267" i="5"/>
  <c r="I267" i="5" s="1"/>
  <c r="H295" i="5"/>
  <c r="I295" i="5" s="1"/>
  <c r="H291" i="5"/>
  <c r="I291" i="5" s="1"/>
  <c r="H256" i="5"/>
  <c r="I256" i="5" s="1"/>
  <c r="H238" i="5"/>
  <c r="I238" i="5" s="1"/>
  <c r="H247" i="5"/>
  <c r="I247" i="5" s="1"/>
  <c r="H95" i="5"/>
  <c r="H320" i="5"/>
  <c r="I320" i="5" s="1"/>
  <c r="H312" i="5"/>
  <c r="I312" i="5" s="1"/>
  <c r="H287" i="5"/>
  <c r="I287" i="5" s="1"/>
  <c r="H162" i="5"/>
  <c r="I162" i="5" s="1"/>
  <c r="H209" i="5"/>
  <c r="I209" i="5" s="1"/>
  <c r="I220" i="7"/>
  <c r="H83" i="5"/>
  <c r="I83" i="5" s="1"/>
  <c r="H297" i="5"/>
  <c r="I297" i="5" s="1"/>
  <c r="H273" i="5"/>
  <c r="I273" i="5" s="1"/>
  <c r="H304" i="5"/>
  <c r="I304" i="5" s="1"/>
  <c r="H296" i="5"/>
  <c r="I296" i="5" s="1"/>
  <c r="H280" i="5"/>
  <c r="I280" i="5" s="1"/>
  <c r="H272" i="5"/>
  <c r="I272" i="5" s="1"/>
  <c r="H298" i="5"/>
  <c r="I298" i="5" s="1"/>
  <c r="H279" i="5"/>
  <c r="I279" i="5" s="1"/>
  <c r="H271" i="5"/>
  <c r="I271" i="5" s="1"/>
  <c r="H260" i="5"/>
  <c r="I260" i="5" s="1"/>
  <c r="H248" i="5"/>
  <c r="I248" i="5" s="1"/>
  <c r="H240" i="5"/>
  <c r="I240" i="5" s="1"/>
  <c r="H258" i="5"/>
  <c r="I258" i="5" s="1"/>
  <c r="H250" i="5"/>
  <c r="I250" i="5" s="1"/>
  <c r="H242" i="5"/>
  <c r="I242" i="5" s="1"/>
  <c r="H259" i="5"/>
  <c r="I259" i="5" s="1"/>
  <c r="H251" i="5"/>
  <c r="I251" i="5" s="1"/>
  <c r="H239" i="5"/>
  <c r="I239" i="5" s="1"/>
  <c r="H257" i="5"/>
  <c r="I257" i="5" s="1"/>
  <c r="H249" i="5"/>
  <c r="I249" i="5" s="1"/>
  <c r="H241" i="5"/>
  <c r="I241" i="5" s="1"/>
  <c r="H126" i="5"/>
  <c r="I126" i="5" s="1"/>
  <c r="H144" i="5"/>
  <c r="I144" i="5" s="1"/>
  <c r="H165" i="5"/>
  <c r="I165" i="5" s="1"/>
  <c r="H182" i="5"/>
  <c r="I182" i="5" s="1"/>
  <c r="H192" i="5"/>
  <c r="H214" i="5"/>
  <c r="I214" i="5" s="1"/>
  <c r="H226" i="5"/>
  <c r="I226" i="5" s="1"/>
  <c r="G253" i="6"/>
  <c r="G159" i="6"/>
  <c r="G158" i="6"/>
  <c r="G102" i="6"/>
  <c r="G108" i="6"/>
  <c r="G226" i="6"/>
  <c r="G237" i="6"/>
  <c r="F247" i="6"/>
  <c r="G247" i="6" s="1"/>
  <c r="G246" i="6"/>
  <c r="G238" i="6"/>
  <c r="G124" i="6"/>
  <c r="G181" i="6"/>
  <c r="G123" i="6"/>
  <c r="G180" i="6"/>
  <c r="G70" i="6"/>
  <c r="G26" i="6"/>
  <c r="G69" i="6"/>
  <c r="G130" i="6"/>
  <c r="G138" i="6"/>
  <c r="G84" i="6"/>
  <c r="G60" i="6"/>
  <c r="G114" i="6"/>
  <c r="G171" i="6"/>
  <c r="G235" i="6"/>
  <c r="G244" i="6"/>
  <c r="G252" i="6"/>
  <c r="G152" i="6"/>
  <c r="G96" i="6"/>
  <c r="G52" i="6"/>
  <c r="G8" i="6"/>
  <c r="G254" i="6"/>
  <c r="G245" i="6"/>
  <c r="G236" i="6"/>
  <c r="G170" i="6"/>
  <c r="G112" i="6"/>
  <c r="G213" i="6"/>
  <c r="G169" i="6"/>
  <c r="G212" i="6"/>
  <c r="G58" i="6"/>
  <c r="G113" i="6"/>
  <c r="G15" i="6"/>
  <c r="G59" i="6"/>
  <c r="G126" i="6"/>
  <c r="G133" i="6"/>
  <c r="G257" i="6"/>
  <c r="G189" i="6"/>
  <c r="G19" i="6"/>
  <c r="G116" i="6"/>
  <c r="G173" i="6"/>
  <c r="G63" i="6"/>
  <c r="G62" i="6"/>
  <c r="G117" i="6"/>
  <c r="G24" i="6"/>
  <c r="G255" i="6"/>
  <c r="G256" i="6"/>
  <c r="G214" i="6"/>
  <c r="G68" i="6"/>
  <c r="G122" i="6"/>
  <c r="G179" i="6"/>
  <c r="G186" i="6"/>
  <c r="G129" i="6"/>
  <c r="G143" i="6"/>
  <c r="G12" i="6"/>
  <c r="G34" i="6"/>
  <c r="G224" i="6"/>
  <c r="G225" i="6"/>
  <c r="G229" i="6"/>
  <c r="I192" i="7"/>
  <c r="I196" i="7"/>
  <c r="I200" i="7"/>
  <c r="I204" i="7"/>
  <c r="I208" i="7"/>
  <c r="I89" i="7"/>
  <c r="I86" i="7"/>
  <c r="I81" i="7"/>
  <c r="I85" i="7"/>
  <c r="I93" i="7"/>
  <c r="I87" i="7"/>
  <c r="I193" i="7"/>
  <c r="I197" i="7"/>
  <c r="I201" i="7"/>
  <c r="H26" i="7"/>
  <c r="I26" i="7" s="1"/>
  <c r="H31" i="7"/>
  <c r="I31" i="7" s="1"/>
  <c r="H71" i="7"/>
  <c r="I71" i="7" s="1"/>
  <c r="H77" i="7"/>
  <c r="I77" i="7" s="1"/>
  <c r="I84" i="7"/>
  <c r="I88" i="7"/>
  <c r="H108" i="7"/>
  <c r="I108" i="7" s="1"/>
  <c r="H127" i="7"/>
  <c r="I127" i="7" s="1"/>
  <c r="H132" i="7"/>
  <c r="I132" i="7" s="1"/>
  <c r="H138" i="7"/>
  <c r="H143" i="7"/>
  <c r="I143" i="7" s="1"/>
  <c r="H148" i="7"/>
  <c r="I148" i="7" s="1"/>
  <c r="H164" i="7"/>
  <c r="I164" i="7" s="1"/>
  <c r="H184" i="7"/>
  <c r="I184" i="7" s="1"/>
  <c r="H189" i="7"/>
  <c r="I189" i="7" s="1"/>
  <c r="H27" i="7"/>
  <c r="I27" i="7" s="1"/>
  <c r="H32" i="7"/>
  <c r="I32" i="7" s="1"/>
  <c r="H73" i="7"/>
  <c r="I73" i="7" s="1"/>
  <c r="H78" i="7"/>
  <c r="I78" i="7" s="1"/>
  <c r="H112" i="7"/>
  <c r="I112" i="7" s="1"/>
  <c r="H128" i="7"/>
  <c r="I128" i="7" s="1"/>
  <c r="H134" i="7"/>
  <c r="I134" i="7" s="1"/>
  <c r="H139" i="7"/>
  <c r="I139" i="7" s="1"/>
  <c r="H144" i="7"/>
  <c r="I144" i="7" s="1"/>
  <c r="H150" i="7"/>
  <c r="I150" i="7" s="1"/>
  <c r="H168" i="7"/>
  <c r="I168" i="7" s="1"/>
  <c r="H185" i="7"/>
  <c r="I185" i="7" s="1"/>
  <c r="H190" i="7"/>
  <c r="I190" i="7" s="1"/>
  <c r="H28" i="7"/>
  <c r="I28" i="7" s="1"/>
  <c r="H34" i="7"/>
  <c r="I34" i="7" s="1"/>
  <c r="H74" i="7"/>
  <c r="I74" i="7" s="1"/>
  <c r="H79" i="7"/>
  <c r="I79" i="7" s="1"/>
  <c r="I82" i="7"/>
  <c r="I90" i="7"/>
  <c r="I94" i="7"/>
  <c r="H124" i="7"/>
  <c r="I124" i="7" s="1"/>
  <c r="H130" i="7"/>
  <c r="I130" i="7" s="1"/>
  <c r="H135" i="7"/>
  <c r="I135" i="7" s="1"/>
  <c r="H140" i="7"/>
  <c r="I140" i="7" s="1"/>
  <c r="H146" i="7"/>
  <c r="I146" i="7" s="1"/>
  <c r="H151" i="7"/>
  <c r="I151" i="7" s="1"/>
  <c r="H181" i="7"/>
  <c r="I181" i="7" s="1"/>
  <c r="H186" i="7"/>
  <c r="I186" i="7" s="1"/>
  <c r="H30" i="7"/>
  <c r="I30" i="7" s="1"/>
  <c r="H35" i="7"/>
  <c r="I35" i="7" s="1"/>
  <c r="H70" i="7"/>
  <c r="I70" i="7" s="1"/>
  <c r="H75" i="7"/>
  <c r="I75" i="7" s="1"/>
  <c r="I83" i="7"/>
  <c r="I91" i="7"/>
  <c r="H104" i="7"/>
  <c r="I104" i="7" s="1"/>
  <c r="H126" i="7"/>
  <c r="I126" i="7" s="1"/>
  <c r="H131" i="7"/>
  <c r="I131" i="7" s="1"/>
  <c r="H136" i="7"/>
  <c r="H142" i="7"/>
  <c r="I142" i="7" s="1"/>
  <c r="H147" i="7"/>
  <c r="I147" i="7" s="1"/>
  <c r="H160" i="7"/>
  <c r="I160" i="7" s="1"/>
  <c r="H182" i="7"/>
  <c r="I182" i="7" s="1"/>
  <c r="H188" i="7"/>
  <c r="I188" i="7" s="1"/>
  <c r="H217" i="7"/>
  <c r="I217" i="7" s="1"/>
  <c r="H229" i="7"/>
  <c r="I229" i="7" s="1"/>
  <c r="I136" i="7"/>
  <c r="H29" i="7"/>
  <c r="I29" i="7" s="1"/>
  <c r="H33" i="7"/>
  <c r="H72" i="7"/>
  <c r="I72" i="7" s="1"/>
  <c r="H76" i="7"/>
  <c r="I76" i="7" s="1"/>
  <c r="H125" i="7"/>
  <c r="I125" i="7" s="1"/>
  <c r="H129" i="7"/>
  <c r="I129" i="7" s="1"/>
  <c r="H133" i="7"/>
  <c r="I133" i="7" s="1"/>
  <c r="H137" i="7"/>
  <c r="I137" i="7" s="1"/>
  <c r="H141" i="7"/>
  <c r="I141" i="7" s="1"/>
  <c r="H145" i="7"/>
  <c r="I145" i="7" s="1"/>
  <c r="H149" i="7"/>
  <c r="I149" i="7" s="1"/>
  <c r="H183" i="7"/>
  <c r="I183" i="7" s="1"/>
  <c r="H187" i="7"/>
  <c r="I187" i="7" s="1"/>
  <c r="I33" i="7"/>
  <c r="I191" i="7"/>
  <c r="I216" i="7"/>
  <c r="H19" i="7"/>
  <c r="I19" i="7" s="1"/>
  <c r="H23" i="7"/>
  <c r="I23" i="7" s="1"/>
  <c r="H61" i="7"/>
  <c r="I61" i="7" s="1"/>
  <c r="H69" i="7"/>
  <c r="I69" i="7" s="1"/>
  <c r="H115" i="7"/>
  <c r="I115" i="7" s="1"/>
  <c r="H119" i="7"/>
  <c r="I119" i="7" s="1"/>
  <c r="H170" i="7"/>
  <c r="I170" i="7" s="1"/>
  <c r="H178" i="7"/>
  <c r="I178" i="7" s="1"/>
  <c r="H16" i="7"/>
  <c r="I16" i="7" s="1"/>
  <c r="H20" i="7"/>
  <c r="I20" i="7" s="1"/>
  <c r="H24" i="7"/>
  <c r="I24" i="7" s="1"/>
  <c r="H62" i="7"/>
  <c r="I62" i="7" s="1"/>
  <c r="H66" i="7"/>
  <c r="I66" i="7" s="1"/>
  <c r="H116" i="7"/>
  <c r="I116" i="7" s="1"/>
  <c r="H120" i="7"/>
  <c r="I120" i="7" s="1"/>
  <c r="H171" i="7"/>
  <c r="I171" i="7" s="1"/>
  <c r="H175" i="7"/>
  <c r="I175" i="7" s="1"/>
  <c r="H179" i="7"/>
  <c r="I179" i="7" s="1"/>
  <c r="H227" i="7"/>
  <c r="I227" i="7" s="1"/>
  <c r="H17" i="7"/>
  <c r="I17" i="7" s="1"/>
  <c r="H21" i="7"/>
  <c r="I21" i="7" s="1"/>
  <c r="H25" i="7"/>
  <c r="I25" i="7" s="1"/>
  <c r="H59" i="7"/>
  <c r="I59" i="7" s="1"/>
  <c r="H63" i="7"/>
  <c r="I63" i="7" s="1"/>
  <c r="H67" i="7"/>
  <c r="I67" i="7" s="1"/>
  <c r="H113" i="7"/>
  <c r="I113" i="7" s="1"/>
  <c r="H117" i="7"/>
  <c r="I117" i="7" s="1"/>
  <c r="H121" i="7"/>
  <c r="I121" i="7" s="1"/>
  <c r="H172" i="7"/>
  <c r="I172" i="7" s="1"/>
  <c r="H176" i="7"/>
  <c r="I176" i="7" s="1"/>
  <c r="H180" i="7"/>
  <c r="I180" i="7" s="1"/>
  <c r="H228" i="7"/>
  <c r="I228" i="7" s="1"/>
  <c r="H18" i="7"/>
  <c r="I18" i="7" s="1"/>
  <c r="H22" i="7"/>
  <c r="I22" i="7" s="1"/>
  <c r="H15" i="7"/>
  <c r="I15" i="7" s="1"/>
  <c r="H60" i="7"/>
  <c r="I60" i="7" s="1"/>
  <c r="H64" i="7"/>
  <c r="I64" i="7" s="1"/>
  <c r="H68" i="7"/>
  <c r="I68" i="7" s="1"/>
  <c r="H114" i="7"/>
  <c r="I114" i="7" s="1"/>
  <c r="H118" i="7"/>
  <c r="I118" i="7" s="1"/>
  <c r="H122" i="7"/>
  <c r="I122" i="7" s="1"/>
  <c r="H173" i="7"/>
  <c r="I173" i="7" s="1"/>
  <c r="H177" i="7"/>
  <c r="I177" i="7" s="1"/>
  <c r="H215" i="7"/>
  <c r="I215" i="7" s="1"/>
  <c r="H65" i="7"/>
  <c r="I65" i="7" s="1"/>
  <c r="H123" i="7"/>
  <c r="I123" i="7" s="1"/>
  <c r="H174" i="7"/>
  <c r="I174" i="7" s="1"/>
  <c r="H103" i="7"/>
  <c r="I103" i="7" s="1"/>
  <c r="H107" i="7"/>
  <c r="I107" i="7" s="1"/>
  <c r="H111" i="7"/>
  <c r="I111" i="7" s="1"/>
  <c r="H163" i="7"/>
  <c r="I163" i="7" s="1"/>
  <c r="H167" i="7"/>
  <c r="I167" i="7" s="1"/>
  <c r="H105" i="7"/>
  <c r="I105" i="7" s="1"/>
  <c r="H109" i="7"/>
  <c r="I109" i="7" s="1"/>
  <c r="H161" i="7"/>
  <c r="I161" i="7" s="1"/>
  <c r="H165" i="7"/>
  <c r="I165" i="7" s="1"/>
  <c r="H169" i="7"/>
  <c r="I169" i="7" s="1"/>
  <c r="H213" i="7"/>
  <c r="I213" i="7" s="1"/>
  <c r="H225" i="7"/>
  <c r="I225" i="7" s="1"/>
  <c r="I226" i="7"/>
  <c r="H106" i="7"/>
  <c r="I106" i="7" s="1"/>
  <c r="H110" i="7"/>
  <c r="I110" i="7" s="1"/>
  <c r="H162" i="7"/>
  <c r="I162" i="7" s="1"/>
  <c r="H166" i="7"/>
  <c r="I166" i="7" s="1"/>
  <c r="H214" i="7"/>
  <c r="I214" i="7" s="1"/>
  <c r="H10" i="7"/>
  <c r="I10" i="7" s="1"/>
  <c r="H14" i="7"/>
  <c r="I14" i="7" s="1"/>
  <c r="H52" i="7"/>
  <c r="I52" i="7" s="1"/>
  <c r="H56" i="7"/>
  <c r="I56" i="7" s="1"/>
  <c r="H95" i="7"/>
  <c r="I95" i="7" s="1"/>
  <c r="H99" i="7"/>
  <c r="I99" i="7" s="1"/>
  <c r="H155" i="7"/>
  <c r="I155" i="7" s="1"/>
  <c r="H159" i="7"/>
  <c r="I159" i="7" s="1"/>
  <c r="H211" i="7"/>
  <c r="I211" i="7" s="1"/>
  <c r="H223" i="7"/>
  <c r="I223" i="7" s="1"/>
  <c r="H7" i="7"/>
  <c r="I7" i="7" s="1"/>
  <c r="H11" i="7"/>
  <c r="I11" i="7" s="1"/>
  <c r="H53" i="7"/>
  <c r="I53" i="7" s="1"/>
  <c r="H57" i="7"/>
  <c r="I57" i="7" s="1"/>
  <c r="H96" i="7"/>
  <c r="I96" i="7" s="1"/>
  <c r="H100" i="7"/>
  <c r="I100" i="7" s="1"/>
  <c r="H152" i="7"/>
  <c r="I152" i="7" s="1"/>
  <c r="H156" i="7"/>
  <c r="I156" i="7" s="1"/>
  <c r="H212" i="7"/>
  <c r="I212" i="7" s="1"/>
  <c r="H224" i="7"/>
  <c r="I224" i="7" s="1"/>
  <c r="H8" i="7"/>
  <c r="I8" i="7" s="1"/>
  <c r="H12" i="7"/>
  <c r="I12" i="7" s="1"/>
  <c r="H54" i="7"/>
  <c r="I54" i="7" s="1"/>
  <c r="H58" i="7"/>
  <c r="I58" i="7" s="1"/>
  <c r="H97" i="7"/>
  <c r="I97" i="7" s="1"/>
  <c r="H101" i="7"/>
  <c r="I101" i="7" s="1"/>
  <c r="H153" i="7"/>
  <c r="I153" i="7" s="1"/>
  <c r="H157" i="7"/>
  <c r="I157" i="7" s="1"/>
  <c r="H209" i="7"/>
  <c r="I209" i="7" s="1"/>
  <c r="H221" i="7"/>
  <c r="I221" i="7" s="1"/>
  <c r="H9" i="7"/>
  <c r="I9" i="7" s="1"/>
  <c r="H13" i="7"/>
  <c r="I13" i="7" s="1"/>
  <c r="H51" i="7"/>
  <c r="I51" i="7" s="1"/>
  <c r="H55" i="7"/>
  <c r="I55" i="7" s="1"/>
  <c r="H98" i="7"/>
  <c r="I98" i="7" s="1"/>
  <c r="H102" i="7"/>
  <c r="I102" i="7" s="1"/>
  <c r="H154" i="7"/>
  <c r="I154" i="7" s="1"/>
  <c r="H158" i="7"/>
  <c r="I158" i="7" s="1"/>
  <c r="H210" i="7"/>
  <c r="I210" i="7" s="1"/>
  <c r="G32" i="6"/>
  <c r="G25" i="6"/>
  <c r="G18" i="6"/>
  <c r="G174" i="6"/>
  <c r="G16" i="6"/>
  <c r="G14" i="6"/>
  <c r="G101" i="6"/>
  <c r="G11" i="6"/>
  <c r="G97" i="6"/>
  <c r="G154" i="6"/>
  <c r="G53" i="6"/>
  <c r="G98" i="6"/>
  <c r="G155" i="6"/>
  <c r="G9" i="6"/>
  <c r="G54" i="6"/>
  <c r="G99" i="6"/>
  <c r="G156" i="6"/>
  <c r="G10" i="6"/>
  <c r="G55" i="6"/>
  <c r="G49" i="6"/>
  <c r="G5" i="6"/>
  <c r="G93" i="6"/>
  <c r="G150" i="6"/>
  <c r="G206" i="6"/>
  <c r="G218" i="6"/>
  <c r="G207" i="6"/>
  <c r="G219" i="6"/>
  <c r="G4" i="6"/>
  <c r="G208" i="6"/>
  <c r="G220" i="6"/>
  <c r="G92" i="6"/>
  <c r="G149" i="6"/>
  <c r="G209" i="6"/>
  <c r="H201" i="5"/>
  <c r="I201" i="5" s="1"/>
  <c r="H135" i="5"/>
  <c r="I135" i="5" s="1"/>
  <c r="H134" i="5"/>
  <c r="I134" i="5" s="1"/>
  <c r="H143" i="5"/>
  <c r="I143" i="5" s="1"/>
  <c r="H191" i="5"/>
  <c r="I191" i="5" s="1"/>
  <c r="H199" i="5"/>
  <c r="I199" i="5" s="1"/>
  <c r="H208" i="5"/>
  <c r="I208" i="5" s="1"/>
  <c r="H200" i="5"/>
  <c r="I200" i="5" s="1"/>
  <c r="H150" i="5"/>
  <c r="I150" i="5" s="1"/>
  <c r="H133" i="5"/>
  <c r="I133" i="5" s="1"/>
  <c r="H142" i="5"/>
  <c r="I142" i="5" s="1"/>
  <c r="H151" i="5"/>
  <c r="I151" i="5" s="1"/>
  <c r="H190" i="5"/>
  <c r="I190" i="5" s="1"/>
  <c r="H207" i="5"/>
  <c r="I207" i="5" s="1"/>
  <c r="H138" i="5"/>
  <c r="I138" i="5" s="1"/>
  <c r="H146" i="5"/>
  <c r="I146" i="5" s="1"/>
  <c r="H198" i="5"/>
  <c r="I198" i="5" s="1"/>
  <c r="H202" i="5"/>
  <c r="I202" i="5" s="1"/>
  <c r="H206" i="5"/>
  <c r="I206" i="5" s="1"/>
  <c r="H221" i="5"/>
  <c r="I221" i="5" s="1"/>
  <c r="H130" i="5"/>
  <c r="I130" i="5" s="1"/>
  <c r="H139" i="5"/>
  <c r="I139" i="5" s="1"/>
  <c r="H147" i="5"/>
  <c r="I147" i="5" s="1"/>
  <c r="H187" i="5"/>
  <c r="I187" i="5" s="1"/>
  <c r="H195" i="5"/>
  <c r="I195" i="5" s="1"/>
  <c r="H203" i="5"/>
  <c r="I203" i="5" s="1"/>
  <c r="H233" i="5"/>
  <c r="I233" i="5" s="1"/>
  <c r="H131" i="5"/>
  <c r="I131" i="5" s="1"/>
  <c r="H140" i="5"/>
  <c r="I140" i="5" s="1"/>
  <c r="H148" i="5"/>
  <c r="I148" i="5" s="1"/>
  <c r="H188" i="5"/>
  <c r="I188" i="5" s="1"/>
  <c r="H196" i="5"/>
  <c r="I196" i="5" s="1"/>
  <c r="H204" i="5"/>
  <c r="I204" i="5" s="1"/>
  <c r="H132" i="5"/>
  <c r="I132" i="5" s="1"/>
  <c r="H141" i="5"/>
  <c r="I141" i="5" s="1"/>
  <c r="H145" i="5"/>
  <c r="I145" i="5" s="1"/>
  <c r="H149" i="5"/>
  <c r="I149" i="5" s="1"/>
  <c r="H189" i="5"/>
  <c r="I189" i="5" s="1"/>
  <c r="H197" i="5"/>
  <c r="I197" i="5" s="1"/>
  <c r="H205" i="5"/>
  <c r="I205" i="5" s="1"/>
  <c r="I219" i="5"/>
  <c r="H125" i="5"/>
  <c r="I125" i="5" s="1"/>
  <c r="H129" i="5"/>
  <c r="I129" i="5" s="1"/>
  <c r="H137" i="5"/>
  <c r="I137" i="5" s="1"/>
  <c r="H184" i="5"/>
  <c r="I184" i="5" s="1"/>
  <c r="H218" i="5"/>
  <c r="I218" i="5" s="1"/>
  <c r="H232" i="5"/>
  <c r="I232" i="5" s="1"/>
  <c r="H180" i="5"/>
  <c r="I180" i="5" s="1"/>
  <c r="H69" i="5"/>
  <c r="I69" i="5" s="1"/>
  <c r="H181" i="5"/>
  <c r="I181" i="5" s="1"/>
  <c r="H70" i="5"/>
  <c r="I70" i="5" s="1"/>
  <c r="H25" i="5"/>
  <c r="I25" i="5" s="1"/>
  <c r="H26" i="5"/>
  <c r="I26" i="5" s="1"/>
  <c r="H114" i="5"/>
  <c r="I114" i="5" s="1"/>
  <c r="H118" i="5"/>
  <c r="I118" i="5" s="1"/>
  <c r="H122" i="5"/>
  <c r="I122" i="5" s="1"/>
  <c r="H172" i="5"/>
  <c r="I172" i="5" s="1"/>
  <c r="H176" i="5"/>
  <c r="I176" i="5" s="1"/>
  <c r="H115" i="5"/>
  <c r="I115" i="5" s="1"/>
  <c r="H119" i="5"/>
  <c r="I119" i="5" s="1"/>
  <c r="H173" i="5"/>
  <c r="I173" i="5" s="1"/>
  <c r="H177" i="5"/>
  <c r="I177" i="5" s="1"/>
  <c r="H16" i="5"/>
  <c r="I16" i="5" s="1"/>
  <c r="H116" i="5"/>
  <c r="I116" i="5" s="1"/>
  <c r="H120" i="5"/>
  <c r="I120" i="5" s="1"/>
  <c r="H174" i="5"/>
  <c r="I174" i="5" s="1"/>
  <c r="H178" i="5"/>
  <c r="I178" i="5" s="1"/>
  <c r="H62" i="5"/>
  <c r="I62" i="5" s="1"/>
  <c r="H117" i="5"/>
  <c r="I117" i="5" s="1"/>
  <c r="H121" i="5"/>
  <c r="I121" i="5" s="1"/>
  <c r="H171" i="5"/>
  <c r="I171" i="5" s="1"/>
  <c r="H175" i="5"/>
  <c r="I175" i="5" s="1"/>
  <c r="H179" i="5"/>
  <c r="I179" i="5" s="1"/>
  <c r="H108" i="5"/>
  <c r="H164" i="5"/>
  <c r="I164" i="5" s="1"/>
  <c r="H168" i="5"/>
  <c r="I168" i="5" s="1"/>
  <c r="H216" i="5"/>
  <c r="I216" i="5" s="1"/>
  <c r="H228" i="5"/>
  <c r="I228" i="5" s="1"/>
  <c r="I108" i="5"/>
  <c r="H163" i="5"/>
  <c r="I163" i="5" s="1"/>
  <c r="H167" i="5"/>
  <c r="I167" i="5" s="1"/>
  <c r="H215" i="5"/>
  <c r="I215" i="5" s="1"/>
  <c r="H227" i="5"/>
  <c r="I227" i="5" s="1"/>
  <c r="H213" i="5"/>
  <c r="H153" i="5"/>
  <c r="I153" i="5" s="1"/>
  <c r="H225" i="5"/>
  <c r="I225" i="5" s="1"/>
  <c r="H157" i="5"/>
  <c r="I157" i="5" s="1"/>
  <c r="H154" i="5"/>
  <c r="I154" i="5" s="1"/>
  <c r="H158" i="5"/>
  <c r="I158" i="5" s="1"/>
  <c r="H210" i="5"/>
  <c r="I210" i="5" s="1"/>
  <c r="H222" i="5"/>
  <c r="I222" i="5" s="1"/>
  <c r="I213" i="5"/>
  <c r="H155" i="5"/>
  <c r="I155" i="5" s="1"/>
  <c r="H159" i="5"/>
  <c r="I159" i="5" s="1"/>
  <c r="H211" i="5"/>
  <c r="I211" i="5" s="1"/>
  <c r="H156" i="5"/>
  <c r="I156" i="5" s="1"/>
  <c r="H160" i="5"/>
  <c r="I160" i="5" s="1"/>
  <c r="H212" i="5"/>
  <c r="I212" i="5" s="1"/>
  <c r="H224" i="5"/>
  <c r="I224" i="5" s="1"/>
  <c r="H223" i="5"/>
  <c r="I223" i="5" s="1"/>
  <c r="I231" i="5"/>
  <c r="I229" i="5"/>
  <c r="I220" i="5"/>
  <c r="I192" i="5"/>
  <c r="I169" i="5"/>
  <c r="I124" i="5"/>
  <c r="H123" i="5"/>
  <c r="I123" i="5" s="1"/>
  <c r="I113" i="5"/>
  <c r="H12" i="5"/>
  <c r="I12" i="5" s="1"/>
  <c r="H20" i="5"/>
  <c r="I20" i="5" s="1"/>
  <c r="H34" i="5"/>
  <c r="I34" i="5" s="1"/>
  <c r="H44" i="5"/>
  <c r="I44" i="5" s="1"/>
  <c r="H50" i="5"/>
  <c r="I50" i="5" s="1"/>
  <c r="H56" i="5"/>
  <c r="I56" i="5" s="1"/>
  <c r="H66" i="5"/>
  <c r="I66" i="5" s="1"/>
  <c r="H80" i="5"/>
  <c r="I80" i="5" s="1"/>
  <c r="H88" i="5"/>
  <c r="I88" i="5" s="1"/>
  <c r="H98" i="5"/>
  <c r="I98" i="5" s="1"/>
  <c r="H103" i="5"/>
  <c r="I103" i="5" s="1"/>
  <c r="I8" i="5"/>
  <c r="H14" i="5"/>
  <c r="I14" i="5" s="1"/>
  <c r="H24" i="5"/>
  <c r="I24" i="5" s="1"/>
  <c r="H40" i="5"/>
  <c r="I40" i="5" s="1"/>
  <c r="H46" i="5"/>
  <c r="I46" i="5" s="1"/>
  <c r="H52" i="5"/>
  <c r="I52" i="5" s="1"/>
  <c r="H57" i="5"/>
  <c r="I57" i="5" s="1"/>
  <c r="H75" i="5"/>
  <c r="I75" i="5" s="1"/>
  <c r="H84" i="5"/>
  <c r="I84" i="5" s="1"/>
  <c r="H91" i="5"/>
  <c r="I91" i="5" s="1"/>
  <c r="H99" i="5"/>
  <c r="I99" i="5" s="1"/>
  <c r="H104" i="5"/>
  <c r="I104" i="5" s="1"/>
  <c r="H10" i="5"/>
  <c r="I10" i="5" s="1"/>
  <c r="H15" i="5"/>
  <c r="I15" i="5" s="1"/>
  <c r="H32" i="5"/>
  <c r="I32" i="5" s="1"/>
  <c r="H41" i="5"/>
  <c r="I41" i="5" s="1"/>
  <c r="H48" i="5"/>
  <c r="I48" i="5" s="1"/>
  <c r="H53" i="5"/>
  <c r="I53" i="5" s="1"/>
  <c r="H58" i="5"/>
  <c r="I58" i="5" s="1"/>
  <c r="H76" i="5"/>
  <c r="I76" i="5" s="1"/>
  <c r="H86" i="5"/>
  <c r="I86" i="5" s="1"/>
  <c r="H92" i="5"/>
  <c r="I92" i="5" s="1"/>
  <c r="H100" i="5"/>
  <c r="I100" i="5" s="1"/>
  <c r="H11" i="5"/>
  <c r="I11" i="5" s="1"/>
  <c r="H33" i="5"/>
  <c r="I33" i="5" s="1"/>
  <c r="H42" i="5"/>
  <c r="I42" i="5" s="1"/>
  <c r="H49" i="5"/>
  <c r="I49" i="5" s="1"/>
  <c r="H54" i="5"/>
  <c r="I54" i="5" s="1"/>
  <c r="H78" i="5"/>
  <c r="I78" i="5" s="1"/>
  <c r="H87" i="5"/>
  <c r="I87" i="5" s="1"/>
  <c r="H96" i="5"/>
  <c r="I96" i="5" s="1"/>
  <c r="H102" i="5"/>
  <c r="I102" i="5" s="1"/>
  <c r="H30" i="5"/>
  <c r="I30" i="5" s="1"/>
  <c r="H38" i="5"/>
  <c r="I38" i="5" s="1"/>
  <c r="H72" i="5"/>
  <c r="I72" i="5" s="1"/>
  <c r="I101" i="5"/>
  <c r="H9" i="5"/>
  <c r="I9" i="5" s="1"/>
  <c r="H13" i="5"/>
  <c r="I13" i="5" s="1"/>
  <c r="H17" i="5"/>
  <c r="I17" i="5" s="1"/>
  <c r="H21" i="5"/>
  <c r="I21" i="5" s="1"/>
  <c r="H27" i="5"/>
  <c r="H31" i="5"/>
  <c r="H35" i="5"/>
  <c r="I35" i="5" s="1"/>
  <c r="H39" i="5"/>
  <c r="I39" i="5" s="1"/>
  <c r="H43" i="5"/>
  <c r="I43" i="5" s="1"/>
  <c r="H47" i="5"/>
  <c r="I47" i="5" s="1"/>
  <c r="H51" i="5"/>
  <c r="I51" i="5" s="1"/>
  <c r="H55" i="5"/>
  <c r="I55" i="5" s="1"/>
  <c r="H59" i="5"/>
  <c r="I59" i="5" s="1"/>
  <c r="H63" i="5"/>
  <c r="I63" i="5" s="1"/>
  <c r="H67" i="5"/>
  <c r="I67" i="5" s="1"/>
  <c r="H73" i="5"/>
  <c r="I73" i="5" s="1"/>
  <c r="H77" i="5"/>
  <c r="I77" i="5" s="1"/>
  <c r="H81" i="5"/>
  <c r="I81" i="5" s="1"/>
  <c r="H85" i="5"/>
  <c r="I85" i="5" s="1"/>
  <c r="H89" i="5"/>
  <c r="I89" i="5" s="1"/>
  <c r="H97" i="5"/>
  <c r="I97" i="5" s="1"/>
  <c r="H105" i="5"/>
  <c r="I105" i="5" s="1"/>
  <c r="H109" i="5"/>
  <c r="I109" i="5" s="1"/>
  <c r="H18" i="5"/>
  <c r="I18" i="5" s="1"/>
  <c r="H22" i="5"/>
  <c r="I22" i="5" s="1"/>
  <c r="H28" i="5"/>
  <c r="I28" i="5" s="1"/>
  <c r="H36" i="5"/>
  <c r="I36" i="5" s="1"/>
  <c r="H60" i="5"/>
  <c r="I60" i="5" s="1"/>
  <c r="H64" i="5"/>
  <c r="I64" i="5" s="1"/>
  <c r="H68" i="5"/>
  <c r="I68" i="5" s="1"/>
  <c r="H74" i="5"/>
  <c r="I74" i="5" s="1"/>
  <c r="H82" i="5"/>
  <c r="I82" i="5" s="1"/>
  <c r="H90" i="5"/>
  <c r="I90" i="5" s="1"/>
  <c r="H94" i="5"/>
  <c r="I94" i="5" s="1"/>
  <c r="H106" i="5"/>
  <c r="I106" i="5" s="1"/>
  <c r="H110" i="5"/>
  <c r="I110" i="5" s="1"/>
  <c r="I27" i="5"/>
  <c r="I31" i="5"/>
  <c r="I79" i="5"/>
  <c r="I95" i="5"/>
  <c r="H19" i="5"/>
  <c r="I19" i="5" s="1"/>
  <c r="H23" i="5"/>
  <c r="I23" i="5" s="1"/>
  <c r="H29" i="5"/>
  <c r="I29" i="5" s="1"/>
  <c r="H37" i="5"/>
  <c r="I37" i="5" s="1"/>
  <c r="H45" i="5"/>
  <c r="I45" i="5" s="1"/>
  <c r="H61" i="5"/>
  <c r="I61" i="5" s="1"/>
  <c r="H71" i="5"/>
  <c r="I71" i="5" s="1"/>
  <c r="H107" i="5"/>
  <c r="I107" i="5" s="1"/>
  <c r="I43" i="7"/>
  <c r="I47" i="7"/>
  <c r="I195" i="7"/>
  <c r="I199" i="7"/>
  <c r="I203" i="7"/>
  <c r="I207" i="7"/>
  <c r="I219" i="7"/>
  <c r="I231" i="7"/>
  <c r="I38" i="7"/>
  <c r="I50" i="7"/>
  <c r="I194" i="7"/>
  <c r="I202" i="7"/>
  <c r="I218" i="7"/>
  <c r="I37" i="7"/>
  <c r="I45" i="7"/>
  <c r="I230" i="7"/>
  <c r="I206" i="7"/>
  <c r="I205" i="7"/>
  <c r="I198" i="7"/>
  <c r="I138" i="7"/>
  <c r="I49" i="7"/>
  <c r="I48" i="7"/>
  <c r="I46" i="7"/>
  <c r="I42" i="7"/>
  <c r="I41" i="7"/>
  <c r="I40" i="7"/>
  <c r="I39" i="7"/>
</calcChain>
</file>

<file path=xl/sharedStrings.xml><?xml version="1.0" encoding="utf-8"?>
<sst xmlns="http://schemas.openxmlformats.org/spreadsheetml/2006/main" count="4886" uniqueCount="1092">
  <si>
    <t>尺寸</t>
  </si>
  <si>
    <t>尺寸</t>
    <phoneticPr fontId="1" type="noConversion"/>
  </si>
  <si>
    <t>鐵材</t>
    <phoneticPr fontId="1" type="noConversion"/>
  </si>
  <si>
    <t>成形</t>
    <phoneticPr fontId="1" type="noConversion"/>
  </si>
  <si>
    <t>熱處理</t>
    <phoneticPr fontId="1" type="noConversion"/>
  </si>
  <si>
    <t>噴砂</t>
    <phoneticPr fontId="1" type="noConversion"/>
  </si>
  <si>
    <t>電鍍</t>
    <phoneticPr fontId="1" type="noConversion"/>
  </si>
  <si>
    <t>染黑</t>
    <phoneticPr fontId="1" type="noConversion"/>
  </si>
  <si>
    <t>膠套</t>
    <phoneticPr fontId="1" type="noConversion"/>
  </si>
  <si>
    <t>整直</t>
    <phoneticPr fontId="1" type="noConversion"/>
  </si>
  <si>
    <t>六角環</t>
    <phoneticPr fontId="1" type="noConversion"/>
  </si>
  <si>
    <t>PH0X60</t>
  </si>
  <si>
    <t>PH0X60</t>
    <phoneticPr fontId="1" type="noConversion"/>
  </si>
  <si>
    <t>PH0X80</t>
  </si>
  <si>
    <t>PH0X80</t>
    <phoneticPr fontId="1" type="noConversion"/>
  </si>
  <si>
    <t>PH0X100</t>
  </si>
  <si>
    <t>PH0X100</t>
    <phoneticPr fontId="1" type="noConversion"/>
  </si>
  <si>
    <t>PH0X125</t>
  </si>
  <si>
    <t>PH0X125</t>
    <phoneticPr fontId="1" type="noConversion"/>
  </si>
  <si>
    <t>PH0X150</t>
  </si>
  <si>
    <t>PH0X150</t>
    <phoneticPr fontId="1" type="noConversion"/>
  </si>
  <si>
    <t>PH0X200</t>
  </si>
  <si>
    <t>PH0X200</t>
    <phoneticPr fontId="1" type="noConversion"/>
  </si>
  <si>
    <t>PH0X250</t>
  </si>
  <si>
    <t>PH0X250</t>
    <phoneticPr fontId="1" type="noConversion"/>
  </si>
  <si>
    <t>PH0X300</t>
  </si>
  <si>
    <t>PH0X300</t>
    <phoneticPr fontId="1" type="noConversion"/>
  </si>
  <si>
    <t>PH1X80</t>
  </si>
  <si>
    <t>PH1X80</t>
    <phoneticPr fontId="1" type="noConversion"/>
  </si>
  <si>
    <t>PH1X100</t>
  </si>
  <si>
    <t>PH1X100</t>
    <phoneticPr fontId="1" type="noConversion"/>
  </si>
  <si>
    <t>PH1X125</t>
  </si>
  <si>
    <t>PH1X125</t>
    <phoneticPr fontId="1" type="noConversion"/>
  </si>
  <si>
    <t>PH1X150</t>
  </si>
  <si>
    <t>PH1X150</t>
    <phoneticPr fontId="1" type="noConversion"/>
  </si>
  <si>
    <t>PH1X38</t>
  </si>
  <si>
    <t>PH1X38</t>
    <phoneticPr fontId="1" type="noConversion"/>
  </si>
  <si>
    <t>PH1X200</t>
  </si>
  <si>
    <t>PH1X200</t>
    <phoneticPr fontId="1" type="noConversion"/>
  </si>
  <si>
    <t>PH1X250</t>
  </si>
  <si>
    <t>PH1X250</t>
    <phoneticPr fontId="1" type="noConversion"/>
  </si>
  <si>
    <t>PH1X300</t>
  </si>
  <si>
    <t>PH1X300</t>
    <phoneticPr fontId="1" type="noConversion"/>
  </si>
  <si>
    <t>PH1X350</t>
  </si>
  <si>
    <t>PH1X350</t>
    <phoneticPr fontId="1" type="noConversion"/>
  </si>
  <si>
    <t>PH1X400</t>
  </si>
  <si>
    <t>PH1X400</t>
    <phoneticPr fontId="1" type="noConversion"/>
  </si>
  <si>
    <t>PH1X500</t>
  </si>
  <si>
    <t>PH1X500</t>
    <phoneticPr fontId="1" type="noConversion"/>
  </si>
  <si>
    <t>PH2X38</t>
  </si>
  <si>
    <t>PH2X38</t>
    <phoneticPr fontId="1" type="noConversion"/>
  </si>
  <si>
    <t>PH2X100</t>
  </si>
  <si>
    <t>PH2X100</t>
    <phoneticPr fontId="1" type="noConversion"/>
  </si>
  <si>
    <t>PH2X125</t>
  </si>
  <si>
    <t>PH2X125</t>
    <phoneticPr fontId="1" type="noConversion"/>
  </si>
  <si>
    <t>PH2X150</t>
  </si>
  <si>
    <t>PH2X150</t>
    <phoneticPr fontId="1" type="noConversion"/>
  </si>
  <si>
    <t>PH2X200</t>
  </si>
  <si>
    <t>PH2X200</t>
    <phoneticPr fontId="1" type="noConversion"/>
  </si>
  <si>
    <t>PH2X250</t>
  </si>
  <si>
    <t>PH2X250</t>
    <phoneticPr fontId="1" type="noConversion"/>
  </si>
  <si>
    <t>PH2X300</t>
  </si>
  <si>
    <t>PH2X300</t>
    <phoneticPr fontId="1" type="noConversion"/>
  </si>
  <si>
    <t>PH2X350</t>
  </si>
  <si>
    <t>PH2X350</t>
    <phoneticPr fontId="1" type="noConversion"/>
  </si>
  <si>
    <t>PH2X400</t>
  </si>
  <si>
    <t>PH2X400</t>
    <phoneticPr fontId="1" type="noConversion"/>
  </si>
  <si>
    <t>PH2X500</t>
  </si>
  <si>
    <t>PH2X500</t>
    <phoneticPr fontId="1" type="noConversion"/>
  </si>
  <si>
    <t>PH3X100</t>
  </si>
  <si>
    <t>PH3X100</t>
    <phoneticPr fontId="1" type="noConversion"/>
  </si>
  <si>
    <t>PH3X125</t>
  </si>
  <si>
    <t>PH3X125</t>
    <phoneticPr fontId="1" type="noConversion"/>
  </si>
  <si>
    <t>PH3X175</t>
  </si>
  <si>
    <t>PH3X175</t>
    <phoneticPr fontId="1" type="noConversion"/>
  </si>
  <si>
    <t>PH3X150</t>
  </si>
  <si>
    <t>PH3X150</t>
    <phoneticPr fontId="1" type="noConversion"/>
  </si>
  <si>
    <t>PH3X200</t>
  </si>
  <si>
    <t>PH3X200</t>
    <phoneticPr fontId="1" type="noConversion"/>
  </si>
  <si>
    <t>PH3X250</t>
  </si>
  <si>
    <t>PH3X250</t>
    <phoneticPr fontId="1" type="noConversion"/>
  </si>
  <si>
    <t>PH3X300</t>
  </si>
  <si>
    <t>PH3X300</t>
    <phoneticPr fontId="1" type="noConversion"/>
  </si>
  <si>
    <t>PH3X350</t>
  </si>
  <si>
    <t>PH3X350</t>
    <phoneticPr fontId="1" type="noConversion"/>
  </si>
  <si>
    <t>PH3X400</t>
  </si>
  <si>
    <t>PH3X400</t>
    <phoneticPr fontId="1" type="noConversion"/>
  </si>
  <si>
    <t>PH3X500</t>
  </si>
  <si>
    <t>PH3X500</t>
    <phoneticPr fontId="1" type="noConversion"/>
  </si>
  <si>
    <t>PZ0X60</t>
  </si>
  <si>
    <t>PZ0X60</t>
    <phoneticPr fontId="1" type="noConversion"/>
  </si>
  <si>
    <t>PZ0X80</t>
  </si>
  <si>
    <t>PZ0X80</t>
    <phoneticPr fontId="1" type="noConversion"/>
  </si>
  <si>
    <t>PZ0X100</t>
  </si>
  <si>
    <t>PZ0X100</t>
    <phoneticPr fontId="1" type="noConversion"/>
  </si>
  <si>
    <t>PZ0X125</t>
  </si>
  <si>
    <t>PZ0X125</t>
    <phoneticPr fontId="1" type="noConversion"/>
  </si>
  <si>
    <t>PZ0X150</t>
  </si>
  <si>
    <t>PZ0X150</t>
    <phoneticPr fontId="1" type="noConversion"/>
  </si>
  <si>
    <t>PZ0X200</t>
  </si>
  <si>
    <t>PZ0X200</t>
    <phoneticPr fontId="1" type="noConversion"/>
  </si>
  <si>
    <t>PZ0X250</t>
  </si>
  <si>
    <t>PZ0X250</t>
    <phoneticPr fontId="1" type="noConversion"/>
  </si>
  <si>
    <t>PZ0X300</t>
  </si>
  <si>
    <t>PZ0X300</t>
    <phoneticPr fontId="1" type="noConversion"/>
  </si>
  <si>
    <t>PZ1X38</t>
  </si>
  <si>
    <t>PZ1X38</t>
    <phoneticPr fontId="1" type="noConversion"/>
  </si>
  <si>
    <t>PZ1X80</t>
  </si>
  <si>
    <t>PZ1X80</t>
    <phoneticPr fontId="1" type="noConversion"/>
  </si>
  <si>
    <t>PZ1X100</t>
  </si>
  <si>
    <t>PZ1X100</t>
    <phoneticPr fontId="1" type="noConversion"/>
  </si>
  <si>
    <t>PZ1X125</t>
  </si>
  <si>
    <t>PZ1X125</t>
    <phoneticPr fontId="1" type="noConversion"/>
  </si>
  <si>
    <t>PZ1X150</t>
  </si>
  <si>
    <t>PZ1X150</t>
    <phoneticPr fontId="1" type="noConversion"/>
  </si>
  <si>
    <t>PZ1X200</t>
  </si>
  <si>
    <t>PZ1X200</t>
    <phoneticPr fontId="1" type="noConversion"/>
  </si>
  <si>
    <t>PZ1X250</t>
  </si>
  <si>
    <t>PZ1X250</t>
    <phoneticPr fontId="1" type="noConversion"/>
  </si>
  <si>
    <t>PZ1X300</t>
  </si>
  <si>
    <t>PZ1X300</t>
    <phoneticPr fontId="1" type="noConversion"/>
  </si>
  <si>
    <t>PZ1X350</t>
  </si>
  <si>
    <t>PZ1X350</t>
    <phoneticPr fontId="1" type="noConversion"/>
  </si>
  <si>
    <t>PZ1X400</t>
  </si>
  <si>
    <t>PZ1X400</t>
    <phoneticPr fontId="1" type="noConversion"/>
  </si>
  <si>
    <t>PZ1X500</t>
  </si>
  <si>
    <t>PZ1X500</t>
    <phoneticPr fontId="1" type="noConversion"/>
  </si>
  <si>
    <t>PZ2X38</t>
  </si>
  <si>
    <t>PZ2X38</t>
    <phoneticPr fontId="1" type="noConversion"/>
  </si>
  <si>
    <t>PZ2X100</t>
  </si>
  <si>
    <t>PZ2X100</t>
    <phoneticPr fontId="1" type="noConversion"/>
  </si>
  <si>
    <t>PZ2X125</t>
  </si>
  <si>
    <t>PZ2X125</t>
    <phoneticPr fontId="1" type="noConversion"/>
  </si>
  <si>
    <t>PZ2X150</t>
  </si>
  <si>
    <t>PZ2X150</t>
    <phoneticPr fontId="1" type="noConversion"/>
  </si>
  <si>
    <t>PZ2X200</t>
  </si>
  <si>
    <t>PZ2X200</t>
    <phoneticPr fontId="1" type="noConversion"/>
  </si>
  <si>
    <t>PZ2X250</t>
  </si>
  <si>
    <t>PZ2X250</t>
    <phoneticPr fontId="1" type="noConversion"/>
  </si>
  <si>
    <t>PZ2X300</t>
  </si>
  <si>
    <t>PZ2X300</t>
    <phoneticPr fontId="1" type="noConversion"/>
  </si>
  <si>
    <t>PZ2X350</t>
  </si>
  <si>
    <t>PZ2X350</t>
    <phoneticPr fontId="1" type="noConversion"/>
  </si>
  <si>
    <t>PZ2X400</t>
  </si>
  <si>
    <t>PZ2X400</t>
    <phoneticPr fontId="1" type="noConversion"/>
  </si>
  <si>
    <t>PZ2X500</t>
  </si>
  <si>
    <t>PZ2X500</t>
    <phoneticPr fontId="1" type="noConversion"/>
  </si>
  <si>
    <t>PZ3X100</t>
  </si>
  <si>
    <t>PZ3X100</t>
    <phoneticPr fontId="1" type="noConversion"/>
  </si>
  <si>
    <t>PZ3X125</t>
  </si>
  <si>
    <t>PZ3X125</t>
    <phoneticPr fontId="1" type="noConversion"/>
  </si>
  <si>
    <t>PZ3X150</t>
  </si>
  <si>
    <t>PZ3X150</t>
    <phoneticPr fontId="1" type="noConversion"/>
  </si>
  <si>
    <t>PZ3X175</t>
  </si>
  <si>
    <t>PZ3X175</t>
    <phoneticPr fontId="1" type="noConversion"/>
  </si>
  <si>
    <t>PZ3X200</t>
  </si>
  <si>
    <t>PZ3X200</t>
    <phoneticPr fontId="1" type="noConversion"/>
  </si>
  <si>
    <t>PZ3X250</t>
  </si>
  <si>
    <t>PZ3X250</t>
    <phoneticPr fontId="1" type="noConversion"/>
  </si>
  <si>
    <t>PZ3X300</t>
  </si>
  <si>
    <t>PZ3X300</t>
    <phoneticPr fontId="1" type="noConversion"/>
  </si>
  <si>
    <t>PZ3X350</t>
  </si>
  <si>
    <t>PZ3X350</t>
    <phoneticPr fontId="1" type="noConversion"/>
  </si>
  <si>
    <t>PZ3X400</t>
  </si>
  <si>
    <t>PZ3X400</t>
    <phoneticPr fontId="1" type="noConversion"/>
  </si>
  <si>
    <t>PZ3X500</t>
  </si>
  <si>
    <t>PZ3X500</t>
    <phoneticPr fontId="1" type="noConversion"/>
  </si>
  <si>
    <t>PH4X200</t>
  </si>
  <si>
    <t>PH4X200</t>
    <phoneticPr fontId="1" type="noConversion"/>
  </si>
  <si>
    <t>PH4X250</t>
  </si>
  <si>
    <t>PH4X250</t>
    <phoneticPr fontId="1" type="noConversion"/>
  </si>
  <si>
    <t>PH4X300</t>
  </si>
  <si>
    <t>PH4X300</t>
    <phoneticPr fontId="1" type="noConversion"/>
  </si>
  <si>
    <t>PH4X400</t>
  </si>
  <si>
    <t>PH4X400</t>
    <phoneticPr fontId="1" type="noConversion"/>
  </si>
  <si>
    <t>PH4X500</t>
  </si>
  <si>
    <t>PH4X500</t>
    <phoneticPr fontId="1" type="noConversion"/>
  </si>
  <si>
    <t>PZ4X200</t>
  </si>
  <si>
    <t>PZ4X200</t>
    <phoneticPr fontId="1" type="noConversion"/>
  </si>
  <si>
    <t>PZ4X250</t>
  </si>
  <si>
    <t>PZ4X250</t>
    <phoneticPr fontId="1" type="noConversion"/>
  </si>
  <si>
    <t>PZ4X300</t>
  </si>
  <si>
    <t>PZ4X300</t>
    <phoneticPr fontId="1" type="noConversion"/>
  </si>
  <si>
    <t>PZ4X400</t>
  </si>
  <si>
    <t>PZ4X400</t>
    <phoneticPr fontId="1" type="noConversion"/>
  </si>
  <si>
    <t>PZ4X500</t>
  </si>
  <si>
    <t>PZ4X500</t>
    <phoneticPr fontId="1" type="noConversion"/>
  </si>
  <si>
    <t>SL3X75</t>
  </si>
  <si>
    <t>SL3X75</t>
    <phoneticPr fontId="1" type="noConversion"/>
  </si>
  <si>
    <t>SL3X100</t>
  </si>
  <si>
    <t>SL3X100</t>
    <phoneticPr fontId="1" type="noConversion"/>
  </si>
  <si>
    <t>SL3X125</t>
  </si>
  <si>
    <t>SL3X125</t>
    <phoneticPr fontId="1" type="noConversion"/>
  </si>
  <si>
    <t>SL3X150</t>
  </si>
  <si>
    <t>SL3X150</t>
    <phoneticPr fontId="1" type="noConversion"/>
  </si>
  <si>
    <t>SL3X200</t>
  </si>
  <si>
    <t>SL3X200</t>
    <phoneticPr fontId="1" type="noConversion"/>
  </si>
  <si>
    <t>SL3X300</t>
  </si>
  <si>
    <t>SL3X300</t>
    <phoneticPr fontId="1" type="noConversion"/>
  </si>
  <si>
    <t>SL3X250</t>
  </si>
  <si>
    <t>SL3X250</t>
    <phoneticPr fontId="1" type="noConversion"/>
  </si>
  <si>
    <t>SL4X80</t>
  </si>
  <si>
    <t>SL4X80</t>
    <phoneticPr fontId="1" type="noConversion"/>
  </si>
  <si>
    <t>SL4X100</t>
  </si>
  <si>
    <t>SL4X100</t>
    <phoneticPr fontId="1" type="noConversion"/>
  </si>
  <si>
    <t>SL4X125</t>
  </si>
  <si>
    <t>SL4X125</t>
    <phoneticPr fontId="1" type="noConversion"/>
  </si>
  <si>
    <t>SL4X150</t>
  </si>
  <si>
    <t>SL4X150</t>
    <phoneticPr fontId="1" type="noConversion"/>
  </si>
  <si>
    <t>SL4X200</t>
  </si>
  <si>
    <t>SL4X200</t>
    <phoneticPr fontId="1" type="noConversion"/>
  </si>
  <si>
    <t>SL4X300</t>
  </si>
  <si>
    <t>SL4X300</t>
    <phoneticPr fontId="1" type="noConversion"/>
  </si>
  <si>
    <t>SL4X350</t>
  </si>
  <si>
    <t>SL4X350</t>
    <phoneticPr fontId="1" type="noConversion"/>
  </si>
  <si>
    <t>SL4X400</t>
  </si>
  <si>
    <t>SL4X400</t>
    <phoneticPr fontId="1" type="noConversion"/>
  </si>
  <si>
    <t>SL4X250</t>
  </si>
  <si>
    <t>SL4X250</t>
    <phoneticPr fontId="1" type="noConversion"/>
  </si>
  <si>
    <t>SL4X500</t>
  </si>
  <si>
    <t>SL4X500</t>
    <phoneticPr fontId="1" type="noConversion"/>
  </si>
  <si>
    <t>SL5.5X80</t>
  </si>
  <si>
    <t>SL5.5X80</t>
    <phoneticPr fontId="1" type="noConversion"/>
  </si>
  <si>
    <t>SL5.5X100</t>
  </si>
  <si>
    <t>SL5.5X100</t>
    <phoneticPr fontId="1" type="noConversion"/>
  </si>
  <si>
    <t>SL5.5X125</t>
  </si>
  <si>
    <t>SL5.5X125</t>
    <phoneticPr fontId="1" type="noConversion"/>
  </si>
  <si>
    <t>SL5.5X150</t>
  </si>
  <si>
    <t>SL5.5X150</t>
    <phoneticPr fontId="1" type="noConversion"/>
  </si>
  <si>
    <t>SL5.5X200</t>
  </si>
  <si>
    <t>SL5.5X200</t>
    <phoneticPr fontId="1" type="noConversion"/>
  </si>
  <si>
    <t>SL5.5X250</t>
  </si>
  <si>
    <t>SL5.5X250</t>
    <phoneticPr fontId="1" type="noConversion"/>
  </si>
  <si>
    <t>SL5.5X300</t>
  </si>
  <si>
    <t>SL5.5X300</t>
    <phoneticPr fontId="1" type="noConversion"/>
  </si>
  <si>
    <t>SL5.5X350</t>
  </si>
  <si>
    <t>SL5.5X350</t>
    <phoneticPr fontId="1" type="noConversion"/>
  </si>
  <si>
    <t>SL5.5X400</t>
  </si>
  <si>
    <t>SL5.5X400</t>
    <phoneticPr fontId="1" type="noConversion"/>
  </si>
  <si>
    <t>SL5.5X500</t>
  </si>
  <si>
    <t>SL5.5X500</t>
    <phoneticPr fontId="1" type="noConversion"/>
  </si>
  <si>
    <t>SL6.5X100</t>
  </si>
  <si>
    <t>SL6.5X100</t>
    <phoneticPr fontId="1" type="noConversion"/>
  </si>
  <si>
    <t>SL6.5X125</t>
  </si>
  <si>
    <t>SL6.5X125</t>
    <phoneticPr fontId="1" type="noConversion"/>
  </si>
  <si>
    <t>SL6.5X150</t>
  </si>
  <si>
    <t>SL6.5X150</t>
    <phoneticPr fontId="1" type="noConversion"/>
  </si>
  <si>
    <t>SL6.5X200</t>
  </si>
  <si>
    <t>SL6.5X200</t>
    <phoneticPr fontId="1" type="noConversion"/>
  </si>
  <si>
    <t>SL6.5X250</t>
  </si>
  <si>
    <t>SL6.5X250</t>
    <phoneticPr fontId="1" type="noConversion"/>
  </si>
  <si>
    <t>SL6.5X300</t>
  </si>
  <si>
    <t>SL6.5X300</t>
    <phoneticPr fontId="1" type="noConversion"/>
  </si>
  <si>
    <t>SL6.5X350</t>
  </si>
  <si>
    <t>SL6.5X350</t>
    <phoneticPr fontId="1" type="noConversion"/>
  </si>
  <si>
    <t>SL6.5X400</t>
  </si>
  <si>
    <t>SL6.5X400</t>
    <phoneticPr fontId="1" type="noConversion"/>
  </si>
  <si>
    <t>SL6.5X450</t>
  </si>
  <si>
    <t>SL6.5X450</t>
    <phoneticPr fontId="1" type="noConversion"/>
  </si>
  <si>
    <t>SL6.5X500</t>
  </si>
  <si>
    <t>SL6.5X500</t>
    <phoneticPr fontId="1" type="noConversion"/>
  </si>
  <si>
    <t>SL8X150</t>
  </si>
  <si>
    <t>SL8X150</t>
    <phoneticPr fontId="1" type="noConversion"/>
  </si>
  <si>
    <t>SL8X175</t>
  </si>
  <si>
    <t>SL8X175</t>
    <phoneticPr fontId="1" type="noConversion"/>
  </si>
  <si>
    <t>SL8X200</t>
  </si>
  <si>
    <t>SL8X200</t>
    <phoneticPr fontId="1" type="noConversion"/>
  </si>
  <si>
    <t>SL8X250</t>
  </si>
  <si>
    <t>SL8X250</t>
    <phoneticPr fontId="1" type="noConversion"/>
  </si>
  <si>
    <t>SL8X300</t>
  </si>
  <si>
    <t>SL8X300</t>
    <phoneticPr fontId="1" type="noConversion"/>
  </si>
  <si>
    <t>SL8X350</t>
  </si>
  <si>
    <t>SL8X350</t>
    <phoneticPr fontId="1" type="noConversion"/>
  </si>
  <si>
    <t>SL8X400</t>
  </si>
  <si>
    <t>SL8X400</t>
    <phoneticPr fontId="1" type="noConversion"/>
  </si>
  <si>
    <t>SL8X450</t>
  </si>
  <si>
    <t>SL8X450</t>
    <phoneticPr fontId="1" type="noConversion"/>
  </si>
  <si>
    <t>SL8X500</t>
  </si>
  <si>
    <t>SL8X500</t>
    <phoneticPr fontId="1" type="noConversion"/>
  </si>
  <si>
    <t>SL10X175</t>
  </si>
  <si>
    <t>SL10X175</t>
    <phoneticPr fontId="1" type="noConversion"/>
  </si>
  <si>
    <t>SL10X200</t>
  </si>
  <si>
    <t>SL10X200</t>
    <phoneticPr fontId="1" type="noConversion"/>
  </si>
  <si>
    <t>SL10X250</t>
  </si>
  <si>
    <t>SL10X250</t>
    <phoneticPr fontId="1" type="noConversion"/>
  </si>
  <si>
    <t>SL10X300</t>
  </si>
  <si>
    <t>SL10X300</t>
    <phoneticPr fontId="1" type="noConversion"/>
  </si>
  <si>
    <t>SL10X350</t>
  </si>
  <si>
    <t>SL10X350</t>
    <phoneticPr fontId="1" type="noConversion"/>
  </si>
  <si>
    <t>SL10X400</t>
  </si>
  <si>
    <t>SL10X400</t>
    <phoneticPr fontId="1" type="noConversion"/>
  </si>
  <si>
    <t>SL10X450</t>
  </si>
  <si>
    <t>SL10X450</t>
    <phoneticPr fontId="1" type="noConversion"/>
  </si>
  <si>
    <t>SL10X500</t>
  </si>
  <si>
    <t>SL10X500</t>
    <phoneticPr fontId="1" type="noConversion"/>
  </si>
  <si>
    <t>SL5.5X38</t>
  </si>
  <si>
    <t>SL5.5X38</t>
    <phoneticPr fontId="1" type="noConversion"/>
  </si>
  <si>
    <t>SL6.5X38</t>
  </si>
  <si>
    <t>SL6.5X38</t>
    <phoneticPr fontId="1" type="noConversion"/>
  </si>
  <si>
    <t>SL3X60</t>
  </si>
  <si>
    <t>SL3X60</t>
    <phoneticPr fontId="1" type="noConversion"/>
  </si>
  <si>
    <t>T6X60</t>
  </si>
  <si>
    <t>T6X60</t>
    <phoneticPr fontId="1" type="noConversion"/>
  </si>
  <si>
    <t>T7X60</t>
  </si>
  <si>
    <t>T7X60</t>
    <phoneticPr fontId="1" type="noConversion"/>
  </si>
  <si>
    <t>T8X60</t>
  </si>
  <si>
    <t>T8X60</t>
    <phoneticPr fontId="1" type="noConversion"/>
  </si>
  <si>
    <t>T9X60</t>
  </si>
  <si>
    <t>T9X60</t>
    <phoneticPr fontId="1" type="noConversion"/>
  </si>
  <si>
    <t>T10X80</t>
  </si>
  <si>
    <t>T10X80</t>
    <phoneticPr fontId="1" type="noConversion"/>
  </si>
  <si>
    <t>T15X80</t>
  </si>
  <si>
    <t>T15X80</t>
    <phoneticPr fontId="1" type="noConversion"/>
  </si>
  <si>
    <t>T20X100</t>
  </si>
  <si>
    <t>T20X100</t>
    <phoneticPr fontId="1" type="noConversion"/>
  </si>
  <si>
    <t>T25X100</t>
  </si>
  <si>
    <t>T25X100</t>
    <phoneticPr fontId="1" type="noConversion"/>
  </si>
  <si>
    <t>T27X100</t>
  </si>
  <si>
    <t>T27X100</t>
    <phoneticPr fontId="1" type="noConversion"/>
  </si>
  <si>
    <t>T30X125</t>
  </si>
  <si>
    <t>T30X125</t>
    <phoneticPr fontId="1" type="noConversion"/>
  </si>
  <si>
    <t>T40X150</t>
  </si>
  <si>
    <t>T40X150</t>
    <phoneticPr fontId="1" type="noConversion"/>
  </si>
  <si>
    <t>T45X200</t>
  </si>
  <si>
    <t>T45X200</t>
    <phoneticPr fontId="1" type="noConversion"/>
  </si>
  <si>
    <t>TP6X60</t>
  </si>
  <si>
    <t>TP6X60</t>
    <phoneticPr fontId="1" type="noConversion"/>
  </si>
  <si>
    <t>TP7X60</t>
  </si>
  <si>
    <t>TP7X60</t>
    <phoneticPr fontId="1" type="noConversion"/>
  </si>
  <si>
    <t>TP8X60</t>
  </si>
  <si>
    <t>TP8X60</t>
    <phoneticPr fontId="1" type="noConversion"/>
  </si>
  <si>
    <t>TP9X60</t>
  </si>
  <si>
    <t>TP9X60</t>
    <phoneticPr fontId="1" type="noConversion"/>
  </si>
  <si>
    <t>TP10X80</t>
  </si>
  <si>
    <t>TP10X80</t>
    <phoneticPr fontId="1" type="noConversion"/>
  </si>
  <si>
    <t>TP15X80</t>
  </si>
  <si>
    <t>TP15X80</t>
    <phoneticPr fontId="1" type="noConversion"/>
  </si>
  <si>
    <t>TP20X100</t>
  </si>
  <si>
    <t>TP20X100</t>
    <phoneticPr fontId="1" type="noConversion"/>
  </si>
  <si>
    <t>TP25X100</t>
  </si>
  <si>
    <t>TP25X100</t>
    <phoneticPr fontId="1" type="noConversion"/>
  </si>
  <si>
    <t>TP27X100</t>
  </si>
  <si>
    <t>TP27X100</t>
    <phoneticPr fontId="1" type="noConversion"/>
  </si>
  <si>
    <t>TP30X125</t>
  </si>
  <si>
    <t>TP30X125</t>
    <phoneticPr fontId="1" type="noConversion"/>
  </si>
  <si>
    <t>TP40X150</t>
  </si>
  <si>
    <t>TP40X150</t>
    <phoneticPr fontId="1" type="noConversion"/>
  </si>
  <si>
    <t>TP45X200</t>
  </si>
  <si>
    <t>TP45X200</t>
    <phoneticPr fontId="1" type="noConversion"/>
  </si>
  <si>
    <t>ST3X60</t>
  </si>
  <si>
    <t>ST3X60</t>
    <phoneticPr fontId="1" type="noConversion"/>
  </si>
  <si>
    <t>ST3X75</t>
  </si>
  <si>
    <t>ST3X75</t>
    <phoneticPr fontId="1" type="noConversion"/>
  </si>
  <si>
    <t>ST3X100</t>
  </si>
  <si>
    <t>ST3X100</t>
    <phoneticPr fontId="1" type="noConversion"/>
  </si>
  <si>
    <t>ST3X125</t>
  </si>
  <si>
    <t>ST3X125</t>
    <phoneticPr fontId="1" type="noConversion"/>
  </si>
  <si>
    <t>ST3X150</t>
  </si>
  <si>
    <t>ST3X150</t>
    <phoneticPr fontId="1" type="noConversion"/>
  </si>
  <si>
    <t>ST3X200</t>
  </si>
  <si>
    <t>ST3X200</t>
    <phoneticPr fontId="1" type="noConversion"/>
  </si>
  <si>
    <t>ST3X250</t>
  </si>
  <si>
    <t>ST3X250</t>
    <phoneticPr fontId="1" type="noConversion"/>
  </si>
  <si>
    <t>ST3X300</t>
  </si>
  <si>
    <t>ST3X300</t>
    <phoneticPr fontId="1" type="noConversion"/>
  </si>
  <si>
    <t>ST4X80</t>
  </si>
  <si>
    <t>ST4X80</t>
    <phoneticPr fontId="1" type="noConversion"/>
  </si>
  <si>
    <t>ST4X100</t>
  </si>
  <si>
    <t>ST4X100</t>
    <phoneticPr fontId="1" type="noConversion"/>
  </si>
  <si>
    <t>ST4X125</t>
  </si>
  <si>
    <t>ST4X125</t>
    <phoneticPr fontId="1" type="noConversion"/>
  </si>
  <si>
    <t>ST4X150</t>
  </si>
  <si>
    <t>ST4X150</t>
    <phoneticPr fontId="1" type="noConversion"/>
  </si>
  <si>
    <t>ST4X200</t>
  </si>
  <si>
    <t>ST4X200</t>
    <phoneticPr fontId="1" type="noConversion"/>
  </si>
  <si>
    <t>ST4X250</t>
  </si>
  <si>
    <t>ST4X250</t>
    <phoneticPr fontId="1" type="noConversion"/>
  </si>
  <si>
    <t>ST4X300</t>
  </si>
  <si>
    <t>ST4X300</t>
    <phoneticPr fontId="1" type="noConversion"/>
  </si>
  <si>
    <t>ST4X350</t>
  </si>
  <si>
    <t>ST4X350</t>
    <phoneticPr fontId="1" type="noConversion"/>
  </si>
  <si>
    <t>ST4X400</t>
  </si>
  <si>
    <t>ST4X400</t>
    <phoneticPr fontId="1" type="noConversion"/>
  </si>
  <si>
    <t>ST4X500</t>
  </si>
  <si>
    <t>ST4X500</t>
    <phoneticPr fontId="1" type="noConversion"/>
  </si>
  <si>
    <t>ST5.5X38</t>
  </si>
  <si>
    <t>ST5.5X38</t>
    <phoneticPr fontId="1" type="noConversion"/>
  </si>
  <si>
    <t>ST5X80</t>
  </si>
  <si>
    <t>ST5X80</t>
    <phoneticPr fontId="1" type="noConversion"/>
  </si>
  <si>
    <t>ST5X100</t>
  </si>
  <si>
    <t>ST5X100</t>
    <phoneticPr fontId="1" type="noConversion"/>
  </si>
  <si>
    <t>ST5X125</t>
  </si>
  <si>
    <t>ST5X125</t>
    <phoneticPr fontId="1" type="noConversion"/>
  </si>
  <si>
    <t>ST5X150</t>
  </si>
  <si>
    <t>ST5X150</t>
    <phoneticPr fontId="1" type="noConversion"/>
  </si>
  <si>
    <t>ST5X200</t>
  </si>
  <si>
    <t>ST5X200</t>
    <phoneticPr fontId="1" type="noConversion"/>
  </si>
  <si>
    <t>ST5X250</t>
  </si>
  <si>
    <t>ST5X250</t>
    <phoneticPr fontId="1" type="noConversion"/>
  </si>
  <si>
    <t>ST5X300</t>
  </si>
  <si>
    <t>ST5X300</t>
    <phoneticPr fontId="1" type="noConversion"/>
  </si>
  <si>
    <t>ST5X350</t>
  </si>
  <si>
    <t>ST5X350</t>
    <phoneticPr fontId="1" type="noConversion"/>
  </si>
  <si>
    <t>ST5X400</t>
  </si>
  <si>
    <t>ST5X400</t>
    <phoneticPr fontId="1" type="noConversion"/>
  </si>
  <si>
    <t>ST5X500</t>
  </si>
  <si>
    <t>ST5X500</t>
    <phoneticPr fontId="1" type="noConversion"/>
  </si>
  <si>
    <t>ST8X150</t>
  </si>
  <si>
    <t>ST8X150</t>
    <phoneticPr fontId="1" type="noConversion"/>
  </si>
  <si>
    <t>ST8X175</t>
  </si>
  <si>
    <t>ST8X175</t>
    <phoneticPr fontId="1" type="noConversion"/>
  </si>
  <si>
    <t>ST8X200</t>
  </si>
  <si>
    <t>ST8X200</t>
    <phoneticPr fontId="1" type="noConversion"/>
  </si>
  <si>
    <t>ST8X250</t>
  </si>
  <si>
    <t>ST8X250</t>
    <phoneticPr fontId="1" type="noConversion"/>
  </si>
  <si>
    <t>ST8X300</t>
  </si>
  <si>
    <t>ST8X300</t>
    <phoneticPr fontId="1" type="noConversion"/>
  </si>
  <si>
    <t>ST8X350</t>
  </si>
  <si>
    <t>ST8X350</t>
    <phoneticPr fontId="1" type="noConversion"/>
  </si>
  <si>
    <t>ST8X400</t>
  </si>
  <si>
    <t>ST8X400</t>
    <phoneticPr fontId="1" type="noConversion"/>
  </si>
  <si>
    <t>ST8X450</t>
  </si>
  <si>
    <t>ST8X450</t>
    <phoneticPr fontId="1" type="noConversion"/>
  </si>
  <si>
    <t>ST8X500</t>
  </si>
  <si>
    <t>ST8X500</t>
    <phoneticPr fontId="1" type="noConversion"/>
  </si>
  <si>
    <t>ST10X175</t>
  </si>
  <si>
    <t>ST10X175</t>
    <phoneticPr fontId="1" type="noConversion"/>
  </si>
  <si>
    <t>ST10X200</t>
  </si>
  <si>
    <t>ST10X200</t>
    <phoneticPr fontId="1" type="noConversion"/>
  </si>
  <si>
    <t>ST10X250</t>
  </si>
  <si>
    <t>ST10X250</t>
    <phoneticPr fontId="1" type="noConversion"/>
  </si>
  <si>
    <t>ST10X300</t>
  </si>
  <si>
    <t>ST10X300</t>
    <phoneticPr fontId="1" type="noConversion"/>
  </si>
  <si>
    <t>ST10X350</t>
  </si>
  <si>
    <t>ST10X350</t>
    <phoneticPr fontId="1" type="noConversion"/>
  </si>
  <si>
    <t>ST10X400</t>
  </si>
  <si>
    <t>ST10X400</t>
    <phoneticPr fontId="1" type="noConversion"/>
  </si>
  <si>
    <t>ST10X450</t>
  </si>
  <si>
    <t>ST10X450</t>
    <phoneticPr fontId="1" type="noConversion"/>
  </si>
  <si>
    <t>ST10X500</t>
  </si>
  <si>
    <t>ST10X500</t>
    <phoneticPr fontId="1" type="noConversion"/>
  </si>
  <si>
    <t xml:space="preserve">重量公式: </t>
    <phoneticPr fontId="1" type="noConversion"/>
  </si>
  <si>
    <t>長度</t>
    <phoneticPr fontId="1" type="noConversion"/>
  </si>
  <si>
    <t>線徑</t>
  </si>
  <si>
    <t>線徑</t>
    <phoneticPr fontId="1" type="noConversion"/>
  </si>
  <si>
    <t>重量</t>
    <phoneticPr fontId="1" type="noConversion"/>
  </si>
  <si>
    <t>單價</t>
  </si>
  <si>
    <t>單價</t>
    <phoneticPr fontId="1" type="noConversion"/>
  </si>
  <si>
    <t>價格</t>
  </si>
  <si>
    <t>價格</t>
    <phoneticPr fontId="1" type="noConversion"/>
  </si>
  <si>
    <t>鐵材比重</t>
  </si>
  <si>
    <t>鐵材比重</t>
    <phoneticPr fontId="1" type="noConversion"/>
  </si>
  <si>
    <t>外露長度</t>
  </si>
  <si>
    <t>外露長度</t>
    <phoneticPr fontId="1" type="noConversion"/>
  </si>
  <si>
    <t>內含長度</t>
  </si>
  <si>
    <t>內含長度</t>
    <phoneticPr fontId="1" type="noConversion"/>
  </si>
  <si>
    <t>ST6X38</t>
  </si>
  <si>
    <t>ST6X38</t>
    <phoneticPr fontId="1" type="noConversion"/>
  </si>
  <si>
    <t>ST6X100</t>
  </si>
  <si>
    <t>ST6X100</t>
    <phoneticPr fontId="1" type="noConversion"/>
  </si>
  <si>
    <t>ST6X125</t>
  </si>
  <si>
    <t>ST6X125</t>
    <phoneticPr fontId="1" type="noConversion"/>
  </si>
  <si>
    <t>ST6X150</t>
  </si>
  <si>
    <t>ST6X150</t>
    <phoneticPr fontId="1" type="noConversion"/>
  </si>
  <si>
    <t>ST6X200</t>
  </si>
  <si>
    <t>ST6X200</t>
    <phoneticPr fontId="1" type="noConversion"/>
  </si>
  <si>
    <t>ST6X250</t>
  </si>
  <si>
    <t>ST6X250</t>
    <phoneticPr fontId="1" type="noConversion"/>
  </si>
  <si>
    <t>ST6X300</t>
  </si>
  <si>
    <t>ST6X300</t>
    <phoneticPr fontId="1" type="noConversion"/>
  </si>
  <si>
    <t>ST6X350</t>
  </si>
  <si>
    <t>ST6X350</t>
    <phoneticPr fontId="1" type="noConversion"/>
  </si>
  <si>
    <t>ST6X400</t>
  </si>
  <si>
    <t>ST6X400</t>
    <phoneticPr fontId="1" type="noConversion"/>
  </si>
  <si>
    <t>ST6X450</t>
  </si>
  <si>
    <t>ST6X450</t>
    <phoneticPr fontId="1" type="noConversion"/>
  </si>
  <si>
    <t>ST6X500</t>
  </si>
  <si>
    <t>ST6X500</t>
    <phoneticPr fontId="1" type="noConversion"/>
  </si>
  <si>
    <t>(線徑規格 x 線徑規格 x 長度 x 比率)/1000 = 重量(g)</t>
    <phoneticPr fontId="1" type="noConversion"/>
  </si>
  <si>
    <t>預抓漲幅:</t>
    <phoneticPr fontId="1" type="noConversion"/>
  </si>
  <si>
    <t>鐵材成本</t>
    <phoneticPr fontId="1" type="noConversion"/>
  </si>
  <si>
    <t>重量</t>
    <phoneticPr fontId="1" type="noConversion"/>
  </si>
  <si>
    <t>熱處理成本</t>
    <phoneticPr fontId="1" type="noConversion"/>
  </si>
  <si>
    <t>噴砂成本計算</t>
    <phoneticPr fontId="1" type="noConversion"/>
  </si>
  <si>
    <t>每公斤預抓15%漲幅</t>
  </si>
  <si>
    <t>噴砂預抓漲幅:</t>
    <phoneticPr fontId="1" type="noConversion"/>
  </si>
  <si>
    <t>電鍍成本</t>
    <phoneticPr fontId="1" type="noConversion"/>
  </si>
  <si>
    <t>染黑(磷酸錳)成本</t>
    <phoneticPr fontId="1" type="noConversion"/>
  </si>
  <si>
    <t>3MM</t>
    <phoneticPr fontId="1" type="noConversion"/>
  </si>
  <si>
    <t>4MM</t>
    <phoneticPr fontId="1" type="noConversion"/>
  </si>
  <si>
    <t>尺寸</t>
    <phoneticPr fontId="1" type="noConversion"/>
  </si>
  <si>
    <t>5MM</t>
    <phoneticPr fontId="1" type="noConversion"/>
  </si>
  <si>
    <t>6MM</t>
    <phoneticPr fontId="1" type="noConversion"/>
  </si>
  <si>
    <t>0.2/支</t>
    <phoneticPr fontId="1" type="noConversion"/>
  </si>
  <si>
    <t>10/KG</t>
    <phoneticPr fontId="1" type="noConversion"/>
  </si>
  <si>
    <t>10/KG</t>
    <phoneticPr fontId="1" type="noConversion"/>
  </si>
  <si>
    <t>9/KG</t>
    <phoneticPr fontId="1" type="noConversion"/>
  </si>
  <si>
    <t>9/KG</t>
    <phoneticPr fontId="1" type="noConversion"/>
  </si>
  <si>
    <t xml:space="preserve"> </t>
    <phoneticPr fontId="1" type="noConversion"/>
  </si>
  <si>
    <t>3MM</t>
    <phoneticPr fontId="1" type="noConversion"/>
  </si>
  <si>
    <t>100~159</t>
    <phoneticPr fontId="1" type="noConversion"/>
  </si>
  <si>
    <r>
      <t>100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</si>
  <si>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t>160~210</t>
    <phoneticPr fontId="1" type="noConversion"/>
  </si>
  <si>
    <t>211~365</t>
    <phoneticPr fontId="1" type="noConversion"/>
  </si>
  <si>
    <t>4MM</t>
    <phoneticPr fontId="1" type="noConversion"/>
  </si>
  <si>
    <r>
      <t>100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</si>
  <si>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t>201~240</t>
    <phoneticPr fontId="1" type="noConversion"/>
  </si>
  <si>
    <t>241~300</t>
    <phoneticPr fontId="1" type="noConversion"/>
  </si>
  <si>
    <t>301~400</t>
    <phoneticPr fontId="1" type="noConversion"/>
  </si>
  <si>
    <t>400~500</t>
    <phoneticPr fontId="1" type="noConversion"/>
  </si>
  <si>
    <t>5MM</t>
    <phoneticPr fontId="1" type="noConversion"/>
  </si>
  <si>
    <r>
      <t>100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</si>
  <si>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t>300~400</t>
    <phoneticPr fontId="1" type="noConversion"/>
  </si>
  <si>
    <t>401~500</t>
    <phoneticPr fontId="1" type="noConversion"/>
  </si>
  <si>
    <t>6MM</t>
    <phoneticPr fontId="1" type="noConversion"/>
  </si>
  <si>
    <r>
      <t>100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</si>
  <si>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t>401~500</t>
    <phoneticPr fontId="1" type="noConversion"/>
  </si>
  <si>
    <t>501~600</t>
    <phoneticPr fontId="1" type="noConversion"/>
  </si>
  <si>
    <t>501~600</t>
    <phoneticPr fontId="1" type="noConversion"/>
  </si>
  <si>
    <t>7MM</t>
    <phoneticPr fontId="1" type="noConversion"/>
  </si>
  <si>
    <t>150~200</t>
    <phoneticPr fontId="1" type="noConversion"/>
  </si>
  <si>
    <t>201~299</t>
    <phoneticPr fontId="1" type="noConversion"/>
  </si>
  <si>
    <t>300~400</t>
    <phoneticPr fontId="1" type="noConversion"/>
  </si>
  <si>
    <t>400~600</t>
    <phoneticPr fontId="1" type="noConversion"/>
  </si>
  <si>
    <t>8MM</t>
    <phoneticPr fontId="1" type="noConversion"/>
  </si>
  <si>
    <t>10MM</t>
    <phoneticPr fontId="1" type="noConversion"/>
  </si>
  <si>
    <t>284~299</t>
    <phoneticPr fontId="1" type="noConversion"/>
  </si>
  <si>
    <t>10MM</t>
    <phoneticPr fontId="1" type="noConversion"/>
  </si>
  <si>
    <t>401~600</t>
    <phoneticPr fontId="1" type="noConversion"/>
  </si>
  <si>
    <t>預抓漲幅</t>
    <phoneticPr fontId="1" type="noConversion"/>
  </si>
  <si>
    <t>3MM</t>
    <phoneticPr fontId="1" type="noConversion"/>
  </si>
  <si>
    <r>
      <t>465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</si>
  <si>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r>
      <t>465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</si>
  <si>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r>
      <t>6MM</t>
    </r>
    <r>
      <rPr>
        <sz val="12"/>
        <color theme="1"/>
        <rFont val="新細明體"/>
        <family val="1"/>
        <charset val="136"/>
      </rPr>
      <t>↑</t>
    </r>
    <phoneticPr fontId="1" type="noConversion"/>
  </si>
  <si>
    <r>
      <t>300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</si>
  <si>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t>301~500</t>
    <phoneticPr fontId="1" type="noConversion"/>
  </si>
  <si>
    <t>501~600</t>
    <phoneticPr fontId="1" type="noConversion"/>
  </si>
  <si>
    <t>601~750</t>
    <phoneticPr fontId="1" type="noConversion"/>
  </si>
  <si>
    <t>4MM</t>
    <phoneticPr fontId="1" type="noConversion"/>
  </si>
  <si>
    <t>466~580</t>
    <phoneticPr fontId="1" type="noConversion"/>
  </si>
  <si>
    <t>5MM</t>
    <phoneticPr fontId="1" type="noConversion"/>
  </si>
  <si>
    <t>手柄成本</t>
    <phoneticPr fontId="1" type="noConversion"/>
  </si>
  <si>
    <t>種類</t>
    <phoneticPr fontId="1" type="noConversion"/>
  </si>
  <si>
    <t>大柄</t>
    <phoneticPr fontId="1" type="noConversion"/>
  </si>
  <si>
    <t>中柄</t>
    <phoneticPr fontId="1" type="noConversion"/>
  </si>
  <si>
    <t>小柄</t>
    <phoneticPr fontId="1" type="noConversion"/>
  </si>
  <si>
    <t>精密柄</t>
    <phoneticPr fontId="1" type="noConversion"/>
  </si>
  <si>
    <t>陀螺</t>
    <phoneticPr fontId="1" type="noConversion"/>
  </si>
  <si>
    <t>大大柄</t>
    <phoneticPr fontId="1" type="noConversion"/>
  </si>
  <si>
    <t>K25</t>
    <phoneticPr fontId="1" type="noConversion"/>
  </si>
  <si>
    <t>C61</t>
    <phoneticPr fontId="1" type="noConversion"/>
  </si>
  <si>
    <t>C71</t>
    <phoneticPr fontId="1" type="noConversion"/>
  </si>
  <si>
    <t>686絕緣</t>
    <phoneticPr fontId="1" type="noConversion"/>
  </si>
  <si>
    <t>絕緣軸心</t>
    <phoneticPr fontId="1" type="noConversion"/>
  </si>
  <si>
    <t>T600</t>
    <phoneticPr fontId="1" type="noConversion"/>
  </si>
  <si>
    <t>流線T-BAR</t>
    <phoneticPr fontId="1" type="noConversion"/>
  </si>
  <si>
    <t>G800</t>
    <phoneticPr fontId="1" type="noConversion"/>
  </si>
  <si>
    <t>TA</t>
    <phoneticPr fontId="1" type="noConversion"/>
  </si>
  <si>
    <t>TA貫通</t>
    <phoneticPr fontId="1" type="noConversion"/>
  </si>
  <si>
    <t>T600重威</t>
    <phoneticPr fontId="1" type="noConversion"/>
  </si>
  <si>
    <t>G800重威</t>
    <phoneticPr fontId="1" type="noConversion"/>
  </si>
  <si>
    <t>D71重威</t>
    <phoneticPr fontId="1" type="noConversion"/>
  </si>
  <si>
    <t>K26</t>
    <phoneticPr fontId="1" type="noConversion"/>
  </si>
  <si>
    <r>
      <t>D71</t>
    </r>
    <r>
      <rPr>
        <sz val="12"/>
        <color theme="1"/>
        <rFont val="新細明體"/>
        <family val="1"/>
        <charset val="136"/>
      </rPr>
      <t>↑300MM</t>
    </r>
    <phoneticPr fontId="1" type="noConversion"/>
  </si>
  <si>
    <t>貫通頭成本</t>
    <phoneticPr fontId="1" type="noConversion"/>
  </si>
  <si>
    <t>六角環成本</t>
    <phoneticPr fontId="1" type="noConversion"/>
  </si>
  <si>
    <t>尺寸</t>
    <phoneticPr fontId="1" type="noConversion"/>
  </si>
  <si>
    <t>鍛品單價</t>
    <phoneticPr fontId="1" type="noConversion"/>
  </si>
  <si>
    <t>車修加工</t>
    <phoneticPr fontId="1" type="noConversion"/>
  </si>
  <si>
    <t>價格</t>
    <phoneticPr fontId="1" type="noConversion"/>
  </si>
  <si>
    <t>焊工</t>
    <phoneticPr fontId="1" type="noConversion"/>
  </si>
  <si>
    <t>鍛品</t>
    <phoneticPr fontId="1" type="noConversion"/>
  </si>
  <si>
    <t>加工</t>
    <phoneticPr fontId="1" type="noConversion"/>
  </si>
  <si>
    <t>7/16拔釘器)</t>
    <phoneticPr fontId="1" type="noConversion"/>
  </si>
  <si>
    <t>3/8(拔釘器)</t>
    <phoneticPr fontId="1" type="noConversion"/>
  </si>
  <si>
    <t>N</t>
  </si>
  <si>
    <t>N</t>
    <phoneticPr fontId="1" type="noConversion"/>
  </si>
  <si>
    <t>膠套成本</t>
    <phoneticPr fontId="1" type="noConversion"/>
  </si>
  <si>
    <t>PH3MM</t>
    <phoneticPr fontId="1" type="noConversion"/>
  </si>
  <si>
    <t>PH4MM</t>
    <phoneticPr fontId="1" type="noConversion"/>
  </si>
  <si>
    <t>PH5MM</t>
    <phoneticPr fontId="1" type="noConversion"/>
  </si>
  <si>
    <t>PH6MM</t>
    <phoneticPr fontId="1" type="noConversion"/>
  </si>
  <si>
    <t>PH8MM</t>
    <phoneticPr fontId="1" type="noConversion"/>
  </si>
  <si>
    <t>PH10MM</t>
    <phoneticPr fontId="1" type="noConversion"/>
  </si>
  <si>
    <t>SL3MM</t>
    <phoneticPr fontId="1" type="noConversion"/>
  </si>
  <si>
    <t>SL4MM</t>
    <phoneticPr fontId="1" type="noConversion"/>
  </si>
  <si>
    <t>SL5MM</t>
    <phoneticPr fontId="1" type="noConversion"/>
  </si>
  <si>
    <t>SL6MM</t>
    <phoneticPr fontId="1" type="noConversion"/>
  </si>
  <si>
    <t>SL8MM</t>
    <phoneticPr fontId="1" type="noConversion"/>
  </si>
  <si>
    <t>SL10MM</t>
    <phoneticPr fontId="1" type="noConversion"/>
  </si>
  <si>
    <t>尺寸</t>
    <phoneticPr fontId="1" type="noConversion"/>
  </si>
  <si>
    <t>顆/價格</t>
    <phoneticPr fontId="1" type="noConversion"/>
  </si>
  <si>
    <t>穿工</t>
    <phoneticPr fontId="1" type="noConversion"/>
  </si>
  <si>
    <t>鐵材成本</t>
    <phoneticPr fontId="1" type="noConversion"/>
  </si>
  <si>
    <t>+六角環成本</t>
    <phoneticPr fontId="1" type="noConversion"/>
  </si>
  <si>
    <t>重量(G)</t>
    <phoneticPr fontId="1" type="noConversion"/>
  </si>
  <si>
    <t>十字成型成本</t>
    <phoneticPr fontId="1" type="noConversion"/>
  </si>
  <si>
    <t>線徑尺寸</t>
    <phoneticPr fontId="1" type="noConversion"/>
  </si>
  <si>
    <t>0~180</t>
    <phoneticPr fontId="1" type="noConversion"/>
  </si>
  <si>
    <t>181~300</t>
    <phoneticPr fontId="1" type="noConversion"/>
  </si>
  <si>
    <t>301~461</t>
    <phoneticPr fontId="1" type="noConversion"/>
  </si>
  <si>
    <t>462~</t>
    <phoneticPr fontId="1" type="noConversion"/>
  </si>
  <si>
    <t>0~300</t>
    <phoneticPr fontId="1" type="noConversion"/>
  </si>
  <si>
    <t>301~460</t>
    <phoneticPr fontId="1" type="noConversion"/>
  </si>
  <si>
    <t>461~</t>
    <phoneticPr fontId="1" type="noConversion"/>
  </si>
  <si>
    <t>一字成型成本</t>
    <phoneticPr fontId="1" type="noConversion"/>
  </si>
  <si>
    <t>四角鐵</t>
    <phoneticPr fontId="1" type="noConversion"/>
  </si>
  <si>
    <t>3.4.5MM</t>
    <phoneticPr fontId="1" type="noConversion"/>
  </si>
  <si>
    <t>7.8MM</t>
    <phoneticPr fontId="1" type="noConversion"/>
  </si>
  <si>
    <t>165~192</t>
    <phoneticPr fontId="1" type="noConversion"/>
  </si>
  <si>
    <t>190~290</t>
    <phoneticPr fontId="1" type="noConversion"/>
  </si>
  <si>
    <t>291~</t>
    <phoneticPr fontId="1" type="noConversion"/>
  </si>
  <si>
    <t>219~300</t>
    <phoneticPr fontId="1" type="noConversion"/>
  </si>
  <si>
    <t>301~427</t>
    <phoneticPr fontId="1" type="noConversion"/>
  </si>
  <si>
    <t>428~</t>
    <phoneticPr fontId="1" type="noConversion"/>
  </si>
  <si>
    <t>277~326</t>
    <phoneticPr fontId="1" type="noConversion"/>
  </si>
  <si>
    <t>327~332</t>
    <phoneticPr fontId="1" type="noConversion"/>
  </si>
  <si>
    <t>333~377</t>
    <phoneticPr fontId="1" type="noConversion"/>
  </si>
  <si>
    <t>378~</t>
    <phoneticPr fontId="1" type="noConversion"/>
  </si>
  <si>
    <t>SL5.5    5MM</t>
    <phoneticPr fontId="1" type="noConversion"/>
  </si>
  <si>
    <t>SL4        4MM</t>
    <phoneticPr fontId="1" type="noConversion"/>
  </si>
  <si>
    <t>SL5.5    5MM</t>
    <phoneticPr fontId="1" type="noConversion"/>
  </si>
  <si>
    <t>SL6.5    6MM</t>
    <phoneticPr fontId="1" type="noConversion"/>
  </si>
  <si>
    <t>SL8       7MM</t>
    <phoneticPr fontId="1" type="noConversion"/>
  </si>
  <si>
    <t>SL9.5    8MM</t>
    <phoneticPr fontId="1" type="noConversion"/>
  </si>
  <si>
    <t>SL9.5    8MM</t>
    <phoneticPr fontId="1" type="noConversion"/>
  </si>
  <si>
    <t>302~326</t>
    <phoneticPr fontId="1" type="noConversion"/>
  </si>
  <si>
    <t>327~427</t>
    <phoneticPr fontId="1" type="noConversion"/>
  </si>
  <si>
    <t>428~</t>
    <phoneticPr fontId="1" type="noConversion"/>
  </si>
  <si>
    <t>PH1      5MM</t>
    <phoneticPr fontId="1" type="noConversion"/>
  </si>
  <si>
    <t>PH1      5MM</t>
    <phoneticPr fontId="1" type="noConversion"/>
  </si>
  <si>
    <t>165~241</t>
    <phoneticPr fontId="1" type="noConversion"/>
  </si>
  <si>
    <t>242~291</t>
    <phoneticPr fontId="1" type="noConversion"/>
  </si>
  <si>
    <t>292~341</t>
    <phoneticPr fontId="1" type="noConversion"/>
  </si>
  <si>
    <t>342~</t>
    <phoneticPr fontId="1" type="noConversion"/>
  </si>
  <si>
    <t>PH2      6MM</t>
    <phoneticPr fontId="1" type="noConversion"/>
  </si>
  <si>
    <t>201~310</t>
    <phoneticPr fontId="1" type="noConversion"/>
  </si>
  <si>
    <t>311~410</t>
    <phoneticPr fontId="1" type="noConversion"/>
  </si>
  <si>
    <t>411~</t>
    <phoneticPr fontId="1" type="noConversion"/>
  </si>
  <si>
    <t>PH3      8MM</t>
    <phoneticPr fontId="1" type="noConversion"/>
  </si>
  <si>
    <t>243~280</t>
    <phoneticPr fontId="1" type="noConversion"/>
  </si>
  <si>
    <t>281~330</t>
    <phoneticPr fontId="1" type="noConversion"/>
  </si>
  <si>
    <t>331~380</t>
    <phoneticPr fontId="1" type="noConversion"/>
  </si>
  <si>
    <t>381~430</t>
    <phoneticPr fontId="1" type="noConversion"/>
  </si>
  <si>
    <t>431~</t>
    <phoneticPr fontId="1" type="noConversion"/>
  </si>
  <si>
    <t>總長</t>
    <phoneticPr fontId="1" type="noConversion"/>
  </si>
  <si>
    <t>外露長度</t>
    <phoneticPr fontId="1" type="noConversion"/>
  </si>
  <si>
    <t>單價</t>
    <phoneticPr fontId="1" type="noConversion"/>
  </si>
  <si>
    <t>價格</t>
    <phoneticPr fontId="1" type="noConversion"/>
  </si>
  <si>
    <t>鋼種</t>
    <phoneticPr fontId="1" type="noConversion"/>
  </si>
  <si>
    <t>形體</t>
    <phoneticPr fontId="1" type="noConversion"/>
  </si>
  <si>
    <t>圓型</t>
    <phoneticPr fontId="1" type="noConversion"/>
  </si>
  <si>
    <t>4.5MM</t>
    <phoneticPr fontId="1" type="noConversion"/>
  </si>
  <si>
    <t>5~5.5MM</t>
    <phoneticPr fontId="1" type="noConversion"/>
  </si>
  <si>
    <t>四角/六角</t>
    <phoneticPr fontId="1" type="noConversion"/>
  </si>
  <si>
    <t>2MM</t>
    <phoneticPr fontId="1" type="noConversion"/>
  </si>
  <si>
    <t>5~5.5MM</t>
    <phoneticPr fontId="1" type="noConversion"/>
  </si>
  <si>
    <t>六角</t>
    <phoneticPr fontId="1" type="noConversion"/>
  </si>
  <si>
    <t>6.35MM</t>
    <phoneticPr fontId="1" type="noConversion"/>
  </si>
  <si>
    <t>S2</t>
    <phoneticPr fontId="1" type="noConversion"/>
  </si>
  <si>
    <t>S2</t>
    <phoneticPr fontId="1" type="noConversion"/>
  </si>
  <si>
    <t>6MM~</t>
    <phoneticPr fontId="1" type="noConversion"/>
  </si>
  <si>
    <t>6MM~</t>
    <phoneticPr fontId="1" type="noConversion"/>
  </si>
  <si>
    <t>圓形</t>
    <phoneticPr fontId="1" type="noConversion"/>
  </si>
  <si>
    <t>3.5MM</t>
    <phoneticPr fontId="1" type="noConversion"/>
  </si>
  <si>
    <t>4.5MM</t>
    <phoneticPr fontId="1" type="noConversion"/>
  </si>
  <si>
    <t>材質</t>
    <phoneticPr fontId="1" type="noConversion"/>
  </si>
  <si>
    <t>8660.S2</t>
    <phoneticPr fontId="1" type="noConversion"/>
  </si>
  <si>
    <r>
      <t>3.8MM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</si>
  <si>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r>
      <t>4MM</t>
    </r>
    <r>
      <rPr>
        <sz val="12"/>
        <color theme="1"/>
        <rFont val="新細明體"/>
        <family val="1"/>
        <charset val="136"/>
      </rPr>
      <t>↑</t>
    </r>
    <phoneticPr fontId="1" type="noConversion"/>
  </si>
  <si>
    <r>
      <t>總長500MM</t>
    </r>
    <r>
      <rPr>
        <sz val="12"/>
        <color theme="1"/>
        <rFont val="新細明體"/>
        <family val="1"/>
        <charset val="136"/>
      </rPr>
      <t>↑</t>
    </r>
    <phoneticPr fontId="1" type="noConversion"/>
  </si>
  <si>
    <t xml:space="preserve">拔釘器不限長度  </t>
    <phoneticPr fontId="1" type="noConversion"/>
  </si>
  <si>
    <r>
      <t>拔釘器  300MM</t>
    </r>
    <r>
      <rPr>
        <sz val="10"/>
        <color theme="1"/>
        <rFont val="新細明體"/>
        <family val="1"/>
        <charset val="136"/>
      </rPr>
      <t>↓</t>
    </r>
    <phoneticPr fontId="1" type="noConversion"/>
  </si>
  <si>
    <r>
      <t>拔釘器  300MM</t>
    </r>
    <r>
      <rPr>
        <sz val="10"/>
        <color theme="1"/>
        <rFont val="新細明體"/>
        <family val="1"/>
        <charset val="136"/>
      </rPr>
      <t>↑</t>
    </r>
    <phoneticPr fontId="1" type="noConversion"/>
  </si>
  <si>
    <t>箱型爐處理</t>
    <phoneticPr fontId="1" type="noConversion"/>
  </si>
  <si>
    <t>預抓漲幅</t>
    <phoneticPr fontId="1" type="noConversion"/>
  </si>
  <si>
    <t>整直成本分析</t>
    <phoneticPr fontId="1" type="noConversion"/>
  </si>
  <si>
    <t>尺寸</t>
    <phoneticPr fontId="1" type="noConversion"/>
  </si>
  <si>
    <t>長度</t>
    <phoneticPr fontId="1" type="noConversion"/>
  </si>
  <si>
    <t>單價</t>
    <phoneticPr fontId="1" type="noConversion"/>
  </si>
  <si>
    <t>3.4.5MM</t>
    <phoneticPr fontId="1" type="noConversion"/>
  </si>
  <si>
    <t>0~200</t>
    <phoneticPr fontId="1" type="noConversion"/>
  </si>
  <si>
    <t>201~300</t>
    <phoneticPr fontId="1" type="noConversion"/>
  </si>
  <si>
    <t>301~400</t>
  </si>
  <si>
    <t>301~400</t>
    <phoneticPr fontId="1" type="noConversion"/>
  </si>
  <si>
    <t>4.5MM</t>
    <phoneticPr fontId="1" type="noConversion"/>
  </si>
  <si>
    <t>401~500</t>
    <phoneticPr fontId="1" type="noConversion"/>
  </si>
  <si>
    <t>6MM</t>
    <phoneticPr fontId="1" type="noConversion"/>
  </si>
  <si>
    <t>0~300</t>
    <phoneticPr fontId="1" type="noConversion"/>
  </si>
  <si>
    <t>301~450</t>
    <phoneticPr fontId="1" type="noConversion"/>
  </si>
  <si>
    <r>
      <t>451</t>
    </r>
    <r>
      <rPr>
        <sz val="12"/>
        <color theme="1"/>
        <rFont val="新細明體"/>
        <family val="1"/>
        <charset val="136"/>
      </rPr>
      <t>↑</t>
    </r>
    <phoneticPr fontId="1" type="noConversion"/>
  </si>
  <si>
    <t>6MM</t>
    <phoneticPr fontId="1" type="noConversion"/>
  </si>
  <si>
    <t>0~300</t>
    <phoneticPr fontId="1" type="noConversion"/>
  </si>
  <si>
    <t>301~450</t>
    <phoneticPr fontId="1" type="noConversion"/>
  </si>
  <si>
    <t>451~500</t>
  </si>
  <si>
    <t>451~500</t>
    <phoneticPr fontId="1" type="noConversion"/>
  </si>
  <si>
    <t>7MM</t>
    <phoneticPr fontId="1" type="noConversion"/>
  </si>
  <si>
    <t>8MM</t>
    <phoneticPr fontId="1" type="noConversion"/>
  </si>
  <si>
    <t>0~300</t>
    <phoneticPr fontId="1" type="noConversion"/>
  </si>
  <si>
    <t>301~450</t>
    <phoneticPr fontId="1" type="noConversion"/>
  </si>
  <si>
    <t>451~500</t>
    <phoneticPr fontId="1" type="noConversion"/>
  </si>
  <si>
    <t>總長 / 25MM *價格 = 加工價格</t>
    <phoneticPr fontId="1" type="noConversion"/>
  </si>
  <si>
    <t>5元皆為單隻價格</t>
    <phoneticPr fontId="1" type="noConversion"/>
  </si>
  <si>
    <t>單價</t>
    <phoneticPr fontId="1" type="noConversion"/>
  </si>
  <si>
    <t>長度</t>
    <phoneticPr fontId="1" type="noConversion"/>
  </si>
  <si>
    <r>
      <t>200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</si>
  <si>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t>201~250</t>
  </si>
  <si>
    <t>201~250</t>
    <phoneticPr fontId="1" type="noConversion"/>
  </si>
  <si>
    <t>251~300</t>
  </si>
  <si>
    <t>251~300</t>
    <phoneticPr fontId="1" type="noConversion"/>
  </si>
  <si>
    <t>301~350</t>
  </si>
  <si>
    <t>301~350</t>
    <phoneticPr fontId="1" type="noConversion"/>
  </si>
  <si>
    <t>351~400</t>
  </si>
  <si>
    <t>351~400</t>
    <phoneticPr fontId="1" type="noConversion"/>
  </si>
  <si>
    <t>PH   3.4MM</t>
    <phoneticPr fontId="1" type="noConversion"/>
  </si>
  <si>
    <t>PH   5.6MM</t>
    <phoneticPr fontId="1" type="noConversion"/>
  </si>
  <si>
    <r>
      <t>100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</si>
  <si>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t>401~450</t>
  </si>
  <si>
    <t>401~450</t>
    <phoneticPr fontId="1" type="noConversion"/>
  </si>
  <si>
    <t>101~200</t>
    <phoneticPr fontId="1" type="noConversion"/>
  </si>
  <si>
    <t>200~250</t>
    <phoneticPr fontId="1" type="noConversion"/>
  </si>
  <si>
    <t>PH   8MM</t>
    <phoneticPr fontId="1" type="noConversion"/>
  </si>
  <si>
    <r>
      <t>250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</si>
  <si>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t>501~600</t>
    <phoneticPr fontId="1" type="noConversion"/>
  </si>
  <si>
    <t>PH   10MM</t>
    <phoneticPr fontId="1" type="noConversion"/>
  </si>
  <si>
    <t>PZ   3.4.MM</t>
    <phoneticPr fontId="1" type="noConversion"/>
  </si>
  <si>
    <r>
      <t>200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</si>
  <si>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t>PZ   5.6MM</t>
    <phoneticPr fontId="1" type="noConversion"/>
  </si>
  <si>
    <t>PZ   8MM</t>
    <phoneticPr fontId="1" type="noConversion"/>
  </si>
  <si>
    <t>PZ   10MM</t>
    <phoneticPr fontId="1" type="noConversion"/>
  </si>
  <si>
    <r>
      <t>200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</si>
  <si>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t>T     4.5MM</t>
    <phoneticPr fontId="1" type="noConversion"/>
  </si>
  <si>
    <t>T     6.7MM</t>
    <phoneticPr fontId="1" type="noConversion"/>
  </si>
  <si>
    <r>
      <t>210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</si>
  <si>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t>211~250</t>
  </si>
  <si>
    <t>211~250</t>
    <phoneticPr fontId="1" type="noConversion"/>
  </si>
  <si>
    <t>T     8MM</t>
    <phoneticPr fontId="1" type="noConversion"/>
  </si>
  <si>
    <t>T     10MM</t>
    <phoneticPr fontId="1" type="noConversion"/>
  </si>
  <si>
    <t>ST   3MM</t>
    <phoneticPr fontId="1" type="noConversion"/>
  </si>
  <si>
    <t>ST   4MM</t>
    <phoneticPr fontId="1" type="noConversion"/>
  </si>
  <si>
    <t>351~400</t>
    <phoneticPr fontId="1" type="noConversion"/>
  </si>
  <si>
    <t>401~450</t>
    <phoneticPr fontId="1" type="noConversion"/>
  </si>
  <si>
    <t>451~500</t>
    <phoneticPr fontId="1" type="noConversion"/>
  </si>
  <si>
    <t xml:space="preserve">ST   5.6MM </t>
    <phoneticPr fontId="1" type="noConversion"/>
  </si>
  <si>
    <r>
      <t>100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</si>
  <si>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t>101~200</t>
    <phoneticPr fontId="1" type="noConversion"/>
  </si>
  <si>
    <t>201~250</t>
    <phoneticPr fontId="1" type="noConversion"/>
  </si>
  <si>
    <t>251~300</t>
    <phoneticPr fontId="1" type="noConversion"/>
  </si>
  <si>
    <t>301~350</t>
    <phoneticPr fontId="1" type="noConversion"/>
  </si>
  <si>
    <t>351~400</t>
    <phoneticPr fontId="1" type="noConversion"/>
  </si>
  <si>
    <t>401~450</t>
    <phoneticPr fontId="1" type="noConversion"/>
  </si>
  <si>
    <t>451~500</t>
    <phoneticPr fontId="1" type="noConversion"/>
  </si>
  <si>
    <t>501~600</t>
    <phoneticPr fontId="1" type="noConversion"/>
  </si>
  <si>
    <t>ST   8MM</t>
    <phoneticPr fontId="1" type="noConversion"/>
  </si>
  <si>
    <r>
      <t>250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</si>
  <si>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t>ST   10MM</t>
    <phoneticPr fontId="1" type="noConversion"/>
  </si>
  <si>
    <t>25MM 為一區間</t>
    <phoneticPr fontId="1" type="noConversion"/>
  </si>
  <si>
    <t>區間數</t>
    <phoneticPr fontId="1" type="noConversion"/>
  </si>
  <si>
    <t>區間單價</t>
    <phoneticPr fontId="1" type="noConversion"/>
  </si>
  <si>
    <t>10MM</t>
    <phoneticPr fontId="1" type="noConversion"/>
  </si>
  <si>
    <t>10MM</t>
    <phoneticPr fontId="1" type="noConversion"/>
  </si>
  <si>
    <t>預抓漲幅</t>
    <phoneticPr fontId="1" type="noConversion"/>
  </si>
  <si>
    <t>3MM 已支數計算:</t>
    <phoneticPr fontId="1" type="noConversion"/>
  </si>
  <si>
    <t>一支0.2元</t>
    <phoneticPr fontId="1" type="noConversion"/>
  </si>
  <si>
    <t>預抓漲幅</t>
    <phoneticPr fontId="1" type="noConversion"/>
  </si>
  <si>
    <t>200↓</t>
  </si>
  <si>
    <t>210↓</t>
  </si>
  <si>
    <t>250↓</t>
  </si>
  <si>
    <t>TP鑽孔+1元</t>
    <phoneticPr fontId="1" type="noConversion"/>
  </si>
  <si>
    <t>打字+0.2元</t>
    <phoneticPr fontId="1" type="noConversion"/>
  </si>
  <si>
    <t>T     3MM</t>
    <phoneticPr fontId="1" type="noConversion"/>
  </si>
  <si>
    <t>原料長度: 預抓10mm廢料      精密柄 ，小柄60+10mm，中柄80+10mm，大柄100+10mm，陀螺45+10mm</t>
    <phoneticPr fontId="1" type="noConversion"/>
  </si>
  <si>
    <t>單價</t>
    <phoneticPr fontId="1" type="noConversion"/>
  </si>
  <si>
    <t>預抓漲幅</t>
    <phoneticPr fontId="1" type="noConversion"/>
  </si>
  <si>
    <t>預抓漲幅</t>
    <phoneticPr fontId="1" type="noConversion"/>
  </si>
  <si>
    <t>預抓漲幅</t>
    <phoneticPr fontId="1" type="noConversion"/>
  </si>
  <si>
    <t>預抓漲幅</t>
    <phoneticPr fontId="1" type="noConversion"/>
  </si>
  <si>
    <t>單價</t>
    <phoneticPr fontId="1" type="noConversion"/>
  </si>
  <si>
    <t>預抓漲幅</t>
    <phoneticPr fontId="1" type="noConversion"/>
  </si>
  <si>
    <t>TP   3MM</t>
    <phoneticPr fontId="1" type="noConversion"/>
  </si>
  <si>
    <t>TP    4.5MM</t>
    <phoneticPr fontId="1" type="noConversion"/>
  </si>
  <si>
    <t>TP    4.5MM</t>
    <phoneticPr fontId="1" type="noConversion"/>
  </si>
  <si>
    <t>TP    6.7MM</t>
    <phoneticPr fontId="1" type="noConversion"/>
  </si>
  <si>
    <t>TP    6.7MM</t>
    <phoneticPr fontId="1" type="noConversion"/>
  </si>
  <si>
    <t>TP    8MM</t>
    <phoneticPr fontId="1" type="noConversion"/>
  </si>
  <si>
    <t>TP    10MM</t>
    <phoneticPr fontId="1" type="noConversion"/>
  </si>
  <si>
    <t>整直標準</t>
    <phoneticPr fontId="1" type="noConversion"/>
  </si>
  <si>
    <t>3MM</t>
    <phoneticPr fontId="1" type="noConversion"/>
  </si>
  <si>
    <t>4MM</t>
    <phoneticPr fontId="1" type="noConversion"/>
  </si>
  <si>
    <t>5MM</t>
    <phoneticPr fontId="1" type="noConversion"/>
  </si>
  <si>
    <t>6MM</t>
    <phoneticPr fontId="1" type="noConversion"/>
  </si>
  <si>
    <t>7MM</t>
    <phoneticPr fontId="1" type="noConversion"/>
  </si>
  <si>
    <t>8MM</t>
    <phoneticPr fontId="1" type="noConversion"/>
  </si>
  <si>
    <r>
      <t>130MM</t>
    </r>
    <r>
      <rPr>
        <sz val="12"/>
        <color theme="1"/>
        <rFont val="新細明體"/>
        <family val="1"/>
        <charset val="136"/>
      </rPr>
      <t>↑</t>
    </r>
    <phoneticPr fontId="1" type="noConversion"/>
  </si>
  <si>
    <t>160MM↑</t>
    <phoneticPr fontId="1" type="noConversion"/>
  </si>
  <si>
    <t>200MM↑</t>
    <phoneticPr fontId="1" type="noConversion"/>
  </si>
  <si>
    <t>250MM↑</t>
    <phoneticPr fontId="1" type="noConversion"/>
  </si>
  <si>
    <t>240MM↑</t>
    <phoneticPr fontId="1" type="noConversion"/>
  </si>
  <si>
    <t>240MM↑</t>
    <phoneticPr fontId="1" type="noConversion"/>
  </si>
  <si>
    <t>HB2X75</t>
    <phoneticPr fontId="1" type="noConversion"/>
  </si>
  <si>
    <t>HB2.5X100</t>
    <phoneticPr fontId="1" type="noConversion"/>
  </si>
  <si>
    <t>HB3X100</t>
    <phoneticPr fontId="1" type="noConversion"/>
  </si>
  <si>
    <t>HB4X100</t>
    <phoneticPr fontId="1" type="noConversion"/>
  </si>
  <si>
    <t>HB5X100</t>
    <phoneticPr fontId="1" type="noConversion"/>
  </si>
  <si>
    <t>HB6X125</t>
    <phoneticPr fontId="1" type="noConversion"/>
  </si>
  <si>
    <t>HB6X150</t>
    <phoneticPr fontId="1" type="noConversion"/>
  </si>
  <si>
    <t>HB8X150</t>
    <phoneticPr fontId="1" type="noConversion"/>
  </si>
  <si>
    <t>HB10X200</t>
    <phoneticPr fontId="1" type="noConversion"/>
  </si>
  <si>
    <t>H2X75</t>
    <phoneticPr fontId="1" type="noConversion"/>
  </si>
  <si>
    <t>H3X100</t>
    <phoneticPr fontId="1" type="noConversion"/>
  </si>
  <si>
    <t>H4X100</t>
    <phoneticPr fontId="1" type="noConversion"/>
  </si>
  <si>
    <t>H5X100</t>
    <phoneticPr fontId="1" type="noConversion"/>
  </si>
  <si>
    <t>H6X125</t>
    <phoneticPr fontId="1" type="noConversion"/>
  </si>
  <si>
    <t>H6X150</t>
    <phoneticPr fontId="1" type="noConversion"/>
  </si>
  <si>
    <t>H8X150</t>
    <phoneticPr fontId="1" type="noConversion"/>
  </si>
  <si>
    <t>H10X200</t>
    <phoneticPr fontId="1" type="noConversion"/>
  </si>
  <si>
    <t>H2.5X100</t>
    <phoneticPr fontId="1" type="noConversion"/>
  </si>
  <si>
    <t>HP2.5X100</t>
    <phoneticPr fontId="1" type="noConversion"/>
  </si>
  <si>
    <t>HP3X100</t>
    <phoneticPr fontId="1" type="noConversion"/>
  </si>
  <si>
    <t>HP4X100</t>
    <phoneticPr fontId="1" type="noConversion"/>
  </si>
  <si>
    <t>HP5X100</t>
    <phoneticPr fontId="1" type="noConversion"/>
  </si>
  <si>
    <t>HP6X125</t>
    <phoneticPr fontId="1" type="noConversion"/>
  </si>
  <si>
    <t>HP6X150</t>
    <phoneticPr fontId="1" type="noConversion"/>
  </si>
  <si>
    <t>HP8X150</t>
    <phoneticPr fontId="1" type="noConversion"/>
  </si>
  <si>
    <t>HP10X200</t>
    <phoneticPr fontId="1" type="noConversion"/>
  </si>
  <si>
    <t>單價:連工帶料</t>
    <phoneticPr fontId="1" type="noConversion"/>
  </si>
  <si>
    <t>預抓漲幅</t>
    <phoneticPr fontId="1" type="noConversion"/>
  </si>
  <si>
    <t>價格</t>
    <phoneticPr fontId="1" type="noConversion"/>
  </si>
  <si>
    <t>線徑</t>
    <phoneticPr fontId="1" type="noConversion"/>
  </si>
  <si>
    <t>價格</t>
    <phoneticPr fontId="1" type="noConversion"/>
  </si>
  <si>
    <t>總長</t>
  </si>
  <si>
    <t>重量</t>
  </si>
  <si>
    <t>貫通</t>
  </si>
  <si>
    <t>PH1x75</t>
  </si>
  <si>
    <t>PH1x75</t>
    <phoneticPr fontId="1" type="noConversion"/>
  </si>
  <si>
    <t>PH1*100</t>
  </si>
  <si>
    <t>PH1*100</t>
    <phoneticPr fontId="1" type="noConversion"/>
  </si>
  <si>
    <t>PH1*150</t>
  </si>
  <si>
    <t>PH1*150</t>
    <phoneticPr fontId="1" type="noConversion"/>
  </si>
  <si>
    <t>PH1*200</t>
  </si>
  <si>
    <t>PH1*200</t>
    <phoneticPr fontId="1" type="noConversion"/>
  </si>
  <si>
    <t>PH1*250</t>
  </si>
  <si>
    <t>PH1*250</t>
    <phoneticPr fontId="1" type="noConversion"/>
  </si>
  <si>
    <t>PH1*300</t>
  </si>
  <si>
    <t>PH1*300</t>
    <phoneticPr fontId="1" type="noConversion"/>
  </si>
  <si>
    <t>PH2*100</t>
  </si>
  <si>
    <t>PH2*100</t>
    <phoneticPr fontId="1" type="noConversion"/>
  </si>
  <si>
    <t>PH2*125</t>
  </si>
  <si>
    <t>PH2*125</t>
    <phoneticPr fontId="1" type="noConversion"/>
  </si>
  <si>
    <t>PH2*150</t>
  </si>
  <si>
    <t>PH2*150</t>
    <phoneticPr fontId="1" type="noConversion"/>
  </si>
  <si>
    <t>PH2*200</t>
  </si>
  <si>
    <t>PH2*200</t>
    <phoneticPr fontId="1" type="noConversion"/>
  </si>
  <si>
    <t>PH2*250</t>
  </si>
  <si>
    <t>PH2*250</t>
    <phoneticPr fontId="1" type="noConversion"/>
  </si>
  <si>
    <t>PH2*300</t>
  </si>
  <si>
    <t>PH2*300</t>
    <phoneticPr fontId="1" type="noConversion"/>
  </si>
  <si>
    <t>PH2*350</t>
  </si>
  <si>
    <t>PH2*350</t>
    <phoneticPr fontId="1" type="noConversion"/>
  </si>
  <si>
    <t>PH2*400</t>
  </si>
  <si>
    <t>PH2*400</t>
    <phoneticPr fontId="1" type="noConversion"/>
  </si>
  <si>
    <t>PH3*125</t>
  </si>
  <si>
    <t>PH3*125</t>
    <phoneticPr fontId="1" type="noConversion"/>
  </si>
  <si>
    <t>PH3*150</t>
  </si>
  <si>
    <t>PH3*150</t>
    <phoneticPr fontId="1" type="noConversion"/>
  </si>
  <si>
    <t>PH3*200</t>
  </si>
  <si>
    <t>PH3*200</t>
    <phoneticPr fontId="1" type="noConversion"/>
  </si>
  <si>
    <t>PH3*250</t>
  </si>
  <si>
    <t>PH3*250</t>
    <phoneticPr fontId="1" type="noConversion"/>
  </si>
  <si>
    <t>PH3*300</t>
  </si>
  <si>
    <t>PH3*300</t>
    <phoneticPr fontId="1" type="noConversion"/>
  </si>
  <si>
    <t>PH3*350</t>
  </si>
  <si>
    <t>PH3*350</t>
    <phoneticPr fontId="1" type="noConversion"/>
  </si>
  <si>
    <t>PH3*400</t>
  </si>
  <si>
    <t>PH3*400</t>
    <phoneticPr fontId="1" type="noConversion"/>
  </si>
  <si>
    <t>PH3*450</t>
  </si>
  <si>
    <t>PH3*450</t>
    <phoneticPr fontId="1" type="noConversion"/>
  </si>
  <si>
    <t>PH3*500</t>
  </si>
  <si>
    <t>PH3*500</t>
    <phoneticPr fontId="1" type="noConversion"/>
  </si>
  <si>
    <t>SL4*75</t>
  </si>
  <si>
    <t>SL4*75</t>
    <phoneticPr fontId="1" type="noConversion"/>
  </si>
  <si>
    <t>SL4*100</t>
  </si>
  <si>
    <t>SL4*100</t>
    <phoneticPr fontId="1" type="noConversion"/>
  </si>
  <si>
    <t>SL5.5*100</t>
  </si>
  <si>
    <t>SL5.5*100</t>
    <phoneticPr fontId="1" type="noConversion"/>
  </si>
  <si>
    <t>SL5.5*125</t>
  </si>
  <si>
    <t>SL5.5*125</t>
    <phoneticPr fontId="1" type="noConversion"/>
  </si>
  <si>
    <t>SL5.5*150</t>
  </si>
  <si>
    <t>SL5.5*150</t>
    <phoneticPr fontId="1" type="noConversion"/>
  </si>
  <si>
    <t>SL5.5*200</t>
  </si>
  <si>
    <t>SL5.5*200</t>
    <phoneticPr fontId="1" type="noConversion"/>
  </si>
  <si>
    <t>SL5.5*250</t>
  </si>
  <si>
    <t>SL5.5*250</t>
    <phoneticPr fontId="1" type="noConversion"/>
  </si>
  <si>
    <t>SL5.5*300</t>
  </si>
  <si>
    <t>SL5.5*300</t>
    <phoneticPr fontId="1" type="noConversion"/>
  </si>
  <si>
    <t>SL6.5*100</t>
  </si>
  <si>
    <t>SL6.5*100</t>
    <phoneticPr fontId="1" type="noConversion"/>
  </si>
  <si>
    <t>SL6.5*125</t>
  </si>
  <si>
    <t>SL6.5*125</t>
    <phoneticPr fontId="1" type="noConversion"/>
  </si>
  <si>
    <t>SL6.5*150</t>
  </si>
  <si>
    <t>SL6.5*150</t>
    <phoneticPr fontId="1" type="noConversion"/>
  </si>
  <si>
    <t>SL6.5*200</t>
  </si>
  <si>
    <t>SL6.5*200</t>
    <phoneticPr fontId="1" type="noConversion"/>
  </si>
  <si>
    <t>SL6.5*250</t>
  </si>
  <si>
    <t>SL6.5*250</t>
    <phoneticPr fontId="1" type="noConversion"/>
  </si>
  <si>
    <t>SL6.5*300</t>
  </si>
  <si>
    <t>SL6.5*300</t>
    <phoneticPr fontId="1" type="noConversion"/>
  </si>
  <si>
    <t>SL6.5*350</t>
  </si>
  <si>
    <t>SL6.5*350</t>
    <phoneticPr fontId="1" type="noConversion"/>
  </si>
  <si>
    <t>SL6.5*400</t>
  </si>
  <si>
    <t>SL6.5*400</t>
    <phoneticPr fontId="1" type="noConversion"/>
  </si>
  <si>
    <t>SL8*150</t>
  </si>
  <si>
    <t>SL8*150</t>
    <phoneticPr fontId="1" type="noConversion"/>
  </si>
  <si>
    <t>SL8*175</t>
  </si>
  <si>
    <t>SL8*175</t>
    <phoneticPr fontId="1" type="noConversion"/>
  </si>
  <si>
    <t>SL8*200</t>
  </si>
  <si>
    <t>SL8*200</t>
    <phoneticPr fontId="1" type="noConversion"/>
  </si>
  <si>
    <t>SL8*250</t>
  </si>
  <si>
    <t>SL8*250</t>
    <phoneticPr fontId="1" type="noConversion"/>
  </si>
  <si>
    <t>SL8*300</t>
  </si>
  <si>
    <t>SL8*300</t>
    <phoneticPr fontId="1" type="noConversion"/>
  </si>
  <si>
    <t>SL8*350</t>
  </si>
  <si>
    <t>SL8*350</t>
    <phoneticPr fontId="1" type="noConversion"/>
  </si>
  <si>
    <t>SL8*400</t>
  </si>
  <si>
    <t>SL8*400</t>
    <phoneticPr fontId="1" type="noConversion"/>
  </si>
  <si>
    <t>SL8*450</t>
  </si>
  <si>
    <t>SL8*450</t>
    <phoneticPr fontId="1" type="noConversion"/>
  </si>
  <si>
    <t>SL8*500</t>
  </si>
  <si>
    <t>SL8*500</t>
    <phoneticPr fontId="1" type="noConversion"/>
  </si>
  <si>
    <t>SL9.5*175</t>
  </si>
  <si>
    <t>SL9.5*175</t>
    <phoneticPr fontId="1" type="noConversion"/>
  </si>
  <si>
    <t>SL9.5*200</t>
  </si>
  <si>
    <t>SL9.5*200</t>
    <phoneticPr fontId="1" type="noConversion"/>
  </si>
  <si>
    <t>SL9.5*250</t>
  </si>
  <si>
    <t>SL9.5*250</t>
    <phoneticPr fontId="1" type="noConversion"/>
  </si>
  <si>
    <t>SL9.5*300</t>
  </si>
  <si>
    <t>SL9.5*300</t>
    <phoneticPr fontId="1" type="noConversion"/>
  </si>
  <si>
    <t>SL9.5*350</t>
  </si>
  <si>
    <t>SL9.5*350</t>
    <phoneticPr fontId="1" type="noConversion"/>
  </si>
  <si>
    <t>SL9.5*400</t>
  </si>
  <si>
    <t>SL9.5*400</t>
    <phoneticPr fontId="1" type="noConversion"/>
  </si>
  <si>
    <t>SL9.5*450</t>
  </si>
  <si>
    <t>SL9.5*450</t>
    <phoneticPr fontId="1" type="noConversion"/>
  </si>
  <si>
    <t>SL9.5*500</t>
  </si>
  <si>
    <t>SL9.5*500</t>
    <phoneticPr fontId="1" type="noConversion"/>
  </si>
  <si>
    <t>總長</t>
    <phoneticPr fontId="1" type="noConversion"/>
  </si>
  <si>
    <t>重量(G)</t>
  </si>
  <si>
    <t>單價(公斤)</t>
    <phoneticPr fontId="1" type="noConversion"/>
  </si>
  <si>
    <t>單價(公斤)</t>
    <phoneticPr fontId="1" type="noConversion"/>
  </si>
  <si>
    <t>單價(公斤)</t>
    <phoneticPr fontId="1" type="noConversion"/>
  </si>
  <si>
    <r>
      <t>151</t>
    </r>
    <r>
      <rPr>
        <sz val="12"/>
        <color theme="1"/>
        <rFont val="新細明體"/>
        <family val="1"/>
        <charset val="136"/>
      </rPr>
      <t>↓</t>
    </r>
    <phoneticPr fontId="1" type="noConversion"/>
  </si>
  <si>
    <t>161~199</t>
    <phoneticPr fontId="1" type="noConversion"/>
  </si>
  <si>
    <t>HP2X75</t>
    <phoneticPr fontId="1" type="noConversion"/>
  </si>
  <si>
    <t>VDE</t>
    <phoneticPr fontId="1" type="noConversion"/>
  </si>
  <si>
    <t>絕緣軸</t>
    <phoneticPr fontId="1" type="noConversion"/>
  </si>
  <si>
    <t>絕緣軸鐵材成本</t>
    <phoneticPr fontId="1" type="noConversion"/>
  </si>
  <si>
    <t>VDE</t>
    <phoneticPr fontId="1" type="noConversion"/>
  </si>
  <si>
    <t>貫通四角鐵</t>
    <phoneticPr fontId="1" type="noConversion"/>
  </si>
  <si>
    <t>貫通六角鐵</t>
  </si>
  <si>
    <t>貫通六角鐵</t>
    <phoneticPr fontId="1" type="noConversion"/>
  </si>
  <si>
    <t>區間數</t>
  </si>
  <si>
    <t>整直標準</t>
  </si>
  <si>
    <t>3MM</t>
  </si>
  <si>
    <t>130MM↑</t>
  </si>
  <si>
    <t>4MM</t>
  </si>
  <si>
    <t>160MM↑</t>
  </si>
  <si>
    <t>5MM</t>
  </si>
  <si>
    <t>200MM↑</t>
  </si>
  <si>
    <t>6MM</t>
  </si>
  <si>
    <t>250MM↑</t>
  </si>
  <si>
    <t>7MM</t>
  </si>
  <si>
    <t>240MM↑</t>
  </si>
  <si>
    <t>8MM</t>
  </si>
  <si>
    <t>區間單價</t>
  </si>
  <si>
    <t>D70</t>
    <phoneticPr fontId="1" type="noConversion"/>
  </si>
  <si>
    <t>2022單價</t>
    <phoneticPr fontId="1" type="noConversion"/>
  </si>
  <si>
    <t>20220112 還未收到熱處理漲價，先以舊價漲20趴計算</t>
    <phoneticPr fontId="1" type="noConversion"/>
  </si>
  <si>
    <t>2022價格</t>
    <phoneticPr fontId="1" type="noConversion"/>
  </si>
  <si>
    <t>4MM</t>
    <phoneticPr fontId="1" type="noConversion"/>
  </si>
  <si>
    <t>150~200</t>
    <phoneticPr fontId="1" type="noConversion"/>
  </si>
  <si>
    <t>5MM</t>
    <phoneticPr fontId="1" type="noConversion"/>
  </si>
  <si>
    <t>100~149</t>
    <phoneticPr fontId="1" type="noConversion"/>
  </si>
  <si>
    <t>150~189</t>
    <phoneticPr fontId="1" type="noConversion"/>
  </si>
  <si>
    <t>190~248</t>
    <phoneticPr fontId="1" type="noConversion"/>
  </si>
  <si>
    <t>250~289</t>
    <phoneticPr fontId="1" type="noConversion"/>
  </si>
  <si>
    <t>290~299</t>
    <phoneticPr fontId="1" type="noConversion"/>
  </si>
  <si>
    <t>6MM</t>
    <phoneticPr fontId="1" type="noConversion"/>
  </si>
  <si>
    <t>101~149</t>
    <phoneticPr fontId="1" type="noConversion"/>
  </si>
  <si>
    <t>190~249</t>
    <phoneticPr fontId="1" type="noConversion"/>
  </si>
  <si>
    <t>250~299</t>
    <phoneticPr fontId="1" type="noConversion"/>
  </si>
  <si>
    <t>300~400</t>
    <phoneticPr fontId="1" type="noConversion"/>
  </si>
  <si>
    <t>300~400</t>
    <phoneticPr fontId="1" type="noConversion"/>
  </si>
  <si>
    <t>7MM</t>
    <phoneticPr fontId="1" type="noConversion"/>
  </si>
  <si>
    <t>201~250</t>
    <phoneticPr fontId="1" type="noConversion"/>
  </si>
  <si>
    <t>251~299</t>
    <phoneticPr fontId="1" type="noConversion"/>
  </si>
  <si>
    <t>100↓</t>
    <phoneticPr fontId="1" type="noConversion"/>
  </si>
  <si>
    <t>101~159</t>
    <phoneticPr fontId="1" type="noConversion"/>
  </si>
  <si>
    <t>160~229</t>
    <phoneticPr fontId="1" type="noConversion"/>
  </si>
  <si>
    <t>230~259</t>
    <phoneticPr fontId="1" type="noConversion"/>
  </si>
  <si>
    <t>260~300</t>
    <phoneticPr fontId="1" type="noConversion"/>
  </si>
  <si>
    <t>301~400</t>
    <phoneticPr fontId="1" type="noConversion"/>
  </si>
  <si>
    <t>401~500</t>
    <phoneticPr fontId="1" type="noConversion"/>
  </si>
  <si>
    <t>150~220</t>
    <phoneticPr fontId="1" type="noConversion"/>
  </si>
  <si>
    <t>220~289</t>
    <phoneticPr fontId="1" type="noConversion"/>
  </si>
  <si>
    <t>290~389</t>
    <phoneticPr fontId="1" type="noConversion"/>
  </si>
  <si>
    <t>427~600</t>
    <phoneticPr fontId="1" type="noConversion"/>
  </si>
  <si>
    <t>四六角鐵</t>
    <phoneticPr fontId="1" type="noConversion"/>
  </si>
  <si>
    <t>2022單價</t>
    <phoneticPr fontId="1" type="noConversion"/>
  </si>
  <si>
    <t>比率:四角 0.00785 六角 0.00680 圓鐵 0.00617</t>
    <phoneticPr fontId="1" type="noConversion"/>
  </si>
  <si>
    <t>ST5X500</t>
    <phoneticPr fontId="1" type="noConversion"/>
  </si>
  <si>
    <t>ST6X38</t>
    <phoneticPr fontId="1" type="noConversion"/>
  </si>
  <si>
    <t>ST6X100</t>
    <phoneticPr fontId="1" type="noConversion"/>
  </si>
  <si>
    <t>ST6X125</t>
    <phoneticPr fontId="1" type="noConversion"/>
  </si>
  <si>
    <t>ST6X150</t>
    <phoneticPr fontId="1" type="noConversion"/>
  </si>
  <si>
    <t>ST6X200</t>
    <phoneticPr fontId="1" type="noConversion"/>
  </si>
  <si>
    <t>ST6X250</t>
    <phoneticPr fontId="1" type="noConversion"/>
  </si>
  <si>
    <t>ST6X300</t>
    <phoneticPr fontId="1" type="noConversion"/>
  </si>
  <si>
    <t>ST6X350</t>
    <phoneticPr fontId="1" type="noConversion"/>
  </si>
  <si>
    <t>ST6X400</t>
    <phoneticPr fontId="1" type="noConversion"/>
  </si>
  <si>
    <t>ST6X450</t>
    <phoneticPr fontId="1" type="noConversion"/>
  </si>
  <si>
    <t>ST6X500</t>
    <phoneticPr fontId="1" type="noConversion"/>
  </si>
  <si>
    <t>C63</t>
    <phoneticPr fontId="1" type="noConversion"/>
  </si>
  <si>
    <t>C65</t>
    <phoneticPr fontId="1" type="noConversion"/>
  </si>
  <si>
    <t>傳統貫通頭</t>
    <phoneticPr fontId="1" type="noConversion"/>
  </si>
  <si>
    <t>熱處理</t>
    <phoneticPr fontId="1" type="noConversion"/>
  </si>
  <si>
    <t>10MM</t>
    <phoneticPr fontId="1" type="noConversion"/>
  </si>
  <si>
    <t>噴砂</t>
    <phoneticPr fontId="1" type="noConversion"/>
  </si>
  <si>
    <t>電鍍</t>
    <phoneticPr fontId="1" type="noConversion"/>
  </si>
  <si>
    <t>平頭貫通頭</t>
    <phoneticPr fontId="1" type="noConversion"/>
  </si>
  <si>
    <t>圓頭貫通頭</t>
    <phoneticPr fontId="1" type="noConversion"/>
  </si>
  <si>
    <t>C63手柄</t>
    <phoneticPr fontId="1" type="noConversion"/>
  </si>
  <si>
    <t>K26手柄</t>
    <phoneticPr fontId="1" type="noConversion"/>
  </si>
  <si>
    <t>電鍍</t>
    <phoneticPr fontId="1" type="noConversion"/>
  </si>
  <si>
    <t>內圓鐵用 (加工費與螺絲起子加工算在一起)</t>
    <phoneticPr fontId="1" type="noConversion"/>
  </si>
  <si>
    <t>內六角用(I63) (內六角加工與螺絲起子分開加工)</t>
    <phoneticPr fontId="1" type="noConversion"/>
  </si>
  <si>
    <t>億富</t>
    <phoneticPr fontId="1" type="noConversion"/>
  </si>
  <si>
    <t>T800</t>
    <phoneticPr fontId="1" type="noConversion"/>
  </si>
  <si>
    <t>T900</t>
    <phoneticPr fontId="1" type="noConversion"/>
  </si>
  <si>
    <t>充接柄</t>
    <phoneticPr fontId="1" type="noConversion"/>
  </si>
  <si>
    <t>孟豐</t>
    <phoneticPr fontId="1" type="noConversion"/>
  </si>
  <si>
    <t>富泰</t>
    <phoneticPr fontId="1" type="noConversion"/>
  </si>
  <si>
    <t>禾宏</t>
    <phoneticPr fontId="1" type="noConversion"/>
  </si>
  <si>
    <t>新型精密</t>
    <phoneticPr fontId="1" type="noConversion"/>
  </si>
  <si>
    <t>精密後蓋</t>
    <phoneticPr fontId="1" type="noConversion"/>
  </si>
  <si>
    <t>100/03/05</t>
    <phoneticPr fontId="1" type="noConversion"/>
  </si>
  <si>
    <t>100/04/13</t>
    <phoneticPr fontId="1" type="noConversion"/>
  </si>
  <si>
    <t>100/03/01</t>
    <phoneticPr fontId="1" type="noConversion"/>
  </si>
  <si>
    <t>108/01//28</t>
    <phoneticPr fontId="1" type="noConversion"/>
  </si>
  <si>
    <t>祥鼎</t>
    <phoneticPr fontId="1" type="noConversion"/>
  </si>
  <si>
    <t>PH1X75</t>
    <phoneticPr fontId="1" type="noConversion"/>
  </si>
  <si>
    <t>PZ1X75</t>
  </si>
  <si>
    <t>PZ1X75</t>
    <phoneticPr fontId="1" type="noConversion"/>
  </si>
  <si>
    <t>SL4X75</t>
    <phoneticPr fontId="1" type="noConversion"/>
  </si>
  <si>
    <t>SL9.5X175</t>
    <phoneticPr fontId="1" type="noConversion"/>
  </si>
  <si>
    <t>SL9.5X200</t>
    <phoneticPr fontId="1" type="noConversion"/>
  </si>
  <si>
    <t>SL9.5X250</t>
    <phoneticPr fontId="1" type="noConversion"/>
  </si>
  <si>
    <t>SL9.5X300</t>
    <phoneticPr fontId="1" type="noConversion"/>
  </si>
  <si>
    <t>SL9.5X350</t>
    <phoneticPr fontId="1" type="noConversion"/>
  </si>
  <si>
    <t>SL9.5X400</t>
    <phoneticPr fontId="1" type="noConversion"/>
  </si>
  <si>
    <t>SL9.5X450</t>
    <phoneticPr fontId="1" type="noConversion"/>
  </si>
  <si>
    <t>SL9.5X500</t>
    <phoneticPr fontId="1" type="noConversion"/>
  </si>
  <si>
    <r>
      <t>6MM</t>
    </r>
    <r>
      <rPr>
        <sz val="12"/>
        <color theme="1"/>
        <rFont val="新細明體"/>
        <family val="1"/>
        <charset val="136"/>
      </rPr>
      <t>↑</t>
    </r>
    <phoneticPr fontId="1" type="noConversion"/>
  </si>
  <si>
    <t>3MM↑</t>
    <phoneticPr fontId="1" type="noConversion"/>
  </si>
  <si>
    <t>2022咬酸價格 4 元/公斤</t>
    <phoneticPr fontId="1" type="noConversion"/>
  </si>
  <si>
    <t>PZ1x75</t>
    <phoneticPr fontId="1" type="noConversion"/>
  </si>
  <si>
    <t>PZ1*100</t>
    <phoneticPr fontId="1" type="noConversion"/>
  </si>
  <si>
    <t>PZ1*150</t>
    <phoneticPr fontId="1" type="noConversion"/>
  </si>
  <si>
    <t>PZ1*200</t>
    <phoneticPr fontId="1" type="noConversion"/>
  </si>
  <si>
    <t>PZ1*250</t>
    <phoneticPr fontId="1" type="noConversion"/>
  </si>
  <si>
    <t>PZ1*300</t>
    <phoneticPr fontId="1" type="noConversion"/>
  </si>
  <si>
    <t>PZ2*100</t>
    <phoneticPr fontId="1" type="noConversion"/>
  </si>
  <si>
    <t>PZ2*125</t>
    <phoneticPr fontId="1" type="noConversion"/>
  </si>
  <si>
    <t>PZ2*150</t>
    <phoneticPr fontId="1" type="noConversion"/>
  </si>
  <si>
    <t>PZ2*200</t>
    <phoneticPr fontId="1" type="noConversion"/>
  </si>
  <si>
    <t>PZ2*250</t>
    <phoneticPr fontId="1" type="noConversion"/>
  </si>
  <si>
    <t>PZ2*300</t>
    <phoneticPr fontId="1" type="noConversion"/>
  </si>
  <si>
    <t>PZ2*350</t>
    <phoneticPr fontId="1" type="noConversion"/>
  </si>
  <si>
    <t>PZ2*400</t>
    <phoneticPr fontId="1" type="noConversion"/>
  </si>
  <si>
    <t>PZ3*125</t>
    <phoneticPr fontId="1" type="noConversion"/>
  </si>
  <si>
    <t>PZ3*150</t>
    <phoneticPr fontId="1" type="noConversion"/>
  </si>
  <si>
    <t>PZ3*200</t>
    <phoneticPr fontId="1" type="noConversion"/>
  </si>
  <si>
    <t>PZ3*250</t>
    <phoneticPr fontId="1" type="noConversion"/>
  </si>
  <si>
    <t>PZ3*300</t>
    <phoneticPr fontId="1" type="noConversion"/>
  </si>
  <si>
    <t>PZ3*350</t>
    <phoneticPr fontId="1" type="noConversion"/>
  </si>
  <si>
    <t>PZ3*400</t>
    <phoneticPr fontId="1" type="noConversion"/>
  </si>
  <si>
    <t>PZ3*450</t>
    <phoneticPr fontId="1" type="noConversion"/>
  </si>
  <si>
    <t>PZ3*500</t>
    <phoneticPr fontId="1" type="noConversion"/>
  </si>
  <si>
    <t>四角鐵貫通</t>
    <phoneticPr fontId="1" type="noConversion"/>
  </si>
  <si>
    <t>四角鐵貫通</t>
    <phoneticPr fontId="1" type="noConversion"/>
  </si>
  <si>
    <t>四角貫通</t>
    <phoneticPr fontId="1" type="noConversion"/>
  </si>
  <si>
    <t>貫通頭</t>
    <phoneticPr fontId="1" type="noConversion"/>
  </si>
  <si>
    <t>貫通頭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</si>
</sst>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m&quot;月&quot;d&quot;日&quot;"/>
    <numFmt numFmtId="178" formatCode="0.000"/>
  </numFmts>
  <fonts count="1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rgb="FFFF0000"/>
      <name val="新細明體"/>
      <family val="2"/>
      <charset val="136"/>
      <scheme val="minor"/>
    </font>
    <font>
      <b/>
      <sz val="16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b/>
      <sz val="14"/>
      <color rgb="FFFF0000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204"/>
      <scheme val="minor"/>
    </font>
    <font>
      <sz val="8"/>
      <name val="Arial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0"/>
      <color indexed="8"/>
      <name val="MS Sans Serif"/>
      <family val="2"/>
    </font>
  </fonts>
  <fills count="24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9">
    <xf numFmtId="0" fontId="0" fillId="0" borderId="0">
      <alignment vertical="center"/>
    </xf>
    <xf numFmtId="0" fontId="10" fillId="0" borderId="0"/>
    <xf numFmtId="0" fontId="11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3" fillId="0" borderId="0"/>
    <xf numFmtId="0" fontId="13" fillId="0" borderId="0"/>
    <xf numFmtId="0" fontId="1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/>
    <xf numFmtId="0" fontId="13" fillId="0" borderId="0"/>
    <xf numFmtId="0" fontId="12" fillId="0" borderId="0">
      <alignment vertical="center"/>
    </xf>
    <xf numFmtId="0" fontId="14" fillId="0" borderId="0"/>
    <xf numFmtId="0" fontId="15" fillId="0" borderId="0"/>
    <xf numFmtId="0" fontId="12" fillId="0" borderId="0">
      <alignment vertical="center"/>
    </xf>
  </cellStyleXfs>
  <cellXfs count="11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14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0" fillId="15" borderId="1" xfId="0" applyFill="1" applyBorder="1" applyAlignment="1">
      <alignment horizontal="center" vertical="center"/>
    </xf>
    <xf numFmtId="2" fontId="0" fillId="16" borderId="0" xfId="0" applyNumberFormat="1" applyFill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2" fontId="0" fillId="16" borderId="1" xfId="0" applyNumberForma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2" fontId="0" fillId="1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15" borderId="1" xfId="0" applyNumberForma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" fontId="0" fillId="15" borderId="0" xfId="0" applyNumberFormat="1" applyFill="1" applyAlignment="1">
      <alignment horizontal="center" vertical="center"/>
    </xf>
    <xf numFmtId="176" fontId="0" fillId="15" borderId="0" xfId="0" applyNumberFormat="1" applyFill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15" borderId="0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2" fontId="0" fillId="15" borderId="14" xfId="0" applyNumberFormat="1" applyFill="1" applyBorder="1" applyAlignment="1">
      <alignment horizontal="center" vertical="center"/>
    </xf>
    <xf numFmtId="2" fontId="0" fillId="15" borderId="15" xfId="0" applyNumberFormat="1" applyFill="1" applyBorder="1" applyAlignment="1">
      <alignment horizontal="center" vertical="center"/>
    </xf>
    <xf numFmtId="2" fontId="0" fillId="15" borderId="9" xfId="0" applyNumberFormat="1" applyFill="1" applyBorder="1" applyAlignment="1">
      <alignment horizontal="center" vertical="center"/>
    </xf>
    <xf numFmtId="2" fontId="0" fillId="15" borderId="12" xfId="0" applyNumberFormat="1" applyFill="1" applyBorder="1" applyAlignment="1">
      <alignment horizontal="center" vertical="center"/>
    </xf>
    <xf numFmtId="176" fontId="0" fillId="15" borderId="0" xfId="0" applyNumberFormat="1" applyFill="1" applyBorder="1" applyAlignment="1">
      <alignment horizontal="center" vertical="center"/>
    </xf>
    <xf numFmtId="176" fontId="0" fillId="15" borderId="9" xfId="0" applyNumberFormat="1" applyFill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6" fontId="0" fillId="15" borderId="11" xfId="0" applyNumberFormat="1" applyFill="1" applyBorder="1" applyAlignment="1">
      <alignment horizontal="center" vertical="center"/>
    </xf>
    <xf numFmtId="176" fontId="0" fillId="15" borderId="12" xfId="0" applyNumberFormat="1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176" fontId="0" fillId="16" borderId="0" xfId="0" applyNumberFormat="1" applyFill="1" applyAlignment="1">
      <alignment horizontal="center" vertical="center"/>
    </xf>
    <xf numFmtId="0" fontId="8" fillId="0" borderId="0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1" xfId="0" applyFill="1" applyBorder="1">
      <alignment vertical="center"/>
    </xf>
    <xf numFmtId="0" fontId="0" fillId="8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17" borderId="1" xfId="0" applyFill="1" applyBorder="1">
      <alignment vertical="center"/>
    </xf>
    <xf numFmtId="2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0" fontId="0" fillId="18" borderId="1" xfId="0" applyFill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0" fillId="18" borderId="0" xfId="0" applyFill="1" applyAlignment="1">
      <alignment horizontal="center" vertical="center"/>
    </xf>
    <xf numFmtId="176" fontId="0" fillId="14" borderId="1" xfId="0" applyNumberForma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29">
    <cellStyle name="Обычный_Лист1" xfId="2" xr:uid="{00000000-0005-0000-0000-000000000000}"/>
    <cellStyle name="一般" xfId="0" builtinId="0"/>
    <cellStyle name="一般 2" xfId="1" xr:uid="{00000000-0005-0000-0000-000002000000}"/>
    <cellStyle name="一般 2 2" xfId="4" xr:uid="{00000000-0005-0000-0000-000003000000}"/>
    <cellStyle name="一般 2 2 2" xfId="5" xr:uid="{00000000-0005-0000-0000-000004000000}"/>
    <cellStyle name="一般 2 2 2 2" xfId="16" xr:uid="{00000000-0005-0000-0000-000005000000}"/>
    <cellStyle name="一般 2 2 3" xfId="8" xr:uid="{00000000-0005-0000-0000-000006000000}"/>
    <cellStyle name="一般 2 2 3 2" xfId="17" xr:uid="{00000000-0005-0000-0000-000007000000}"/>
    <cellStyle name="一般 2 2 4" xfId="10" xr:uid="{00000000-0005-0000-0000-000008000000}"/>
    <cellStyle name="一般 2 2 4 2" xfId="18" xr:uid="{00000000-0005-0000-0000-000009000000}"/>
    <cellStyle name="一般 2 2 5" xfId="12" xr:uid="{00000000-0005-0000-0000-00000A000000}"/>
    <cellStyle name="一般 2 2 5 2" xfId="19" xr:uid="{00000000-0005-0000-0000-00000B000000}"/>
    <cellStyle name="一般 2 2 6" xfId="15" xr:uid="{00000000-0005-0000-0000-00000C000000}"/>
    <cellStyle name="一般 2 3" xfId="7" xr:uid="{00000000-0005-0000-0000-00000D000000}"/>
    <cellStyle name="一般 2 3 2" xfId="20" xr:uid="{00000000-0005-0000-0000-00000E000000}"/>
    <cellStyle name="一般 2 4" xfId="9" xr:uid="{00000000-0005-0000-0000-00000F000000}"/>
    <cellStyle name="一般 2 4 2" xfId="21" xr:uid="{00000000-0005-0000-0000-000010000000}"/>
    <cellStyle name="一般 2 5" xfId="11" xr:uid="{00000000-0005-0000-0000-000011000000}"/>
    <cellStyle name="一般 2 5 2" xfId="22" xr:uid="{00000000-0005-0000-0000-000012000000}"/>
    <cellStyle name="一般 2 6" xfId="14" xr:uid="{00000000-0005-0000-0000-000013000000}"/>
    <cellStyle name="一般 3" xfId="3" xr:uid="{00000000-0005-0000-0000-000014000000}"/>
    <cellStyle name="一般 3 2" xfId="23" xr:uid="{00000000-0005-0000-0000-000015000000}"/>
    <cellStyle name="一般 4" xfId="6" xr:uid="{00000000-0005-0000-0000-000016000000}"/>
    <cellStyle name="一般 4 2" xfId="24" xr:uid="{00000000-0005-0000-0000-000017000000}"/>
    <cellStyle name="一般 5" xfId="25" xr:uid="{00000000-0005-0000-0000-000018000000}"/>
    <cellStyle name="一般 5 2" xfId="28" xr:uid="{00000000-0005-0000-0000-000019000000}"/>
    <cellStyle name="一般 5 3" xfId="27" xr:uid="{00000000-0005-0000-0000-00001A000000}"/>
    <cellStyle name="一般 6" xfId="13" xr:uid="{00000000-0005-0000-0000-00001B000000}"/>
    <cellStyle name="一般 7" xfId="26" xr:uid="{00000000-0005-0000-0000-00001C000000}"/>
  </cellStyles>
  <dxfs count="0"/>
  <tableStyles count="0" defaultTableStyle="TableStyleMedium2" defaultPivotStyle="PivotStyleLight16"/>
  <colors>
    <mruColors>
      <color rgb="FFFFCC00"/>
      <color rgb="FF00CC00"/>
      <color rgb="FFCCECFF"/>
      <color rgb="FFFF99CC"/>
      <color rgb="FFFFFF99"/>
      <color rgb="FFCCFFCC"/>
      <color rgb="FFFFCCFF"/>
      <color rgb="FFFF99FF"/>
      <color rgb="FF66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2"/>
  <sheetViews>
    <sheetView tabSelected="1" zoomScale="118" zoomScaleNormal="118" workbookViewId="0">
      <pane ySplit="1" topLeftCell="A147" activePane="bottomLeft" state="frozen"/>
      <selection pane="bottomLeft" activeCell="A157" sqref="A157:XFD157"/>
    </sheetView>
  </sheetViews>
  <sheetFormatPr defaultRowHeight="16.5" x14ac:dyDescent="0.25"/>
  <cols>
    <col min="1" max="1" width="21" customWidth="1"/>
    <col min="2" max="9" width="10.625" style="2" customWidth="1"/>
    <col min="10" max="10" width="12.875" style="2" customWidth="1"/>
    <col min="11" max="11" width="10.625" style="2" customWidth="1"/>
    <col min="12" max="13" width="5.625" style="2" customWidth="1"/>
    <col min="14" max="14" width="10.625" style="2" customWidth="1"/>
    <col min="15" max="15" width="12.375" style="2" customWidth="1"/>
    <col min="16" max="21" width="10.625" style="2" customWidth="1"/>
    <col min="22" max="24" width="9" style="2"/>
  </cols>
  <sheetData>
    <row r="1" spans="1:27" x14ac:dyDescent="0.25">
      <c r="A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K1" s="2" t="s">
        <v>593</v>
      </c>
      <c r="N1" s="2" t="s">
        <v>10</v>
      </c>
      <c r="O1" s="30" t="s">
        <v>594</v>
      </c>
    </row>
    <row r="2" spans="1:27" x14ac:dyDescent="0.25">
      <c r="O2" s="30"/>
    </row>
    <row r="3" spans="1:27" x14ac:dyDescent="0.25">
      <c r="A3" s="5" t="s">
        <v>12</v>
      </c>
      <c r="B3" s="3">
        <v>0.68022028800000001</v>
      </c>
      <c r="C3" s="3">
        <v>0.9900000000000001</v>
      </c>
      <c r="D3" s="3">
        <v>0.1199448</v>
      </c>
      <c r="E3" s="3">
        <v>0.24488729999999997</v>
      </c>
      <c r="F3" s="3">
        <v>0.91349999999999998</v>
      </c>
      <c r="G3" s="3">
        <v>0.36749999999999999</v>
      </c>
      <c r="H3" s="3">
        <v>0.31900000000000006</v>
      </c>
      <c r="I3" s="3">
        <v>0</v>
      </c>
      <c r="K3" s="20">
        <f>I3+H3+G3+F3+E3+D3+C3+B3</f>
        <v>3.6350523880000005</v>
      </c>
      <c r="L3" s="114"/>
      <c r="M3" s="114"/>
      <c r="N3" s="2" t="s">
        <v>575</v>
      </c>
      <c r="O3" s="2" t="s">
        <v>575</v>
      </c>
    </row>
    <row r="4" spans="1:27" x14ac:dyDescent="0.25">
      <c r="A4" s="5" t="s">
        <v>14</v>
      </c>
      <c r="B4" s="3">
        <v>0.79359033599999995</v>
      </c>
      <c r="C4" s="3">
        <v>0.9900000000000001</v>
      </c>
      <c r="D4" s="3">
        <v>0.13993560000000002</v>
      </c>
      <c r="E4" s="3">
        <v>0.28570185000000003</v>
      </c>
      <c r="F4" s="3">
        <v>1.1445000000000001</v>
      </c>
      <c r="G4" s="3">
        <v>0.36749999999999999</v>
      </c>
      <c r="H4" s="3">
        <v>0.31900000000000006</v>
      </c>
      <c r="I4" s="3">
        <v>1.0584</v>
      </c>
      <c r="K4" s="20">
        <f t="shared" ref="K4:K67" si="0">I4+H4+G4+F4+E4+D4+C4+B4</f>
        <v>5.0986277860000007</v>
      </c>
      <c r="L4" s="114"/>
      <c r="M4" s="114"/>
      <c r="N4" s="2" t="s">
        <v>575</v>
      </c>
      <c r="O4" s="2" t="s">
        <v>575</v>
      </c>
    </row>
    <row r="5" spans="1:27" x14ac:dyDescent="0.25">
      <c r="A5" s="5" t="s">
        <v>16</v>
      </c>
      <c r="B5" s="3">
        <v>0.90696038400000001</v>
      </c>
      <c r="C5" s="3">
        <v>0.9900000000000001</v>
      </c>
      <c r="D5" s="3">
        <v>0.1599264</v>
      </c>
      <c r="E5" s="3">
        <v>0.32651640000000004</v>
      </c>
      <c r="F5" s="3">
        <v>1.827</v>
      </c>
      <c r="G5" s="3">
        <v>0.36749999999999999</v>
      </c>
      <c r="H5" s="3">
        <v>0.31900000000000006</v>
      </c>
      <c r="I5" s="3">
        <v>1.2096</v>
      </c>
      <c r="K5" s="20">
        <f t="shared" si="0"/>
        <v>6.1065031839999993</v>
      </c>
      <c r="L5" s="114"/>
      <c r="M5" s="114"/>
      <c r="N5" s="2" t="s">
        <v>575</v>
      </c>
      <c r="O5" s="2" t="s">
        <v>575</v>
      </c>
    </row>
    <row r="6" spans="1:27" x14ac:dyDescent="0.25">
      <c r="A6" s="5" t="s">
        <v>18</v>
      </c>
      <c r="B6" s="3">
        <v>1.048672944</v>
      </c>
      <c r="C6" s="3">
        <v>0.9</v>
      </c>
      <c r="D6" s="3">
        <v>0.18491489999999999</v>
      </c>
      <c r="E6" s="3">
        <v>0.37753458749999996</v>
      </c>
      <c r="F6" s="3">
        <v>1.827</v>
      </c>
      <c r="G6" s="3">
        <v>0.36749999999999999</v>
      </c>
      <c r="H6" s="3">
        <v>0.31900000000000006</v>
      </c>
      <c r="I6" s="3">
        <v>1.8648</v>
      </c>
      <c r="K6" s="20">
        <f t="shared" si="0"/>
        <v>6.8894224314999999</v>
      </c>
      <c r="L6" s="114"/>
      <c r="M6" s="114"/>
      <c r="N6" s="2" t="s">
        <v>575</v>
      </c>
      <c r="O6" s="2" t="s">
        <v>575</v>
      </c>
      <c r="Q6" s="2" t="s">
        <v>956</v>
      </c>
    </row>
    <row r="7" spans="1:27" x14ac:dyDescent="0.25">
      <c r="A7" s="5" t="s">
        <v>20</v>
      </c>
      <c r="B7" s="3">
        <v>1.190385504</v>
      </c>
      <c r="C7" s="3">
        <v>1.4300000000000002</v>
      </c>
      <c r="D7" s="3">
        <v>0.20990340000000002</v>
      </c>
      <c r="E7" s="3">
        <v>0.428552775</v>
      </c>
      <c r="F7" s="3">
        <v>3.8115000000000001</v>
      </c>
      <c r="G7" s="3">
        <v>0.36749999999999999</v>
      </c>
      <c r="H7" s="3">
        <v>0.31900000000000006</v>
      </c>
      <c r="I7" s="3">
        <v>2.1168</v>
      </c>
      <c r="K7" s="20">
        <f t="shared" si="0"/>
        <v>9.8736416790000003</v>
      </c>
      <c r="L7" s="114"/>
      <c r="M7" s="114"/>
      <c r="N7" s="2" t="s">
        <v>575</v>
      </c>
      <c r="O7" s="2" t="s">
        <v>575</v>
      </c>
      <c r="Q7" t="s">
        <v>1</v>
      </c>
      <c r="R7" s="2" t="s">
        <v>2</v>
      </c>
      <c r="S7" s="2" t="s">
        <v>3</v>
      </c>
      <c r="T7" s="2" t="s">
        <v>4</v>
      </c>
      <c r="U7" s="2" t="s">
        <v>5</v>
      </c>
      <c r="V7" s="2" t="s">
        <v>6</v>
      </c>
      <c r="W7" s="2" t="s">
        <v>7</v>
      </c>
      <c r="X7" s="2" t="s">
        <v>8</v>
      </c>
      <c r="Y7" s="2" t="s">
        <v>9</v>
      </c>
      <c r="Z7" s="2"/>
      <c r="AA7" s="2" t="s">
        <v>593</v>
      </c>
    </row>
    <row r="8" spans="1:27" x14ac:dyDescent="0.25">
      <c r="A8" s="5" t="s">
        <v>22</v>
      </c>
      <c r="B8" s="3">
        <v>1.4738106240000002</v>
      </c>
      <c r="C8" s="3">
        <v>1.6500000000000001</v>
      </c>
      <c r="D8" s="3">
        <v>0.25988040000000001</v>
      </c>
      <c r="E8" s="3">
        <v>0.53058915000000006</v>
      </c>
      <c r="F8" s="3">
        <v>3.8115000000000001</v>
      </c>
      <c r="G8" s="3">
        <v>0.36749999999999999</v>
      </c>
      <c r="H8" s="3">
        <v>0.31900000000000006</v>
      </c>
      <c r="I8" s="3">
        <v>2.6208</v>
      </c>
      <c r="K8" s="20">
        <f t="shared" si="0"/>
        <v>11.033080174</v>
      </c>
      <c r="L8" s="114"/>
      <c r="M8" s="114"/>
      <c r="N8" s="2" t="s">
        <v>575</v>
      </c>
      <c r="O8" s="2" t="s">
        <v>575</v>
      </c>
      <c r="Q8" s="5" t="s">
        <v>12</v>
      </c>
      <c r="R8" s="3">
        <v>0.76</v>
      </c>
      <c r="S8" s="3">
        <v>0.99</v>
      </c>
      <c r="T8" s="3">
        <v>9.0236250000000018E-2</v>
      </c>
      <c r="U8" s="3">
        <v>0.25266150000000004</v>
      </c>
      <c r="V8" s="3">
        <v>0.87</v>
      </c>
      <c r="W8" s="3">
        <v>0.2</v>
      </c>
      <c r="X8" s="3">
        <v>0.20500000000000002</v>
      </c>
      <c r="Y8" s="3">
        <v>0.78</v>
      </c>
      <c r="Z8" s="2"/>
      <c r="AA8" s="20">
        <f>Y8+X8+W8+V8+U8+T8+S8+R8</f>
        <v>4.1478977500000003</v>
      </c>
    </row>
    <row r="9" spans="1:27" x14ac:dyDescent="0.25">
      <c r="A9" s="5" t="s">
        <v>24</v>
      </c>
      <c r="B9" s="3">
        <v>1.7572357440000002</v>
      </c>
      <c r="C9" s="3">
        <v>2.2000000000000002</v>
      </c>
      <c r="D9" s="3">
        <v>0.30985740000000006</v>
      </c>
      <c r="E9" s="3">
        <v>0.63262552500000002</v>
      </c>
      <c r="F9" s="3">
        <v>3.8115000000000001</v>
      </c>
      <c r="G9" s="3">
        <v>0.36749999999999999</v>
      </c>
      <c r="H9" s="3">
        <v>0.31900000000000006</v>
      </c>
      <c r="I9" s="3">
        <v>3.9060000000000001</v>
      </c>
      <c r="K9" s="20">
        <f t="shared" si="0"/>
        <v>13.303718669</v>
      </c>
      <c r="L9" s="114"/>
      <c r="M9" s="114"/>
      <c r="N9" s="2" t="s">
        <v>575</v>
      </c>
      <c r="O9" s="2" t="s">
        <v>575</v>
      </c>
      <c r="Q9" s="6" t="s">
        <v>28</v>
      </c>
      <c r="R9" s="3">
        <v>1.95</v>
      </c>
      <c r="S9" s="3">
        <v>0.99</v>
      </c>
      <c r="T9" s="3">
        <v>0.19666874999999998</v>
      </c>
      <c r="U9" s="3">
        <v>0.27764999999999995</v>
      </c>
      <c r="V9" s="3">
        <v>1.1000000000000001</v>
      </c>
      <c r="W9" s="3">
        <v>0.231375</v>
      </c>
      <c r="X9" s="3">
        <v>0.28000000000000003</v>
      </c>
      <c r="Y9" s="3">
        <v>0</v>
      </c>
      <c r="Z9" s="2"/>
      <c r="AA9" s="20">
        <f t="shared" ref="AA9:AA16" si="1">Y9+X9+W9+V9+U9+T9+S9+R9</f>
        <v>5.0256937500000003</v>
      </c>
    </row>
    <row r="10" spans="1:27" x14ac:dyDescent="0.25">
      <c r="A10" s="5" t="s">
        <v>26</v>
      </c>
      <c r="B10" s="3">
        <v>2.0406608639999999</v>
      </c>
      <c r="C10" s="3">
        <v>3.3000000000000003</v>
      </c>
      <c r="D10" s="3">
        <v>0.3598344</v>
      </c>
      <c r="E10" s="3">
        <v>0.73466190000000009</v>
      </c>
      <c r="F10" s="3">
        <v>3.8115000000000001</v>
      </c>
      <c r="G10" s="3">
        <v>0.36749999999999999</v>
      </c>
      <c r="H10" s="3">
        <v>0.31900000000000006</v>
      </c>
      <c r="I10" s="3">
        <v>4.5360000000000005</v>
      </c>
      <c r="K10" s="20">
        <f t="shared" si="0"/>
        <v>15.469157164000002</v>
      </c>
      <c r="L10" s="114"/>
      <c r="M10" s="114"/>
      <c r="N10" s="2" t="s">
        <v>575</v>
      </c>
      <c r="O10" s="2" t="s">
        <v>575</v>
      </c>
      <c r="Q10" s="7" t="s">
        <v>52</v>
      </c>
      <c r="R10" s="3">
        <v>2.92</v>
      </c>
      <c r="S10" s="3">
        <v>0.99</v>
      </c>
      <c r="T10" s="3">
        <v>0.35872380000000004</v>
      </c>
      <c r="U10" s="3">
        <v>0.21101400000000001</v>
      </c>
      <c r="V10" s="3">
        <v>1.1000000000000001</v>
      </c>
      <c r="W10" s="3">
        <v>0.37982520000000003</v>
      </c>
      <c r="X10" s="3">
        <v>0.30000000000000004</v>
      </c>
      <c r="Y10" s="3">
        <v>0</v>
      </c>
      <c r="Z10" s="2"/>
      <c r="AA10" s="20">
        <f t="shared" si="1"/>
        <v>6.259563</v>
      </c>
    </row>
    <row r="11" spans="1:27" x14ac:dyDescent="0.25">
      <c r="A11" s="6" t="s">
        <v>36</v>
      </c>
      <c r="B11" s="3">
        <v>1.039327245</v>
      </c>
      <c r="C11" s="3">
        <v>0.88000000000000012</v>
      </c>
      <c r="D11" s="3">
        <v>0.15670565999999997</v>
      </c>
      <c r="E11" s="3">
        <v>0.16131465</v>
      </c>
      <c r="F11" s="3">
        <v>0.91349999999999998</v>
      </c>
      <c r="G11" s="3">
        <v>0.2016433125</v>
      </c>
      <c r="H11" s="3">
        <v>0.41800000000000004</v>
      </c>
      <c r="I11" s="3">
        <v>0</v>
      </c>
      <c r="K11" s="20">
        <f t="shared" si="0"/>
        <v>3.7704908675000004</v>
      </c>
      <c r="L11" s="114"/>
      <c r="M11" s="114"/>
      <c r="N11" s="2">
        <v>4.2</v>
      </c>
      <c r="O11" s="3">
        <f t="shared" ref="O11:O67" si="2">N11+K11</f>
        <v>7.9704908675000006</v>
      </c>
      <c r="Q11" s="8" t="s">
        <v>76</v>
      </c>
      <c r="R11" s="3">
        <v>7.09</v>
      </c>
      <c r="S11" s="3">
        <v>1.98</v>
      </c>
      <c r="T11" s="3">
        <v>0.87268480000000004</v>
      </c>
      <c r="U11" s="3">
        <v>0.51334400000000002</v>
      </c>
      <c r="V11" s="3">
        <v>2.2999999999999998</v>
      </c>
      <c r="W11" s="3">
        <v>0.92401920000000004</v>
      </c>
      <c r="X11" s="3">
        <v>0.32</v>
      </c>
      <c r="Y11" s="3">
        <v>1.56</v>
      </c>
      <c r="Z11" s="2"/>
      <c r="AA11" s="20">
        <f t="shared" si="1"/>
        <v>15.560048</v>
      </c>
    </row>
    <row r="12" spans="1:27" x14ac:dyDescent="0.25">
      <c r="A12" s="6" t="s">
        <v>28</v>
      </c>
      <c r="B12" s="3">
        <v>1.7530821000000001</v>
      </c>
      <c r="C12" s="3">
        <v>0.9900000000000001</v>
      </c>
      <c r="D12" s="3">
        <v>0.26432279999999997</v>
      </c>
      <c r="E12" s="3">
        <v>0.27209700000000003</v>
      </c>
      <c r="F12" s="3">
        <v>1.1550000000000002</v>
      </c>
      <c r="G12" s="3">
        <v>0.34012124999999999</v>
      </c>
      <c r="H12" s="3">
        <v>0.41800000000000004</v>
      </c>
      <c r="I12" s="3">
        <v>0</v>
      </c>
      <c r="K12" s="20">
        <f t="shared" si="0"/>
        <v>5.1926231500000002</v>
      </c>
      <c r="L12" s="114"/>
      <c r="M12" s="114"/>
      <c r="N12" s="2">
        <v>4.2</v>
      </c>
      <c r="O12" s="3">
        <f t="shared" si="2"/>
        <v>9.3926231500000004</v>
      </c>
      <c r="Q12" s="14" t="s">
        <v>188</v>
      </c>
      <c r="R12" s="3">
        <v>0.85</v>
      </c>
      <c r="S12" s="3">
        <v>1.54</v>
      </c>
      <c r="T12" s="3">
        <v>0.13</v>
      </c>
      <c r="U12" s="3">
        <v>0.28181475</v>
      </c>
      <c r="V12" s="3">
        <v>0.87</v>
      </c>
      <c r="W12" s="3">
        <v>1.6103700000000001E-3</v>
      </c>
      <c r="X12" s="3">
        <v>0.22499999999999998</v>
      </c>
      <c r="Y12" s="3">
        <v>0.87</v>
      </c>
      <c r="Z12" s="2"/>
      <c r="AA12" s="20">
        <f t="shared" si="1"/>
        <v>4.7684251199999999</v>
      </c>
    </row>
    <row r="13" spans="1:27" x14ac:dyDescent="0.25">
      <c r="A13" s="6" t="s">
        <v>30</v>
      </c>
      <c r="B13" s="3">
        <v>2.0035224</v>
      </c>
      <c r="C13" s="3">
        <v>0.9900000000000001</v>
      </c>
      <c r="D13" s="3">
        <v>0.3020832</v>
      </c>
      <c r="E13" s="3">
        <v>0.31096800000000002</v>
      </c>
      <c r="F13" s="3">
        <v>1.47</v>
      </c>
      <c r="G13" s="3">
        <v>0.38871</v>
      </c>
      <c r="H13" s="3">
        <v>0.41800000000000004</v>
      </c>
      <c r="I13" s="3">
        <v>0</v>
      </c>
      <c r="K13" s="20">
        <f t="shared" si="0"/>
        <v>5.8832836000000004</v>
      </c>
      <c r="L13" s="114"/>
      <c r="M13" s="114"/>
      <c r="N13" s="2">
        <v>4.2</v>
      </c>
      <c r="O13" s="3">
        <f t="shared" si="2"/>
        <v>10.083283600000001</v>
      </c>
      <c r="Q13" s="14" t="s">
        <v>204</v>
      </c>
      <c r="R13" s="3">
        <v>1.68</v>
      </c>
      <c r="S13" s="3">
        <v>1.4</v>
      </c>
      <c r="T13" s="3">
        <v>0.21</v>
      </c>
      <c r="U13" s="3">
        <v>0.22</v>
      </c>
      <c r="V13" s="3">
        <v>1.1000000000000001</v>
      </c>
      <c r="W13" s="3">
        <v>0.16782399999999997</v>
      </c>
      <c r="X13" s="3">
        <v>0.22499999999999998</v>
      </c>
      <c r="Y13" s="3">
        <v>1.02</v>
      </c>
      <c r="Z13" s="2"/>
      <c r="AA13" s="20">
        <f t="shared" si="1"/>
        <v>6.022824</v>
      </c>
    </row>
    <row r="14" spans="1:27" x14ac:dyDescent="0.25">
      <c r="A14" s="6" t="s">
        <v>32</v>
      </c>
      <c r="B14" s="3">
        <v>2.316572775</v>
      </c>
      <c r="C14" s="3">
        <v>0.9</v>
      </c>
      <c r="D14" s="3">
        <v>0.34928369999999997</v>
      </c>
      <c r="E14" s="3">
        <v>0.35955675000000004</v>
      </c>
      <c r="F14" s="3">
        <v>1.47</v>
      </c>
      <c r="G14" s="3">
        <v>0.44944593749999995</v>
      </c>
      <c r="H14" s="3">
        <v>0.41800000000000004</v>
      </c>
      <c r="I14" s="3">
        <v>0</v>
      </c>
      <c r="K14" s="20">
        <f t="shared" si="0"/>
        <v>6.2628591624999999</v>
      </c>
      <c r="L14" s="114"/>
      <c r="M14" s="114"/>
      <c r="N14" s="2">
        <v>4.2</v>
      </c>
      <c r="O14" s="3">
        <f t="shared" si="2"/>
        <v>10.462859162499999</v>
      </c>
      <c r="Q14" s="14" t="s">
        <v>226</v>
      </c>
      <c r="R14" s="3">
        <v>2.54</v>
      </c>
      <c r="S14" s="3">
        <v>1.65</v>
      </c>
      <c r="T14" s="3">
        <v>0.37</v>
      </c>
      <c r="U14" s="3">
        <v>0.4</v>
      </c>
      <c r="V14" s="3">
        <v>1.1000000000000001</v>
      </c>
      <c r="W14" s="3">
        <v>0.30078750000000004</v>
      </c>
      <c r="X14" s="3">
        <v>0.28000000000000003</v>
      </c>
      <c r="Y14" s="3">
        <v>0</v>
      </c>
      <c r="Z14" s="2"/>
      <c r="AA14" s="20">
        <f t="shared" si="1"/>
        <v>6.6407875000000001</v>
      </c>
    </row>
    <row r="15" spans="1:27" x14ac:dyDescent="0.25">
      <c r="A15" s="6" t="s">
        <v>34</v>
      </c>
      <c r="B15" s="3">
        <v>2.62962315</v>
      </c>
      <c r="C15" s="3">
        <v>1.2100000000000002</v>
      </c>
      <c r="D15" s="3">
        <v>0.39648419999999995</v>
      </c>
      <c r="E15" s="3">
        <v>0.40814550000000005</v>
      </c>
      <c r="F15" s="3">
        <v>1.8900000000000001</v>
      </c>
      <c r="G15" s="3">
        <v>0.51018187500000001</v>
      </c>
      <c r="H15" s="3">
        <v>0.41800000000000004</v>
      </c>
      <c r="I15" s="3">
        <v>2.1168</v>
      </c>
      <c r="K15" s="20">
        <f t="shared" si="0"/>
        <v>9.5792347249999992</v>
      </c>
      <c r="L15" s="114"/>
      <c r="M15" s="114"/>
      <c r="N15" s="2">
        <v>4.2</v>
      </c>
      <c r="O15" s="3">
        <f t="shared" si="2"/>
        <v>13.779234724999998</v>
      </c>
      <c r="Q15" s="14" t="s">
        <v>246</v>
      </c>
      <c r="R15" s="3">
        <v>3.68</v>
      </c>
      <c r="S15" s="3">
        <v>1.54</v>
      </c>
      <c r="T15" s="3">
        <v>0.65</v>
      </c>
      <c r="U15" s="3">
        <v>0.28999999999999998</v>
      </c>
      <c r="V15" s="3">
        <v>1.4</v>
      </c>
      <c r="W15" s="3">
        <v>0.47977920000000002</v>
      </c>
      <c r="X15" s="3">
        <v>0.28000000000000003</v>
      </c>
      <c r="Y15" s="3">
        <v>0</v>
      </c>
      <c r="Z15" s="2"/>
      <c r="AA15" s="20">
        <f t="shared" si="1"/>
        <v>8.3197791999999993</v>
      </c>
    </row>
    <row r="16" spans="1:27" x14ac:dyDescent="0.25">
      <c r="A16" s="6" t="s">
        <v>38</v>
      </c>
      <c r="B16" s="3">
        <v>3.2557239000000004</v>
      </c>
      <c r="C16" s="3">
        <v>1.4300000000000002</v>
      </c>
      <c r="D16" s="3">
        <v>0.49088520000000002</v>
      </c>
      <c r="E16" s="3">
        <v>0.50532300000000008</v>
      </c>
      <c r="F16" s="3">
        <v>2.625</v>
      </c>
      <c r="G16" s="3">
        <v>0.63165375000000001</v>
      </c>
      <c r="H16" s="3">
        <v>0.41800000000000004</v>
      </c>
      <c r="I16" s="3">
        <v>2.6208</v>
      </c>
      <c r="K16" s="20">
        <f t="shared" si="0"/>
        <v>11.977385850000001</v>
      </c>
      <c r="L16" s="114"/>
      <c r="M16" s="114"/>
      <c r="N16" s="2">
        <v>4.2</v>
      </c>
      <c r="O16" s="3">
        <f t="shared" si="2"/>
        <v>16.17738585</v>
      </c>
      <c r="Q16" s="14" t="s">
        <v>264</v>
      </c>
      <c r="R16" s="3">
        <v>5.95</v>
      </c>
      <c r="S16" s="3">
        <v>1.76</v>
      </c>
      <c r="T16" s="3">
        <v>1.05</v>
      </c>
      <c r="U16" s="3">
        <v>0.47</v>
      </c>
      <c r="V16" s="3">
        <v>2.2999999999999998</v>
      </c>
      <c r="W16" s="3">
        <v>0.77547644999999998</v>
      </c>
      <c r="X16" s="3">
        <v>0.3</v>
      </c>
      <c r="Y16" s="3">
        <v>1.71</v>
      </c>
      <c r="Z16" s="2"/>
      <c r="AA16" s="20">
        <f t="shared" si="1"/>
        <v>14.315476449999998</v>
      </c>
    </row>
    <row r="17" spans="1:15" x14ac:dyDescent="0.25">
      <c r="A17" s="6" t="s">
        <v>40</v>
      </c>
      <c r="B17" s="3">
        <v>3.8818246500000004</v>
      </c>
      <c r="C17" s="3">
        <v>1.5</v>
      </c>
      <c r="D17" s="3">
        <v>0.58528619999999998</v>
      </c>
      <c r="E17" s="3">
        <v>0.60250050000000011</v>
      </c>
      <c r="F17" s="3">
        <v>3.8115000000000001</v>
      </c>
      <c r="G17" s="3">
        <v>0.75312562500000002</v>
      </c>
      <c r="H17" s="3">
        <v>0.41800000000000004</v>
      </c>
      <c r="I17" s="3">
        <v>3.9060000000000001</v>
      </c>
      <c r="K17" s="20">
        <f t="shared" si="0"/>
        <v>15.458236975</v>
      </c>
      <c r="L17" s="114"/>
      <c r="M17" s="114"/>
      <c r="N17" s="2">
        <v>4.2</v>
      </c>
      <c r="O17" s="3">
        <f t="shared" si="2"/>
        <v>19.658236975000001</v>
      </c>
    </row>
    <row r="18" spans="1:15" x14ac:dyDescent="0.25">
      <c r="A18" s="6" t="s">
        <v>42</v>
      </c>
      <c r="B18" s="3">
        <v>4.5079254000000004</v>
      </c>
      <c r="C18" s="3">
        <v>2.2000000000000002</v>
      </c>
      <c r="D18" s="3">
        <v>0.67968719999999994</v>
      </c>
      <c r="E18" s="3">
        <v>0.69967800000000013</v>
      </c>
      <c r="F18" s="3">
        <v>3.8115000000000001</v>
      </c>
      <c r="G18" s="3">
        <v>0.87459749999999992</v>
      </c>
      <c r="H18" s="3">
        <v>0.41800000000000004</v>
      </c>
      <c r="I18" s="3">
        <v>4.5360000000000005</v>
      </c>
      <c r="K18" s="20">
        <f t="shared" si="0"/>
        <v>17.727388100000002</v>
      </c>
      <c r="L18" s="114"/>
      <c r="M18" s="114"/>
      <c r="N18" s="2">
        <v>4.2</v>
      </c>
      <c r="O18" s="3">
        <f t="shared" si="2"/>
        <v>21.927388100000002</v>
      </c>
    </row>
    <row r="19" spans="1:15" x14ac:dyDescent="0.25">
      <c r="A19" s="6" t="s">
        <v>44</v>
      </c>
      <c r="B19" s="3">
        <v>5.1340261500000004</v>
      </c>
      <c r="C19" s="3">
        <v>3.8500000000000005</v>
      </c>
      <c r="D19" s="3">
        <v>0.77408819999999989</v>
      </c>
      <c r="E19" s="3">
        <v>0.79685550000000016</v>
      </c>
      <c r="F19" s="3">
        <v>4.8615000000000004</v>
      </c>
      <c r="G19" s="3">
        <v>0.99606937500000003</v>
      </c>
      <c r="H19" s="3">
        <v>0.41800000000000004</v>
      </c>
      <c r="I19" s="3">
        <v>6.3000000000000007</v>
      </c>
      <c r="K19" s="20">
        <f t="shared" si="0"/>
        <v>23.130539225</v>
      </c>
      <c r="L19" s="114"/>
      <c r="M19" s="114"/>
      <c r="N19" s="2">
        <v>4.2</v>
      </c>
      <c r="O19" s="3">
        <f t="shared" si="2"/>
        <v>27.330539224999999</v>
      </c>
    </row>
    <row r="20" spans="1:15" x14ac:dyDescent="0.25">
      <c r="A20" s="6" t="s">
        <v>46</v>
      </c>
      <c r="B20" s="3">
        <v>5.7601269000000004</v>
      </c>
      <c r="C20" s="3">
        <v>4.95</v>
      </c>
      <c r="D20" s="3">
        <v>2.6565551999999997</v>
      </c>
      <c r="E20" s="3">
        <v>1.3410495</v>
      </c>
      <c r="F20" s="3">
        <v>4.8615000000000004</v>
      </c>
      <c r="G20" s="3">
        <v>1.1175412499999999</v>
      </c>
      <c r="H20" s="3">
        <v>0.41800000000000004</v>
      </c>
      <c r="I20" s="3">
        <v>6.3000000000000007</v>
      </c>
      <c r="K20" s="20">
        <f t="shared" si="0"/>
        <v>27.404772850000001</v>
      </c>
      <c r="L20" s="114"/>
      <c r="M20" s="114"/>
      <c r="N20" s="2">
        <v>4.2</v>
      </c>
      <c r="O20" s="3">
        <f t="shared" si="2"/>
        <v>31.60477285</v>
      </c>
    </row>
    <row r="21" spans="1:15" x14ac:dyDescent="0.25">
      <c r="A21" s="6" t="s">
        <v>48</v>
      </c>
      <c r="B21" s="3">
        <v>7.0123284000000004</v>
      </c>
      <c r="C21" s="3">
        <v>5.5</v>
      </c>
      <c r="D21" s="3">
        <v>3.2340671999999997</v>
      </c>
      <c r="E21" s="3">
        <v>1.6325820000000002</v>
      </c>
      <c r="F21" s="3">
        <v>6.8565000000000005</v>
      </c>
      <c r="G21" s="3">
        <v>1.3604849999999999</v>
      </c>
      <c r="H21" s="3">
        <v>0.41800000000000004</v>
      </c>
      <c r="I21" s="3">
        <v>6.3000000000000007</v>
      </c>
      <c r="K21" s="20">
        <f t="shared" si="0"/>
        <v>32.313962599999996</v>
      </c>
      <c r="L21" s="114"/>
      <c r="M21" s="114"/>
      <c r="N21" s="2">
        <v>4.2</v>
      </c>
      <c r="O21" s="3">
        <f t="shared" si="2"/>
        <v>36.513962599999999</v>
      </c>
    </row>
    <row r="22" spans="1:15" x14ac:dyDescent="0.25">
      <c r="A22" s="7" t="s">
        <v>50</v>
      </c>
      <c r="B22" s="3">
        <v>1.2127174488000001</v>
      </c>
      <c r="C22" s="3">
        <v>0.9900000000000001</v>
      </c>
      <c r="D22" s="3">
        <v>0.22565615040000001</v>
      </c>
      <c r="E22" s="3">
        <v>9.678879E-2</v>
      </c>
      <c r="F22" s="3">
        <v>0.91349999999999998</v>
      </c>
      <c r="G22" s="3">
        <v>0.26132973300000001</v>
      </c>
      <c r="H22" s="3">
        <v>0.45100000000000007</v>
      </c>
      <c r="I22" s="3">
        <v>0</v>
      </c>
      <c r="K22" s="20">
        <f t="shared" si="0"/>
        <v>4.1509921221999999</v>
      </c>
      <c r="L22" s="114"/>
      <c r="M22" s="114"/>
      <c r="N22" s="2">
        <v>4.2</v>
      </c>
      <c r="O22" s="3">
        <f t="shared" si="2"/>
        <v>8.350992122200001</v>
      </c>
    </row>
    <row r="23" spans="1:15" x14ac:dyDescent="0.25">
      <c r="A23" s="7" t="s">
        <v>52</v>
      </c>
      <c r="B23" s="3">
        <v>2.629989648</v>
      </c>
      <c r="C23" s="3">
        <v>0.9</v>
      </c>
      <c r="D23" s="3">
        <v>0.4893747839999999</v>
      </c>
      <c r="E23" s="3">
        <v>0.20990340000000002</v>
      </c>
      <c r="F23" s="3">
        <v>1.47</v>
      </c>
      <c r="G23" s="3">
        <v>0.56673918000000001</v>
      </c>
      <c r="H23" s="3">
        <v>0.45100000000000007</v>
      </c>
      <c r="I23" s="3">
        <v>0</v>
      </c>
      <c r="K23" s="20">
        <f t="shared" si="0"/>
        <v>6.7170070119999998</v>
      </c>
      <c r="L23" s="114"/>
      <c r="M23" s="114"/>
      <c r="N23" s="2">
        <v>4.2</v>
      </c>
      <c r="O23" s="3">
        <f t="shared" si="2"/>
        <v>10.917007011999999</v>
      </c>
    </row>
    <row r="24" spans="1:15" x14ac:dyDescent="0.25">
      <c r="A24" s="7" t="s">
        <v>54</v>
      </c>
      <c r="B24" s="3">
        <v>2.9952659880000003</v>
      </c>
      <c r="C24" s="3">
        <v>1.2100000000000002</v>
      </c>
      <c r="D24" s="3">
        <v>0.55734350399999999</v>
      </c>
      <c r="E24" s="3">
        <v>0.23905664999999998</v>
      </c>
      <c r="F24" s="3">
        <v>1.8900000000000001</v>
      </c>
      <c r="G24" s="3">
        <v>0.64545295499999999</v>
      </c>
      <c r="H24" s="3">
        <v>0.45100000000000007</v>
      </c>
      <c r="I24" s="3">
        <v>0</v>
      </c>
      <c r="K24" s="20">
        <f t="shared" si="0"/>
        <v>7.9881190970000002</v>
      </c>
      <c r="L24" s="114"/>
      <c r="M24" s="114"/>
      <c r="N24" s="2">
        <v>4.2</v>
      </c>
      <c r="O24" s="3">
        <f t="shared" si="2"/>
        <v>12.188119097000001</v>
      </c>
    </row>
    <row r="25" spans="1:15" x14ac:dyDescent="0.25">
      <c r="A25" s="7" t="s">
        <v>56</v>
      </c>
      <c r="B25" s="3">
        <v>3.3605423280000002</v>
      </c>
      <c r="C25" s="3">
        <v>1.2100000000000002</v>
      </c>
      <c r="D25" s="3">
        <v>0.62531222399999986</v>
      </c>
      <c r="E25" s="3">
        <v>0.2682099</v>
      </c>
      <c r="F25" s="3">
        <v>1.8900000000000001</v>
      </c>
      <c r="G25" s="3">
        <v>0.72416672999999998</v>
      </c>
      <c r="H25" s="3">
        <v>0.45100000000000007</v>
      </c>
      <c r="I25" s="3">
        <v>0</v>
      </c>
      <c r="K25" s="20">
        <f t="shared" si="0"/>
        <v>8.5292311820000002</v>
      </c>
      <c r="L25" s="114"/>
      <c r="M25" s="114"/>
      <c r="N25" s="2">
        <v>4.2</v>
      </c>
      <c r="O25" s="3">
        <f t="shared" si="2"/>
        <v>12.729231181999999</v>
      </c>
    </row>
    <row r="26" spans="1:15" x14ac:dyDescent="0.25">
      <c r="A26" s="7" t="s">
        <v>58</v>
      </c>
      <c r="B26" s="3">
        <v>4.0910950079999999</v>
      </c>
      <c r="C26" s="3">
        <v>1.4300000000000002</v>
      </c>
      <c r="D26" s="3">
        <v>0.76124966399999994</v>
      </c>
      <c r="E26" s="3">
        <v>0.65303280000000008</v>
      </c>
      <c r="F26" s="3">
        <v>3.8115000000000001</v>
      </c>
      <c r="G26" s="3">
        <v>0.88159428000000017</v>
      </c>
      <c r="H26" s="3">
        <v>0.45100000000000007</v>
      </c>
      <c r="I26" s="3">
        <v>3.5279999999999996</v>
      </c>
      <c r="K26" s="20">
        <f t="shared" si="0"/>
        <v>15.607471751999999</v>
      </c>
      <c r="L26" s="114"/>
      <c r="M26" s="114"/>
      <c r="N26" s="2">
        <v>4.2</v>
      </c>
      <c r="O26" s="3">
        <f t="shared" si="2"/>
        <v>19.807471751999998</v>
      </c>
    </row>
    <row r="27" spans="1:15" x14ac:dyDescent="0.25">
      <c r="A27" s="7" t="s">
        <v>60</v>
      </c>
      <c r="B27" s="3">
        <v>4.8216476879999997</v>
      </c>
      <c r="C27" s="3">
        <v>1.6500000000000001</v>
      </c>
      <c r="D27" s="3">
        <v>0.8971871039999999</v>
      </c>
      <c r="E27" s="3">
        <v>0.76964580000000005</v>
      </c>
      <c r="F27" s="3">
        <v>3.7800000000000002</v>
      </c>
      <c r="G27" s="3">
        <v>1.03902183</v>
      </c>
      <c r="H27" s="3">
        <v>0.45100000000000007</v>
      </c>
      <c r="I27" s="3">
        <v>4.1579999999999995</v>
      </c>
      <c r="K27" s="20">
        <f t="shared" si="0"/>
        <v>17.566502421999999</v>
      </c>
      <c r="L27" s="114"/>
      <c r="M27" s="114"/>
      <c r="N27" s="2">
        <v>4.2</v>
      </c>
      <c r="O27" s="3">
        <f t="shared" si="2"/>
        <v>21.766502421999999</v>
      </c>
    </row>
    <row r="28" spans="1:15" x14ac:dyDescent="0.25">
      <c r="A28" s="7" t="s">
        <v>62</v>
      </c>
      <c r="B28" s="3">
        <v>5.5522003680000003</v>
      </c>
      <c r="C28" s="3">
        <v>2.2000000000000002</v>
      </c>
      <c r="D28" s="3">
        <v>1.0331245440000001</v>
      </c>
      <c r="E28" s="3">
        <v>0.88625880000000001</v>
      </c>
      <c r="F28" s="3">
        <v>3.7800000000000002</v>
      </c>
      <c r="G28" s="3">
        <v>1.1964493800000002</v>
      </c>
      <c r="H28" s="3">
        <v>0.45100000000000007</v>
      </c>
      <c r="I28" s="3">
        <v>4.7879999999999994</v>
      </c>
      <c r="K28" s="20">
        <f t="shared" si="0"/>
        <v>19.887033091999999</v>
      </c>
      <c r="L28" s="114"/>
      <c r="M28" s="114"/>
      <c r="N28" s="2">
        <v>4.2</v>
      </c>
      <c r="O28" s="3">
        <f t="shared" si="2"/>
        <v>24.087033091999999</v>
      </c>
    </row>
    <row r="29" spans="1:15" x14ac:dyDescent="0.25">
      <c r="A29" s="7" t="s">
        <v>64</v>
      </c>
      <c r="B29" s="3">
        <v>6.2827530480000009</v>
      </c>
      <c r="C29" s="3">
        <v>3.8500000000000005</v>
      </c>
      <c r="D29" s="3">
        <v>1.1690619839999998</v>
      </c>
      <c r="E29" s="3">
        <v>1.0028718000000001</v>
      </c>
      <c r="F29" s="3">
        <v>4.5780000000000003</v>
      </c>
      <c r="G29" s="3">
        <v>1.3538769300000002</v>
      </c>
      <c r="H29" s="3">
        <v>0.45100000000000007</v>
      </c>
      <c r="I29" s="3">
        <v>6.3000000000000007</v>
      </c>
      <c r="K29" s="20">
        <f t="shared" si="0"/>
        <v>24.987563762000004</v>
      </c>
      <c r="L29" s="114"/>
      <c r="M29" s="114"/>
      <c r="N29" s="2">
        <v>4.2</v>
      </c>
      <c r="O29" s="3">
        <f t="shared" si="2"/>
        <v>29.187563762000003</v>
      </c>
    </row>
    <row r="30" spans="1:15" x14ac:dyDescent="0.25">
      <c r="A30" s="7" t="s">
        <v>66</v>
      </c>
      <c r="B30" s="3">
        <v>7.0133057280000006</v>
      </c>
      <c r="C30" s="3">
        <v>4.95</v>
      </c>
      <c r="D30" s="3">
        <v>1.3049994239999998</v>
      </c>
      <c r="E30" s="3">
        <v>1.3433817600000002</v>
      </c>
      <c r="F30" s="3">
        <v>4.5780000000000003</v>
      </c>
      <c r="G30" s="3">
        <v>1.51130448</v>
      </c>
      <c r="H30" s="3">
        <v>0.45100000000000007</v>
      </c>
      <c r="I30" s="3">
        <v>6.3000000000000007</v>
      </c>
      <c r="K30" s="20">
        <f t="shared" si="0"/>
        <v>27.451991392000004</v>
      </c>
      <c r="L30" s="114"/>
      <c r="M30" s="114"/>
      <c r="N30" s="2">
        <v>4.2</v>
      </c>
      <c r="O30" s="3">
        <f t="shared" si="2"/>
        <v>31.651991392000003</v>
      </c>
    </row>
    <row r="31" spans="1:15" x14ac:dyDescent="0.25">
      <c r="A31" s="7" t="s">
        <v>68</v>
      </c>
      <c r="B31" s="3">
        <v>8.4744110880000001</v>
      </c>
      <c r="C31" s="3">
        <v>5.5</v>
      </c>
      <c r="D31" s="3">
        <v>1.5768743039999997</v>
      </c>
      <c r="E31" s="3">
        <v>2.0290661999999999</v>
      </c>
      <c r="F31" s="3">
        <v>6.8565000000000005</v>
      </c>
      <c r="G31" s="3">
        <v>1.8261595800000001</v>
      </c>
      <c r="H31" s="3">
        <v>0.45100000000000007</v>
      </c>
      <c r="I31" s="3">
        <v>6.3000000000000007</v>
      </c>
      <c r="K31" s="20">
        <f t="shared" si="0"/>
        <v>33.014011172000004</v>
      </c>
      <c r="L31" s="114"/>
      <c r="M31" s="114"/>
      <c r="N31" s="2">
        <v>4.2</v>
      </c>
      <c r="O31" s="3">
        <f t="shared" si="2"/>
        <v>37.214011172000006</v>
      </c>
    </row>
    <row r="32" spans="1:15" x14ac:dyDescent="0.25">
      <c r="A32" s="8" t="s">
        <v>70</v>
      </c>
      <c r="B32" s="3">
        <v>5.1950412800000008</v>
      </c>
      <c r="C32" s="3">
        <v>1.54</v>
      </c>
      <c r="D32" s="3">
        <v>0.9666662399999999</v>
      </c>
      <c r="E32" s="3">
        <v>0.41462400000000005</v>
      </c>
      <c r="F32" s="3">
        <v>1.9949999999999999</v>
      </c>
      <c r="G32" s="3">
        <v>1.1194847999999999</v>
      </c>
      <c r="H32" s="3">
        <v>0.47300000000000009</v>
      </c>
      <c r="I32" s="3">
        <v>0</v>
      </c>
      <c r="K32" s="20">
        <f t="shared" si="0"/>
        <v>11.703816320000001</v>
      </c>
      <c r="L32" s="114"/>
      <c r="M32" s="114"/>
      <c r="N32" s="2">
        <v>4.5</v>
      </c>
      <c r="O32" s="3">
        <f t="shared" si="2"/>
        <v>16.203816320000001</v>
      </c>
    </row>
    <row r="33" spans="1:15" x14ac:dyDescent="0.25">
      <c r="A33" s="8" t="s">
        <v>72</v>
      </c>
      <c r="B33" s="3">
        <v>5.8444214399999996</v>
      </c>
      <c r="C33" s="3">
        <v>1.54</v>
      </c>
      <c r="D33" s="3">
        <v>0.90624959999999988</v>
      </c>
      <c r="E33" s="3">
        <v>0.46645199999999998</v>
      </c>
      <c r="F33" s="3">
        <v>3.0870000000000002</v>
      </c>
      <c r="G33" s="3">
        <v>1.2594204</v>
      </c>
      <c r="H33" s="3">
        <v>0.47300000000000009</v>
      </c>
      <c r="I33" s="3">
        <v>0</v>
      </c>
      <c r="K33" s="20">
        <f t="shared" si="0"/>
        <v>13.57654344</v>
      </c>
      <c r="L33" s="114"/>
      <c r="M33" s="114"/>
      <c r="N33" s="2">
        <v>4.5</v>
      </c>
      <c r="O33" s="3">
        <f t="shared" si="2"/>
        <v>18.076543440000002</v>
      </c>
    </row>
    <row r="34" spans="1:15" x14ac:dyDescent="0.25">
      <c r="A34" s="8" t="s">
        <v>76</v>
      </c>
      <c r="B34" s="3">
        <v>6.4938015999999994</v>
      </c>
      <c r="C34" s="3">
        <v>1.9800000000000002</v>
      </c>
      <c r="D34" s="3">
        <v>1.2083328</v>
      </c>
      <c r="E34" s="3">
        <v>0.51827999999999996</v>
      </c>
      <c r="F34" s="3">
        <v>3.0870000000000002</v>
      </c>
      <c r="G34" s="3">
        <v>1.399356</v>
      </c>
      <c r="H34" s="3">
        <v>0.47300000000000009</v>
      </c>
      <c r="I34" s="3">
        <v>1.8900000000000001</v>
      </c>
      <c r="K34" s="20">
        <f t="shared" si="0"/>
        <v>17.0497704</v>
      </c>
      <c r="L34" s="114"/>
      <c r="M34" s="114"/>
      <c r="N34" s="2">
        <v>4.5</v>
      </c>
      <c r="O34" s="3">
        <f t="shared" si="2"/>
        <v>21.5497704</v>
      </c>
    </row>
    <row r="35" spans="1:15" x14ac:dyDescent="0.25">
      <c r="A35" s="8" t="s">
        <v>74</v>
      </c>
      <c r="B35" s="3">
        <v>7.14318176</v>
      </c>
      <c r="C35" s="3">
        <v>1.9800000000000002</v>
      </c>
      <c r="D35" s="3">
        <v>1.3291660799999998</v>
      </c>
      <c r="E35" s="3">
        <v>1.1402159999999999</v>
      </c>
      <c r="F35" s="3">
        <v>3.0870000000000002</v>
      </c>
      <c r="G35" s="3">
        <v>1.5392916000000001</v>
      </c>
      <c r="H35" s="3">
        <v>0.47300000000000009</v>
      </c>
      <c r="I35" s="3">
        <v>2.0790000000000002</v>
      </c>
      <c r="K35" s="20">
        <f t="shared" si="0"/>
        <v>18.770855440000002</v>
      </c>
      <c r="L35" s="114"/>
      <c r="M35" s="114"/>
      <c r="N35" s="2">
        <v>4.5</v>
      </c>
      <c r="O35" s="3">
        <f t="shared" si="2"/>
        <v>23.270855440000002</v>
      </c>
    </row>
    <row r="36" spans="1:15" x14ac:dyDescent="0.25">
      <c r="A36" s="8" t="s">
        <v>78</v>
      </c>
      <c r="B36" s="3">
        <v>7.7925619199999998</v>
      </c>
      <c r="C36" s="3">
        <v>2.2000000000000002</v>
      </c>
      <c r="D36" s="3">
        <v>1.4499993599999998</v>
      </c>
      <c r="E36" s="3">
        <v>1.2438720000000001</v>
      </c>
      <c r="F36" s="3"/>
      <c r="G36" s="3">
        <v>1.6792272000000001</v>
      </c>
      <c r="H36" s="3">
        <v>0.47300000000000009</v>
      </c>
      <c r="I36" s="3">
        <v>3.7800000000000002</v>
      </c>
      <c r="K36" s="20">
        <f t="shared" si="0"/>
        <v>18.618660479999999</v>
      </c>
      <c r="L36" s="114"/>
      <c r="M36" s="114"/>
      <c r="N36" s="2">
        <v>4.5</v>
      </c>
      <c r="O36" s="3">
        <f t="shared" si="2"/>
        <v>23.118660479999999</v>
      </c>
    </row>
    <row r="37" spans="1:15" x14ac:dyDescent="0.25">
      <c r="A37" s="8" t="s">
        <v>80</v>
      </c>
      <c r="B37" s="3">
        <v>9.0913222400000002</v>
      </c>
      <c r="C37" s="3">
        <v>2.75</v>
      </c>
      <c r="D37" s="3">
        <v>1.6916659199999997</v>
      </c>
      <c r="E37" s="3">
        <v>1.451184</v>
      </c>
      <c r="F37" s="3">
        <v>5.3549999999999995</v>
      </c>
      <c r="G37" s="3">
        <v>1.9590984</v>
      </c>
      <c r="H37" s="3">
        <v>0.47300000000000009</v>
      </c>
      <c r="I37" s="3">
        <v>4.41</v>
      </c>
      <c r="K37" s="20">
        <f t="shared" si="0"/>
        <v>27.181270559999998</v>
      </c>
      <c r="L37" s="114"/>
      <c r="M37" s="114"/>
      <c r="N37" s="2">
        <v>4.5</v>
      </c>
      <c r="O37" s="3">
        <f t="shared" si="2"/>
        <v>31.681270559999998</v>
      </c>
    </row>
    <row r="38" spans="1:15" x14ac:dyDescent="0.25">
      <c r="A38" s="8" t="s">
        <v>82</v>
      </c>
      <c r="B38" s="3">
        <v>10.390082560000002</v>
      </c>
      <c r="C38" s="3">
        <v>3.8500000000000005</v>
      </c>
      <c r="D38" s="3">
        <v>1.9333324799999998</v>
      </c>
      <c r="E38" s="3">
        <v>1.6584960000000002</v>
      </c>
      <c r="F38" s="3">
        <v>5.3549999999999995</v>
      </c>
      <c r="G38" s="3">
        <v>2.2389695999999999</v>
      </c>
      <c r="H38" s="3">
        <v>0.47300000000000009</v>
      </c>
      <c r="I38" s="3">
        <v>5.04</v>
      </c>
      <c r="K38" s="20">
        <f t="shared" si="0"/>
        <v>30.938880640000001</v>
      </c>
      <c r="L38" s="114"/>
      <c r="M38" s="114"/>
      <c r="N38" s="2">
        <v>4.5</v>
      </c>
      <c r="O38" s="3">
        <f t="shared" si="2"/>
        <v>35.438880640000001</v>
      </c>
    </row>
    <row r="39" spans="1:15" x14ac:dyDescent="0.25">
      <c r="A39" s="8" t="s">
        <v>84</v>
      </c>
      <c r="B39" s="3">
        <v>11.688842879999999</v>
      </c>
      <c r="C39" s="3">
        <v>4.95</v>
      </c>
      <c r="D39" s="3">
        <v>2.1749990399999999</v>
      </c>
      <c r="E39" s="3">
        <v>1.8658079999999999</v>
      </c>
      <c r="F39" s="3">
        <v>7.665</v>
      </c>
      <c r="G39" s="3">
        <v>2.5188408</v>
      </c>
      <c r="H39" s="3">
        <v>0.47300000000000009</v>
      </c>
      <c r="I39" s="3">
        <v>6.3000000000000007</v>
      </c>
      <c r="K39" s="20">
        <f t="shared" si="0"/>
        <v>37.636490719999998</v>
      </c>
      <c r="L39" s="114"/>
      <c r="M39" s="114"/>
      <c r="N39" s="2">
        <v>4.5</v>
      </c>
      <c r="O39" s="3">
        <f t="shared" si="2"/>
        <v>42.136490719999998</v>
      </c>
    </row>
    <row r="40" spans="1:15" x14ac:dyDescent="0.25">
      <c r="A40" s="8" t="s">
        <v>86</v>
      </c>
      <c r="B40" s="3">
        <v>12.987603199999999</v>
      </c>
      <c r="C40" s="3">
        <v>5.5</v>
      </c>
      <c r="D40" s="3">
        <v>7.3921535999999994</v>
      </c>
      <c r="E40" s="3">
        <v>2.4877440000000002</v>
      </c>
      <c r="F40" s="3">
        <v>7.665</v>
      </c>
      <c r="G40" s="3">
        <v>2.7987120000000001</v>
      </c>
      <c r="H40" s="3">
        <v>0.47300000000000009</v>
      </c>
      <c r="I40" s="3">
        <v>6.3000000000000007</v>
      </c>
      <c r="K40" s="20">
        <f t="shared" si="0"/>
        <v>45.604212799999999</v>
      </c>
      <c r="L40" s="114"/>
      <c r="M40" s="114"/>
      <c r="N40" s="2">
        <v>4.5</v>
      </c>
      <c r="O40" s="3">
        <f t="shared" si="2"/>
        <v>50.104212799999999</v>
      </c>
    </row>
    <row r="41" spans="1:15" x14ac:dyDescent="0.25">
      <c r="A41" s="8" t="s">
        <v>88</v>
      </c>
      <c r="B41" s="3">
        <v>15.58512384</v>
      </c>
      <c r="C41" s="3">
        <v>5.5</v>
      </c>
      <c r="D41" s="3">
        <v>8.8705843200000007</v>
      </c>
      <c r="E41" s="3">
        <v>3.7316159999999998</v>
      </c>
      <c r="F41" s="3">
        <v>7.665</v>
      </c>
      <c r="G41" s="3">
        <v>3.3584544000000003</v>
      </c>
      <c r="H41" s="3">
        <v>0.47300000000000009</v>
      </c>
      <c r="I41" s="3">
        <v>6.3000000000000007</v>
      </c>
      <c r="K41" s="20">
        <f t="shared" si="0"/>
        <v>51.483778560000005</v>
      </c>
      <c r="L41" s="114"/>
      <c r="M41" s="114"/>
      <c r="N41" s="2">
        <v>4.5</v>
      </c>
      <c r="O41" s="3">
        <f t="shared" si="2"/>
        <v>55.983778560000005</v>
      </c>
    </row>
    <row r="42" spans="1:15" x14ac:dyDescent="0.25">
      <c r="A42" s="9" t="s">
        <v>168</v>
      </c>
      <c r="B42" s="3">
        <v>12.175878000000001</v>
      </c>
      <c r="C42" s="3">
        <v>2.4200000000000004</v>
      </c>
      <c r="D42" s="3">
        <v>2.2656239999999999</v>
      </c>
      <c r="E42" s="3">
        <v>1.9435499999999999</v>
      </c>
      <c r="F42" s="3">
        <v>2.415</v>
      </c>
      <c r="G42" s="3">
        <v>2.6237925</v>
      </c>
      <c r="H42" s="3">
        <v>0.47300000000000009</v>
      </c>
      <c r="I42" s="3">
        <v>3.7800000000000002</v>
      </c>
      <c r="K42" s="20">
        <f t="shared" si="0"/>
        <v>28.096844500000003</v>
      </c>
      <c r="L42" s="114"/>
      <c r="M42" s="114"/>
      <c r="N42" s="2">
        <v>4.5</v>
      </c>
      <c r="O42" s="3">
        <f t="shared" si="2"/>
        <v>32.596844500000003</v>
      </c>
    </row>
    <row r="43" spans="1:15" x14ac:dyDescent="0.25">
      <c r="A43" s="9" t="s">
        <v>170</v>
      </c>
      <c r="B43" s="3">
        <v>22.448002500000001</v>
      </c>
      <c r="C43" s="3">
        <v>3.08</v>
      </c>
      <c r="D43" s="3">
        <v>2.6432280000000001</v>
      </c>
      <c r="E43" s="3">
        <v>2.2674750000000006</v>
      </c>
      <c r="F43" s="3">
        <v>6.8250000000000002</v>
      </c>
      <c r="G43" s="3">
        <v>3.0610912500000005</v>
      </c>
      <c r="H43" s="3">
        <v>0.47300000000000009</v>
      </c>
      <c r="I43" s="3">
        <v>4.41</v>
      </c>
      <c r="K43" s="20">
        <f t="shared" si="0"/>
        <v>45.20779675</v>
      </c>
      <c r="L43" s="114"/>
      <c r="M43" s="114"/>
      <c r="N43" s="2" t="s">
        <v>575</v>
      </c>
      <c r="O43" s="3" t="s">
        <v>575</v>
      </c>
    </row>
    <row r="44" spans="1:15" x14ac:dyDescent="0.25">
      <c r="A44" s="9" t="s">
        <v>172</v>
      </c>
      <c r="B44" s="3">
        <v>25.654859999999999</v>
      </c>
      <c r="C44" s="3">
        <v>4.18</v>
      </c>
      <c r="D44" s="3">
        <v>3.020832</v>
      </c>
      <c r="E44" s="3">
        <v>2.5914000000000001</v>
      </c>
      <c r="F44" s="3">
        <v>6.8250000000000002</v>
      </c>
      <c r="G44" s="3">
        <v>3.4983900000000001</v>
      </c>
      <c r="H44" s="3">
        <v>0.47300000000000009</v>
      </c>
      <c r="I44" s="3">
        <v>5.04</v>
      </c>
      <c r="K44" s="20">
        <f t="shared" si="0"/>
        <v>51.283481999999999</v>
      </c>
      <c r="L44" s="114"/>
      <c r="M44" s="114"/>
      <c r="N44" s="2" t="s">
        <v>575</v>
      </c>
      <c r="O44" s="3" t="s">
        <v>575</v>
      </c>
    </row>
    <row r="45" spans="1:15" x14ac:dyDescent="0.25">
      <c r="A45" s="9" t="s">
        <v>174</v>
      </c>
      <c r="B45" s="3">
        <v>23.584825000000002</v>
      </c>
      <c r="C45" s="3">
        <v>6.6000000000000005</v>
      </c>
      <c r="D45" s="3">
        <v>11.550240000000001</v>
      </c>
      <c r="E45" s="3">
        <v>3.8871000000000002</v>
      </c>
      <c r="F45" s="3">
        <v>7.665</v>
      </c>
      <c r="G45" s="3">
        <v>4.3729874999999998</v>
      </c>
      <c r="H45" s="3">
        <v>0.47300000000000009</v>
      </c>
      <c r="I45" s="3">
        <v>6.3000000000000007</v>
      </c>
      <c r="K45" s="20">
        <f t="shared" si="0"/>
        <v>64.433152500000006</v>
      </c>
      <c r="L45" s="114"/>
      <c r="M45" s="114"/>
      <c r="N45" s="2" t="s">
        <v>575</v>
      </c>
      <c r="O45" s="3" t="s">
        <v>575</v>
      </c>
    </row>
    <row r="46" spans="1:15" x14ac:dyDescent="0.25">
      <c r="A46" s="9" t="s">
        <v>176</v>
      </c>
      <c r="B46" s="3">
        <v>24.636810000000004</v>
      </c>
      <c r="C46" s="3">
        <v>6.6000000000000005</v>
      </c>
      <c r="D46" s="3">
        <v>13.860287999999999</v>
      </c>
      <c r="E46" s="3">
        <v>5.8306499999999994</v>
      </c>
      <c r="F46" s="3">
        <v>7.665</v>
      </c>
      <c r="G46" s="3">
        <v>5.2475849999999999</v>
      </c>
      <c r="H46" s="3">
        <v>0.47300000000000009</v>
      </c>
      <c r="I46" s="3">
        <v>6.3000000000000007</v>
      </c>
      <c r="K46" s="20">
        <f t="shared" si="0"/>
        <v>70.613333000000011</v>
      </c>
      <c r="L46" s="114"/>
      <c r="M46" s="114"/>
      <c r="N46" s="2" t="s">
        <v>575</v>
      </c>
      <c r="O46" s="3" t="s">
        <v>575</v>
      </c>
    </row>
    <row r="47" spans="1:15" x14ac:dyDescent="0.25">
      <c r="A47" s="10" t="s">
        <v>90</v>
      </c>
      <c r="B47" s="3">
        <v>0.68022028800000001</v>
      </c>
      <c r="C47" s="3">
        <v>1.2100000000000002</v>
      </c>
      <c r="D47" s="3">
        <v>0.1199448</v>
      </c>
      <c r="E47" s="3">
        <v>0.24488729999999997</v>
      </c>
      <c r="F47" s="3">
        <v>1.1445000000000001</v>
      </c>
      <c r="G47" s="3">
        <v>0.36749999999999999</v>
      </c>
      <c r="H47" s="3">
        <v>0.31900000000000006</v>
      </c>
      <c r="I47" s="3">
        <v>0</v>
      </c>
      <c r="K47" s="20">
        <f t="shared" si="0"/>
        <v>4.0860523880000006</v>
      </c>
      <c r="L47" s="114"/>
      <c r="M47" s="114"/>
      <c r="N47" s="2" t="s">
        <v>575</v>
      </c>
      <c r="O47" s="3" t="s">
        <v>575</v>
      </c>
    </row>
    <row r="48" spans="1:15" x14ac:dyDescent="0.25">
      <c r="A48" s="10" t="s">
        <v>92</v>
      </c>
      <c r="B48" s="3">
        <v>0.79359033599999995</v>
      </c>
      <c r="C48" s="3">
        <v>1.2100000000000002</v>
      </c>
      <c r="D48" s="3">
        <v>0.13993560000000002</v>
      </c>
      <c r="E48" s="3">
        <v>0.28570185000000003</v>
      </c>
      <c r="F48" s="3">
        <v>1.1445000000000001</v>
      </c>
      <c r="G48" s="3">
        <v>0.36749999999999999</v>
      </c>
      <c r="H48" s="3">
        <v>0.31900000000000006</v>
      </c>
      <c r="I48" s="3">
        <v>1.0584</v>
      </c>
      <c r="K48" s="20">
        <f t="shared" si="0"/>
        <v>5.3186277860000004</v>
      </c>
      <c r="L48" s="114"/>
      <c r="M48" s="114"/>
      <c r="N48" s="2" t="s">
        <v>575</v>
      </c>
      <c r="O48" s="3" t="s">
        <v>575</v>
      </c>
    </row>
    <row r="49" spans="1:15" x14ac:dyDescent="0.25">
      <c r="A49" s="10" t="s">
        <v>94</v>
      </c>
      <c r="B49" s="3">
        <v>0.90696038400000001</v>
      </c>
      <c r="C49" s="3">
        <v>1.2100000000000002</v>
      </c>
      <c r="D49" s="3">
        <v>0.1599264</v>
      </c>
      <c r="E49" s="3">
        <v>0.32651640000000004</v>
      </c>
      <c r="F49" s="3">
        <v>1.827</v>
      </c>
      <c r="G49" s="3">
        <v>0.36749999999999999</v>
      </c>
      <c r="H49" s="3">
        <v>0.31900000000000006</v>
      </c>
      <c r="I49" s="3">
        <v>1.2096</v>
      </c>
      <c r="K49" s="20">
        <f t="shared" si="0"/>
        <v>6.3265031839999999</v>
      </c>
      <c r="L49" s="114"/>
      <c r="M49" s="114"/>
      <c r="N49" s="2" t="s">
        <v>575</v>
      </c>
      <c r="O49" s="3" t="s">
        <v>575</v>
      </c>
    </row>
    <row r="50" spans="1:15" x14ac:dyDescent="0.25">
      <c r="A50" s="10" t="s">
        <v>96</v>
      </c>
      <c r="B50" s="3">
        <v>1.048672944</v>
      </c>
      <c r="C50" s="3">
        <v>1.1000000000000001</v>
      </c>
      <c r="D50" s="3">
        <v>0.18491489999999999</v>
      </c>
      <c r="E50" s="3">
        <v>0.37753458749999996</v>
      </c>
      <c r="F50" s="3">
        <v>1.827</v>
      </c>
      <c r="G50" s="3">
        <v>0.36749999999999999</v>
      </c>
      <c r="H50" s="3">
        <v>0.31900000000000006</v>
      </c>
      <c r="I50" s="3">
        <v>1.8648</v>
      </c>
      <c r="K50" s="20">
        <f t="shared" si="0"/>
        <v>7.0894224314999992</v>
      </c>
      <c r="L50" s="114"/>
      <c r="M50" s="114"/>
      <c r="N50" s="2" t="s">
        <v>575</v>
      </c>
      <c r="O50" s="3" t="s">
        <v>575</v>
      </c>
    </row>
    <row r="51" spans="1:15" x14ac:dyDescent="0.25">
      <c r="A51" s="10" t="s">
        <v>98</v>
      </c>
      <c r="B51" s="3">
        <v>1.190385504</v>
      </c>
      <c r="C51" s="3">
        <v>1.6500000000000001</v>
      </c>
      <c r="D51" s="3">
        <v>0.20990340000000002</v>
      </c>
      <c r="E51" s="3">
        <v>0.428552775</v>
      </c>
      <c r="F51" s="3">
        <v>3.8115000000000001</v>
      </c>
      <c r="G51" s="3">
        <v>0.36749999999999999</v>
      </c>
      <c r="H51" s="3">
        <v>0.31900000000000006</v>
      </c>
      <c r="I51" s="3">
        <v>2.1168</v>
      </c>
      <c r="K51" s="20">
        <f t="shared" si="0"/>
        <v>10.093641679000001</v>
      </c>
      <c r="L51" s="114"/>
      <c r="M51" s="114"/>
      <c r="N51" s="2" t="s">
        <v>575</v>
      </c>
      <c r="O51" s="3" t="s">
        <v>575</v>
      </c>
    </row>
    <row r="52" spans="1:15" x14ac:dyDescent="0.25">
      <c r="A52" s="10" t="s">
        <v>100</v>
      </c>
      <c r="B52" s="3">
        <v>1.4738106240000002</v>
      </c>
      <c r="C52" s="3">
        <v>1.87</v>
      </c>
      <c r="D52" s="3">
        <v>0.25988040000000001</v>
      </c>
      <c r="E52" s="3">
        <v>0.53058915000000006</v>
      </c>
      <c r="F52" s="3">
        <v>3.8115000000000001</v>
      </c>
      <c r="G52" s="3">
        <v>0.36749999999999999</v>
      </c>
      <c r="H52" s="3">
        <v>0.31900000000000006</v>
      </c>
      <c r="I52" s="3">
        <v>2.6208</v>
      </c>
      <c r="K52" s="20">
        <f t="shared" si="0"/>
        <v>11.253080174000001</v>
      </c>
      <c r="L52" s="114"/>
      <c r="M52" s="114"/>
      <c r="N52" s="2" t="s">
        <v>575</v>
      </c>
      <c r="O52" s="3" t="s">
        <v>575</v>
      </c>
    </row>
    <row r="53" spans="1:15" x14ac:dyDescent="0.25">
      <c r="A53" s="10" t="s">
        <v>102</v>
      </c>
      <c r="B53" s="3">
        <v>1.7572357440000002</v>
      </c>
      <c r="C53" s="3">
        <v>2.4200000000000004</v>
      </c>
      <c r="D53" s="3">
        <v>0.30985740000000006</v>
      </c>
      <c r="E53" s="3">
        <v>0.63262552500000002</v>
      </c>
      <c r="F53" s="3">
        <v>3.8115000000000001</v>
      </c>
      <c r="G53" s="3">
        <v>0.36749999999999999</v>
      </c>
      <c r="H53" s="3">
        <v>0.31900000000000006</v>
      </c>
      <c r="I53" s="3">
        <v>3.9060000000000001</v>
      </c>
      <c r="K53" s="20">
        <f t="shared" si="0"/>
        <v>13.523718669000001</v>
      </c>
      <c r="L53" s="114"/>
      <c r="M53" s="114"/>
      <c r="N53" s="2" t="s">
        <v>575</v>
      </c>
      <c r="O53" s="3" t="s">
        <v>575</v>
      </c>
    </row>
    <row r="54" spans="1:15" x14ac:dyDescent="0.25">
      <c r="A54" s="10" t="s">
        <v>104</v>
      </c>
      <c r="B54" s="3">
        <v>2.0406608639999999</v>
      </c>
      <c r="C54" s="3">
        <v>3.5200000000000005</v>
      </c>
      <c r="D54" s="3">
        <v>0.3598344</v>
      </c>
      <c r="E54" s="3">
        <v>0.73466190000000009</v>
      </c>
      <c r="F54" s="3">
        <v>3.8115000000000001</v>
      </c>
      <c r="G54" s="3">
        <v>0.36749999999999999</v>
      </c>
      <c r="H54" s="3">
        <v>0.31900000000000006</v>
      </c>
      <c r="I54" s="3">
        <v>4.5360000000000005</v>
      </c>
      <c r="K54" s="20">
        <f t="shared" si="0"/>
        <v>15.689157164000001</v>
      </c>
      <c r="L54" s="114"/>
      <c r="M54" s="114"/>
      <c r="N54" s="2" t="s">
        <v>575</v>
      </c>
      <c r="O54" s="3" t="s">
        <v>575</v>
      </c>
    </row>
    <row r="55" spans="1:15" x14ac:dyDescent="0.25">
      <c r="A55" s="11" t="s">
        <v>106</v>
      </c>
      <c r="B55" s="3">
        <v>1.039327245</v>
      </c>
      <c r="C55" s="3">
        <v>1.2100000000000002</v>
      </c>
      <c r="D55" s="3">
        <v>0.15670565999999997</v>
      </c>
      <c r="E55" s="3">
        <v>0.16131465</v>
      </c>
      <c r="F55" s="3">
        <v>0.91349999999999998</v>
      </c>
      <c r="G55" s="3">
        <v>0.2016433125</v>
      </c>
      <c r="H55" s="3">
        <v>0.41800000000000004</v>
      </c>
      <c r="I55" s="3">
        <v>0</v>
      </c>
      <c r="K55" s="20">
        <f t="shared" si="0"/>
        <v>4.1004908675000005</v>
      </c>
      <c r="L55" s="114"/>
      <c r="M55" s="114"/>
      <c r="N55" s="2">
        <v>4.2</v>
      </c>
      <c r="O55" s="3">
        <f t="shared" si="2"/>
        <v>8.3004908675000006</v>
      </c>
    </row>
    <row r="56" spans="1:15" x14ac:dyDescent="0.25">
      <c r="A56" s="11" t="s">
        <v>108</v>
      </c>
      <c r="B56" s="3">
        <v>1.7530821000000001</v>
      </c>
      <c r="C56" s="3">
        <v>1.2100000000000002</v>
      </c>
      <c r="D56" s="3">
        <v>0.26432279999999997</v>
      </c>
      <c r="E56" s="3">
        <v>0.27209700000000003</v>
      </c>
      <c r="F56" s="3">
        <v>1.1550000000000002</v>
      </c>
      <c r="G56" s="3">
        <v>0.34012124999999999</v>
      </c>
      <c r="H56" s="3">
        <v>0.41800000000000004</v>
      </c>
      <c r="I56" s="3">
        <v>0</v>
      </c>
      <c r="K56" s="20">
        <f t="shared" si="0"/>
        <v>5.4126231500000008</v>
      </c>
      <c r="L56" s="114"/>
      <c r="M56" s="114"/>
      <c r="N56" s="2">
        <v>4.2</v>
      </c>
      <c r="O56" s="3">
        <f t="shared" si="2"/>
        <v>9.612623150000001</v>
      </c>
    </row>
    <row r="57" spans="1:15" x14ac:dyDescent="0.25">
      <c r="A57" s="11" t="s">
        <v>110</v>
      </c>
      <c r="B57" s="3">
        <v>2.0035224</v>
      </c>
      <c r="C57" s="3">
        <v>1.2100000000000002</v>
      </c>
      <c r="D57" s="3">
        <v>0.3020832</v>
      </c>
      <c r="E57" s="3">
        <v>0.31096800000000002</v>
      </c>
      <c r="F57" s="3">
        <v>1.47</v>
      </c>
      <c r="G57" s="3">
        <v>0.38871</v>
      </c>
      <c r="H57" s="3">
        <v>0.41800000000000004</v>
      </c>
      <c r="I57" s="3">
        <v>0</v>
      </c>
      <c r="K57" s="20">
        <f t="shared" si="0"/>
        <v>6.1032835999999993</v>
      </c>
      <c r="L57" s="114"/>
      <c r="M57" s="114"/>
      <c r="N57" s="2">
        <v>4.2</v>
      </c>
      <c r="O57" s="3">
        <f t="shared" si="2"/>
        <v>10.3032836</v>
      </c>
    </row>
    <row r="58" spans="1:15" x14ac:dyDescent="0.25">
      <c r="A58" s="11" t="s">
        <v>112</v>
      </c>
      <c r="B58" s="3">
        <v>2.316572775</v>
      </c>
      <c r="C58" s="3">
        <v>1.1000000000000001</v>
      </c>
      <c r="D58" s="3">
        <v>0.34928369999999997</v>
      </c>
      <c r="E58" s="3">
        <v>0.35955675000000004</v>
      </c>
      <c r="F58" s="3">
        <v>1.47</v>
      </c>
      <c r="G58" s="3">
        <v>0.44944593749999995</v>
      </c>
      <c r="H58" s="3">
        <v>0.41800000000000004</v>
      </c>
      <c r="I58" s="3">
        <v>0</v>
      </c>
      <c r="K58" s="20">
        <f t="shared" si="0"/>
        <v>6.4628591625</v>
      </c>
      <c r="L58" s="114"/>
      <c r="M58" s="114"/>
      <c r="N58" s="2">
        <v>4.2</v>
      </c>
      <c r="O58" s="3">
        <f t="shared" si="2"/>
        <v>10.6628591625</v>
      </c>
    </row>
    <row r="59" spans="1:15" x14ac:dyDescent="0.25">
      <c r="A59" s="11" t="s">
        <v>114</v>
      </c>
      <c r="B59" s="3">
        <v>2.62962315</v>
      </c>
      <c r="C59" s="3">
        <v>1.6500000000000001</v>
      </c>
      <c r="D59" s="3">
        <v>0.39648419999999995</v>
      </c>
      <c r="E59" s="3">
        <v>0.40814550000000005</v>
      </c>
      <c r="F59" s="3">
        <v>1.8900000000000001</v>
      </c>
      <c r="G59" s="3">
        <v>0.51018187500000001</v>
      </c>
      <c r="H59" s="3">
        <v>0.41800000000000004</v>
      </c>
      <c r="I59" s="3">
        <v>0</v>
      </c>
      <c r="K59" s="20">
        <f t="shared" si="0"/>
        <v>7.9024347250000009</v>
      </c>
      <c r="L59" s="114"/>
      <c r="M59" s="114"/>
      <c r="N59" s="2">
        <v>4.2</v>
      </c>
      <c r="O59" s="3">
        <f t="shared" si="2"/>
        <v>12.102434725000002</v>
      </c>
    </row>
    <row r="60" spans="1:15" x14ac:dyDescent="0.25">
      <c r="A60" s="11" t="s">
        <v>116</v>
      </c>
      <c r="B60" s="3">
        <v>3.2557239000000004</v>
      </c>
      <c r="C60" s="3">
        <v>1.87</v>
      </c>
      <c r="D60" s="3">
        <v>0.49088520000000002</v>
      </c>
      <c r="E60" s="3">
        <v>0.50532300000000008</v>
      </c>
      <c r="F60" s="3">
        <v>2.625</v>
      </c>
      <c r="G60" s="3">
        <v>0.63165375000000001</v>
      </c>
      <c r="H60" s="3">
        <v>0.41800000000000004</v>
      </c>
      <c r="I60" s="3">
        <v>2.6208</v>
      </c>
      <c r="K60" s="20">
        <f t="shared" si="0"/>
        <v>12.417385849999999</v>
      </c>
      <c r="L60" s="114"/>
      <c r="M60" s="114"/>
      <c r="N60" s="2">
        <v>4.2</v>
      </c>
      <c r="O60" s="3">
        <f t="shared" si="2"/>
        <v>16.617385849999998</v>
      </c>
    </row>
    <row r="61" spans="1:15" x14ac:dyDescent="0.25">
      <c r="A61" s="11" t="s">
        <v>118</v>
      </c>
      <c r="B61" s="3">
        <v>3.8818246500000004</v>
      </c>
      <c r="C61" s="3">
        <v>2.4200000000000004</v>
      </c>
      <c r="D61" s="3">
        <v>0.58528619999999998</v>
      </c>
      <c r="E61" s="3">
        <v>0.60250050000000011</v>
      </c>
      <c r="F61" s="3">
        <v>3.8115000000000001</v>
      </c>
      <c r="G61" s="3">
        <v>0.75312562500000002</v>
      </c>
      <c r="H61" s="3">
        <v>0.41800000000000004</v>
      </c>
      <c r="I61" s="3">
        <v>3.9060000000000001</v>
      </c>
      <c r="K61" s="20">
        <f t="shared" si="0"/>
        <v>16.378236975</v>
      </c>
      <c r="L61" s="114"/>
      <c r="M61" s="114"/>
      <c r="N61" s="2">
        <v>4.2</v>
      </c>
      <c r="O61" s="3">
        <f t="shared" si="2"/>
        <v>20.578236974999999</v>
      </c>
    </row>
    <row r="62" spans="1:15" x14ac:dyDescent="0.25">
      <c r="A62" s="11" t="s">
        <v>120</v>
      </c>
      <c r="B62" s="3">
        <v>4.5079254000000004</v>
      </c>
      <c r="C62" s="3">
        <v>3.5200000000000005</v>
      </c>
      <c r="D62" s="3">
        <v>0.67968719999999994</v>
      </c>
      <c r="E62" s="3">
        <v>0.69967800000000013</v>
      </c>
      <c r="F62" s="3">
        <v>3.8115000000000001</v>
      </c>
      <c r="G62" s="3">
        <v>0.87459749999999992</v>
      </c>
      <c r="H62" s="3">
        <v>0.41800000000000004</v>
      </c>
      <c r="I62" s="3">
        <v>4.5360000000000005</v>
      </c>
      <c r="K62" s="20">
        <f t="shared" si="0"/>
        <v>19.047388100000003</v>
      </c>
      <c r="L62" s="114"/>
      <c r="M62" s="114"/>
      <c r="N62" s="2">
        <v>4.2</v>
      </c>
      <c r="O62" s="3">
        <f t="shared" si="2"/>
        <v>23.247388100000002</v>
      </c>
    </row>
    <row r="63" spans="1:15" x14ac:dyDescent="0.25">
      <c r="A63" s="11" t="s">
        <v>122</v>
      </c>
      <c r="B63" s="3">
        <v>5.1340261500000004</v>
      </c>
      <c r="C63" s="3">
        <v>3.5200000000000005</v>
      </c>
      <c r="D63" s="3">
        <v>0.77408819999999989</v>
      </c>
      <c r="E63" s="3">
        <v>0.79685550000000016</v>
      </c>
      <c r="F63" s="3">
        <v>4.8615000000000004</v>
      </c>
      <c r="G63" s="3">
        <v>0.99606937500000003</v>
      </c>
      <c r="H63" s="3">
        <v>0.41800000000000004</v>
      </c>
      <c r="I63" s="3">
        <v>6.3000000000000007</v>
      </c>
      <c r="K63" s="20">
        <f t="shared" si="0"/>
        <v>22.800539225000001</v>
      </c>
      <c r="L63" s="114"/>
      <c r="M63" s="114"/>
      <c r="N63" s="2">
        <v>4.2</v>
      </c>
      <c r="O63" s="3">
        <f t="shared" si="2"/>
        <v>27.000539225000001</v>
      </c>
    </row>
    <row r="64" spans="1:15" x14ac:dyDescent="0.25">
      <c r="A64" s="11" t="s">
        <v>124</v>
      </c>
      <c r="B64" s="3">
        <v>5.7601269000000004</v>
      </c>
      <c r="C64" s="3">
        <v>3.5200000000000005</v>
      </c>
      <c r="D64" s="3">
        <v>0.86848919999999985</v>
      </c>
      <c r="E64" s="3">
        <v>1.3410495</v>
      </c>
      <c r="F64" s="3">
        <v>4.8615000000000004</v>
      </c>
      <c r="G64" s="3">
        <v>1.1175412499999999</v>
      </c>
      <c r="H64" s="3">
        <v>0.41800000000000004</v>
      </c>
      <c r="I64" s="3">
        <v>6.3000000000000007</v>
      </c>
      <c r="K64" s="20">
        <f t="shared" si="0"/>
        <v>24.18670685</v>
      </c>
      <c r="L64" s="114"/>
      <c r="M64" s="114"/>
      <c r="N64" s="2">
        <v>4.2</v>
      </c>
      <c r="O64" s="3">
        <f t="shared" si="2"/>
        <v>28.386706849999999</v>
      </c>
    </row>
    <row r="65" spans="1:15" x14ac:dyDescent="0.25">
      <c r="A65" s="11" t="s">
        <v>126</v>
      </c>
      <c r="B65" s="3">
        <v>7.0123284000000004</v>
      </c>
      <c r="C65" s="3">
        <v>3.5200000000000005</v>
      </c>
      <c r="D65" s="3">
        <v>3.2340671999999997</v>
      </c>
      <c r="E65" s="3">
        <v>1.6325820000000002</v>
      </c>
      <c r="F65" s="3">
        <v>6.8565000000000005</v>
      </c>
      <c r="G65" s="3">
        <v>1.3604849999999999</v>
      </c>
      <c r="H65" s="3">
        <v>0.41800000000000004</v>
      </c>
      <c r="I65" s="3">
        <v>6.3000000000000007</v>
      </c>
      <c r="K65" s="20">
        <f t="shared" si="0"/>
        <v>30.3339626</v>
      </c>
      <c r="L65" s="114"/>
      <c r="M65" s="114"/>
      <c r="N65" s="2">
        <v>4.2</v>
      </c>
      <c r="O65" s="3">
        <f t="shared" si="2"/>
        <v>34.533962600000002</v>
      </c>
    </row>
    <row r="66" spans="1:15" x14ac:dyDescent="0.25">
      <c r="A66" s="12" t="s">
        <v>128</v>
      </c>
      <c r="B66" s="3">
        <v>1.2127174488000001</v>
      </c>
      <c r="C66" s="3">
        <v>1.1000000000000001</v>
      </c>
      <c r="D66" s="3">
        <v>0.22565615040000001</v>
      </c>
      <c r="E66" s="3">
        <v>9.678879E-2</v>
      </c>
      <c r="F66" s="3">
        <v>0.91349999999999998</v>
      </c>
      <c r="G66" s="3">
        <v>0.26132973300000001</v>
      </c>
      <c r="H66" s="3">
        <v>0.45100000000000007</v>
      </c>
      <c r="I66" s="3">
        <v>0</v>
      </c>
      <c r="K66" s="20">
        <f t="shared" si="0"/>
        <v>4.2609921222000002</v>
      </c>
      <c r="L66" s="114"/>
      <c r="M66" s="114"/>
      <c r="N66" s="2">
        <v>4.2</v>
      </c>
      <c r="O66" s="3">
        <f t="shared" si="2"/>
        <v>8.4609921222000004</v>
      </c>
    </row>
    <row r="67" spans="1:15" x14ac:dyDescent="0.25">
      <c r="A67" s="12" t="s">
        <v>130</v>
      </c>
      <c r="B67" s="3">
        <v>2.629989648</v>
      </c>
      <c r="C67" s="3">
        <v>1.2100000000000002</v>
      </c>
      <c r="D67" s="3">
        <v>0.4893747839999999</v>
      </c>
      <c r="E67" s="3">
        <v>0.20990340000000002</v>
      </c>
      <c r="F67" s="3">
        <v>1.47</v>
      </c>
      <c r="G67" s="3">
        <v>0.56673918000000001</v>
      </c>
      <c r="H67" s="3">
        <v>0.45100000000000007</v>
      </c>
      <c r="I67" s="3">
        <v>0</v>
      </c>
      <c r="K67" s="20">
        <f t="shared" si="0"/>
        <v>7.0270070120000003</v>
      </c>
      <c r="L67" s="114"/>
      <c r="M67" s="114"/>
      <c r="N67" s="2">
        <v>4.2</v>
      </c>
      <c r="O67" s="3">
        <f t="shared" si="2"/>
        <v>11.227007012000001</v>
      </c>
    </row>
    <row r="68" spans="1:15" x14ac:dyDescent="0.25">
      <c r="A68" s="12" t="s">
        <v>132</v>
      </c>
      <c r="B68" s="3">
        <v>2.9952659880000003</v>
      </c>
      <c r="C68" s="3">
        <v>1.4300000000000002</v>
      </c>
      <c r="D68" s="3">
        <v>0.55734350399999999</v>
      </c>
      <c r="E68" s="3">
        <v>0.23905664999999998</v>
      </c>
      <c r="F68" s="3">
        <v>1.8900000000000001</v>
      </c>
      <c r="G68" s="3">
        <v>0.64545295499999999</v>
      </c>
      <c r="H68" s="3">
        <v>0.45100000000000007</v>
      </c>
      <c r="I68" s="3">
        <v>0</v>
      </c>
      <c r="K68" s="20">
        <f t="shared" ref="K68:K131" si="3">I68+H68+G68+F68+E68+D68+C68+B68</f>
        <v>8.2081190970000009</v>
      </c>
      <c r="L68" s="114"/>
      <c r="M68" s="114"/>
      <c r="N68" s="2">
        <v>4.2</v>
      </c>
      <c r="O68" s="3">
        <f t="shared" ref="O68:O131" si="4">N68+K68</f>
        <v>12.408119097</v>
      </c>
    </row>
    <row r="69" spans="1:15" x14ac:dyDescent="0.25">
      <c r="A69" s="12" t="s">
        <v>134</v>
      </c>
      <c r="B69" s="3">
        <v>3.3605423280000002</v>
      </c>
      <c r="C69" s="3">
        <v>1.4300000000000002</v>
      </c>
      <c r="D69" s="3">
        <v>0.62531222399999986</v>
      </c>
      <c r="E69" s="3">
        <v>0.2682099</v>
      </c>
      <c r="F69" s="3">
        <v>1.8900000000000001</v>
      </c>
      <c r="G69" s="3">
        <v>0.72416672999999998</v>
      </c>
      <c r="H69" s="3">
        <v>0.45100000000000007</v>
      </c>
      <c r="I69" s="3">
        <v>0</v>
      </c>
      <c r="K69" s="20">
        <f t="shared" si="3"/>
        <v>8.7492311819999991</v>
      </c>
      <c r="L69" s="114"/>
      <c r="M69" s="114"/>
      <c r="N69" s="2">
        <v>4.2</v>
      </c>
      <c r="O69" s="3">
        <f t="shared" si="4"/>
        <v>12.949231181999998</v>
      </c>
    </row>
    <row r="70" spans="1:15" x14ac:dyDescent="0.25">
      <c r="A70" s="12" t="s">
        <v>136</v>
      </c>
      <c r="B70" s="3">
        <v>4.0910950079999999</v>
      </c>
      <c r="C70" s="3">
        <v>1.6500000000000001</v>
      </c>
      <c r="D70" s="3">
        <v>0.76124966399999994</v>
      </c>
      <c r="E70" s="3">
        <v>0.65303280000000008</v>
      </c>
      <c r="F70" s="3">
        <v>3.8115000000000001</v>
      </c>
      <c r="G70" s="3">
        <v>0.88159428000000017</v>
      </c>
      <c r="H70" s="3">
        <v>0.45100000000000007</v>
      </c>
      <c r="I70" s="3">
        <v>3.5279999999999996</v>
      </c>
      <c r="K70" s="20">
        <f t="shared" si="3"/>
        <v>15.827471751999999</v>
      </c>
      <c r="L70" s="114"/>
      <c r="M70" s="114"/>
      <c r="N70" s="2">
        <v>4.2</v>
      </c>
      <c r="O70" s="3">
        <f t="shared" si="4"/>
        <v>20.027471752</v>
      </c>
    </row>
    <row r="71" spans="1:15" x14ac:dyDescent="0.25">
      <c r="A71" s="12" t="s">
        <v>138</v>
      </c>
      <c r="B71" s="3">
        <v>4.8216476879999997</v>
      </c>
      <c r="C71" s="3">
        <v>1.87</v>
      </c>
      <c r="D71" s="3">
        <v>0.8971871039999999</v>
      </c>
      <c r="E71" s="3">
        <v>0.76964580000000005</v>
      </c>
      <c r="F71" s="3">
        <v>3.7800000000000002</v>
      </c>
      <c r="G71" s="3">
        <v>1.03902183</v>
      </c>
      <c r="H71" s="3">
        <v>0.45100000000000007</v>
      </c>
      <c r="I71" s="3">
        <v>4.1579999999999995</v>
      </c>
      <c r="K71" s="20">
        <f t="shared" si="3"/>
        <v>17.786502421999998</v>
      </c>
      <c r="L71" s="114"/>
      <c r="M71" s="114"/>
      <c r="N71" s="2">
        <v>4.2</v>
      </c>
      <c r="O71" s="3">
        <f t="shared" si="4"/>
        <v>21.986502421999997</v>
      </c>
    </row>
    <row r="72" spans="1:15" x14ac:dyDescent="0.25">
      <c r="A72" s="12" t="s">
        <v>140</v>
      </c>
      <c r="B72" s="3">
        <v>5.5522003680000003</v>
      </c>
      <c r="C72" s="3">
        <v>2.4200000000000004</v>
      </c>
      <c r="D72" s="3">
        <v>1.0331245440000001</v>
      </c>
      <c r="E72" s="3">
        <v>0.88625880000000001</v>
      </c>
      <c r="F72" s="3">
        <v>3.7800000000000002</v>
      </c>
      <c r="G72" s="3">
        <v>1.1964493800000002</v>
      </c>
      <c r="H72" s="3">
        <v>0.45100000000000007</v>
      </c>
      <c r="I72" s="3">
        <v>4.7879999999999994</v>
      </c>
      <c r="K72" s="20">
        <f t="shared" si="3"/>
        <v>20.107033091999998</v>
      </c>
      <c r="L72" s="114"/>
      <c r="M72" s="114"/>
      <c r="N72" s="2">
        <v>4.2</v>
      </c>
      <c r="O72" s="3">
        <f t="shared" si="4"/>
        <v>24.307033091999998</v>
      </c>
    </row>
    <row r="73" spans="1:15" x14ac:dyDescent="0.25">
      <c r="A73" s="12" t="s">
        <v>142</v>
      </c>
      <c r="B73" s="3">
        <v>6.2827530480000009</v>
      </c>
      <c r="C73" s="3">
        <v>4.07</v>
      </c>
      <c r="D73" s="3">
        <v>1.1690619839999998</v>
      </c>
      <c r="E73" s="3">
        <v>1.0028718000000001</v>
      </c>
      <c r="F73" s="3">
        <v>4.5780000000000003</v>
      </c>
      <c r="G73" s="3">
        <v>1.3538769300000002</v>
      </c>
      <c r="H73" s="3">
        <v>0.45100000000000007</v>
      </c>
      <c r="I73" s="3">
        <v>6.3000000000000007</v>
      </c>
      <c r="K73" s="20">
        <f t="shared" si="3"/>
        <v>25.207563762000003</v>
      </c>
      <c r="L73" s="114"/>
      <c r="M73" s="114"/>
      <c r="N73" s="2">
        <v>4.2</v>
      </c>
      <c r="O73" s="3">
        <f t="shared" si="4"/>
        <v>29.407563762000002</v>
      </c>
    </row>
    <row r="74" spans="1:15" x14ac:dyDescent="0.25">
      <c r="A74" s="12" t="s">
        <v>144</v>
      </c>
      <c r="B74" s="3">
        <v>7.0133057280000006</v>
      </c>
      <c r="C74" s="3">
        <v>5.1700000000000008</v>
      </c>
      <c r="D74" s="3">
        <v>3.9917629439999995</v>
      </c>
      <c r="E74" s="3">
        <v>1.3433817600000002</v>
      </c>
      <c r="F74" s="3">
        <v>4.5780000000000003</v>
      </c>
      <c r="G74" s="3">
        <v>1.51130448</v>
      </c>
      <c r="H74" s="3">
        <v>0.45100000000000007</v>
      </c>
      <c r="I74" s="3">
        <v>6.3000000000000007</v>
      </c>
      <c r="K74" s="20">
        <f t="shared" si="3"/>
        <v>30.358754912000002</v>
      </c>
      <c r="L74" s="114"/>
      <c r="M74" s="114"/>
      <c r="N74" s="2">
        <v>4.2</v>
      </c>
      <c r="O74" s="3">
        <f t="shared" si="4"/>
        <v>34.558754912000005</v>
      </c>
    </row>
    <row r="75" spans="1:15" x14ac:dyDescent="0.25">
      <c r="A75" s="12" t="s">
        <v>146</v>
      </c>
      <c r="B75" s="3">
        <v>8.4744110880000001</v>
      </c>
      <c r="C75" s="3">
        <v>5.7200000000000006</v>
      </c>
      <c r="D75" s="3">
        <v>4.8233802239999992</v>
      </c>
      <c r="E75" s="3">
        <v>2.0290661999999999</v>
      </c>
      <c r="F75" s="3">
        <v>6.8565000000000005</v>
      </c>
      <c r="G75" s="3">
        <v>1.8261595800000001</v>
      </c>
      <c r="H75" s="3">
        <v>0.45100000000000007</v>
      </c>
      <c r="I75" s="3">
        <v>6.3000000000000007</v>
      </c>
      <c r="K75" s="20">
        <f t="shared" si="3"/>
        <v>36.480517091999999</v>
      </c>
      <c r="L75" s="114"/>
      <c r="M75" s="114"/>
      <c r="N75" s="2">
        <v>4.2</v>
      </c>
      <c r="O75" s="3">
        <f t="shared" si="4"/>
        <v>40.680517092000002</v>
      </c>
    </row>
    <row r="76" spans="1:15" x14ac:dyDescent="0.25">
      <c r="A76" s="13" t="s">
        <v>148</v>
      </c>
      <c r="B76" s="3">
        <v>5.1950412800000008</v>
      </c>
      <c r="C76" s="3">
        <v>1.7600000000000002</v>
      </c>
      <c r="D76" s="3">
        <v>0.9666662399999999</v>
      </c>
      <c r="E76" s="3">
        <v>0.41462400000000005</v>
      </c>
      <c r="F76" s="3">
        <v>1.9949999999999999</v>
      </c>
      <c r="G76" s="3">
        <v>1.1194847999999999</v>
      </c>
      <c r="H76" s="3">
        <v>0.47300000000000009</v>
      </c>
      <c r="I76" s="3">
        <v>0</v>
      </c>
      <c r="K76" s="20">
        <f t="shared" si="3"/>
        <v>11.92381632</v>
      </c>
      <c r="L76" s="114"/>
      <c r="M76" s="114"/>
      <c r="N76" s="2">
        <v>4.5</v>
      </c>
      <c r="O76" s="3">
        <f t="shared" si="4"/>
        <v>16.42381632</v>
      </c>
    </row>
    <row r="77" spans="1:15" x14ac:dyDescent="0.25">
      <c r="A77" s="13" t="s">
        <v>150</v>
      </c>
      <c r="B77" s="3">
        <v>5.8444214399999996</v>
      </c>
      <c r="C77" s="3">
        <v>2.2000000000000002</v>
      </c>
      <c r="D77" s="3">
        <v>1.0874995199999999</v>
      </c>
      <c r="E77" s="3">
        <v>0.46645199999999998</v>
      </c>
      <c r="F77" s="3">
        <v>3.0870000000000002</v>
      </c>
      <c r="G77" s="3">
        <v>1.2594204</v>
      </c>
      <c r="H77" s="3">
        <v>0.47300000000000009</v>
      </c>
      <c r="I77" s="3">
        <v>0</v>
      </c>
      <c r="K77" s="20">
        <f t="shared" si="3"/>
        <v>14.417793359999999</v>
      </c>
      <c r="L77" s="114"/>
      <c r="M77" s="114"/>
      <c r="N77" s="2">
        <v>4.5</v>
      </c>
      <c r="O77" s="3">
        <f t="shared" si="4"/>
        <v>18.917793359999997</v>
      </c>
    </row>
    <row r="78" spans="1:15" x14ac:dyDescent="0.25">
      <c r="A78" s="13" t="s">
        <v>152</v>
      </c>
      <c r="B78" s="3">
        <v>6.4938015999999994</v>
      </c>
      <c r="C78" s="3">
        <v>2.2000000000000002</v>
      </c>
      <c r="D78" s="3">
        <v>1.2083328</v>
      </c>
      <c r="E78" s="3">
        <v>0.51827999999999996</v>
      </c>
      <c r="F78" s="3">
        <v>3.0870000000000002</v>
      </c>
      <c r="G78" s="3">
        <v>1.399356</v>
      </c>
      <c r="H78" s="3">
        <v>0.47300000000000009</v>
      </c>
      <c r="I78" s="3">
        <v>1.8900000000000001</v>
      </c>
      <c r="K78" s="20">
        <f t="shared" si="3"/>
        <v>17.269770399999999</v>
      </c>
      <c r="L78" s="114"/>
      <c r="M78" s="114"/>
      <c r="N78" s="2">
        <v>4.5</v>
      </c>
      <c r="O78" s="3">
        <f t="shared" si="4"/>
        <v>21.769770399999999</v>
      </c>
    </row>
    <row r="79" spans="1:15" x14ac:dyDescent="0.25">
      <c r="A79" s="13" t="s">
        <v>154</v>
      </c>
      <c r="B79" s="3">
        <v>7.14318176</v>
      </c>
      <c r="C79" s="3">
        <v>2.2000000000000002</v>
      </c>
      <c r="D79" s="3">
        <v>1.3291660799999998</v>
      </c>
      <c r="E79" s="3">
        <v>1.1402159999999999</v>
      </c>
      <c r="F79" s="3">
        <v>3.0870000000000002</v>
      </c>
      <c r="G79" s="3">
        <v>1.5392916000000001</v>
      </c>
      <c r="H79" s="3">
        <v>0.47300000000000009</v>
      </c>
      <c r="I79" s="3">
        <v>2.0790000000000002</v>
      </c>
      <c r="K79" s="20">
        <f t="shared" si="3"/>
        <v>18.990855440000004</v>
      </c>
      <c r="L79" s="114"/>
      <c r="M79" s="114"/>
      <c r="N79" s="2">
        <v>4.5</v>
      </c>
      <c r="O79" s="3">
        <f t="shared" si="4"/>
        <v>23.490855440000004</v>
      </c>
    </row>
    <row r="80" spans="1:15" x14ac:dyDescent="0.25">
      <c r="A80" s="13" t="s">
        <v>156</v>
      </c>
      <c r="B80" s="3">
        <v>7.7925619199999998</v>
      </c>
      <c r="C80" s="3">
        <v>2.4200000000000004</v>
      </c>
      <c r="D80" s="3">
        <v>1.4499993599999998</v>
      </c>
      <c r="E80" s="3">
        <v>1.2438720000000001</v>
      </c>
      <c r="F80" s="3">
        <v>3.0870000000000002</v>
      </c>
      <c r="G80" s="3">
        <v>1.6792272000000001</v>
      </c>
      <c r="H80" s="3">
        <v>0.47300000000000009</v>
      </c>
      <c r="I80" s="3">
        <v>3.7800000000000002</v>
      </c>
      <c r="K80" s="20">
        <f t="shared" si="3"/>
        <v>21.925660479999998</v>
      </c>
      <c r="L80" s="114"/>
      <c r="M80" s="114"/>
      <c r="N80" s="2">
        <v>4.5</v>
      </c>
      <c r="O80" s="3">
        <f t="shared" si="4"/>
        <v>26.425660479999998</v>
      </c>
    </row>
    <row r="81" spans="1:15" x14ac:dyDescent="0.25">
      <c r="A81" s="13" t="s">
        <v>158</v>
      </c>
      <c r="B81" s="3">
        <v>9.0913222400000002</v>
      </c>
      <c r="C81" s="3">
        <v>2.9700000000000006</v>
      </c>
      <c r="D81" s="3">
        <v>1.6916659199999997</v>
      </c>
      <c r="E81" s="3">
        <v>1.451184</v>
      </c>
      <c r="F81" s="3">
        <v>5.3549999999999995</v>
      </c>
      <c r="G81" s="3">
        <v>1.9590984</v>
      </c>
      <c r="H81" s="3">
        <v>0.47300000000000009</v>
      </c>
      <c r="I81" s="3">
        <v>4.41</v>
      </c>
      <c r="K81" s="20">
        <f t="shared" si="3"/>
        <v>27.40127056</v>
      </c>
      <c r="L81" s="114"/>
      <c r="M81" s="114"/>
      <c r="N81" s="2">
        <v>4.5</v>
      </c>
      <c r="O81" s="3">
        <f t="shared" si="4"/>
        <v>31.90127056</v>
      </c>
    </row>
    <row r="82" spans="1:15" x14ac:dyDescent="0.25">
      <c r="A82" s="13" t="s">
        <v>160</v>
      </c>
      <c r="B82" s="3">
        <v>10.390082560000002</v>
      </c>
      <c r="C82" s="3">
        <v>4.07</v>
      </c>
      <c r="D82" s="3">
        <v>1.9333324799999998</v>
      </c>
      <c r="E82" s="3">
        <v>1.6584960000000002</v>
      </c>
      <c r="F82" s="3">
        <v>7.665</v>
      </c>
      <c r="G82" s="3">
        <v>2.2389695999999999</v>
      </c>
      <c r="H82" s="3">
        <v>0.47300000000000009</v>
      </c>
      <c r="I82" s="3">
        <v>5.04</v>
      </c>
      <c r="K82" s="20">
        <f t="shared" si="3"/>
        <v>33.468880640000002</v>
      </c>
      <c r="L82" s="114"/>
      <c r="M82" s="114"/>
      <c r="N82" s="2">
        <v>4.5</v>
      </c>
      <c r="O82" s="3">
        <f t="shared" si="4"/>
        <v>37.968880640000002</v>
      </c>
    </row>
    <row r="83" spans="1:15" x14ac:dyDescent="0.25">
      <c r="A83" s="13" t="s">
        <v>162</v>
      </c>
      <c r="B83" s="3">
        <v>11.688842879999999</v>
      </c>
      <c r="C83" s="3">
        <v>5.1700000000000008</v>
      </c>
      <c r="D83" s="3">
        <v>2.1749990399999999</v>
      </c>
      <c r="E83" s="3">
        <v>1.8658079999999999</v>
      </c>
      <c r="F83" s="3">
        <v>7.665</v>
      </c>
      <c r="G83" s="3">
        <v>2.5188408</v>
      </c>
      <c r="H83" s="3">
        <v>0.47300000000000009</v>
      </c>
      <c r="I83" s="3">
        <v>6.3000000000000007</v>
      </c>
      <c r="K83" s="20">
        <f t="shared" si="3"/>
        <v>37.856490720000004</v>
      </c>
      <c r="L83" s="114"/>
      <c r="M83" s="114"/>
      <c r="N83" s="2">
        <v>4.5</v>
      </c>
      <c r="O83" s="3">
        <f t="shared" si="4"/>
        <v>42.356490720000004</v>
      </c>
    </row>
    <row r="84" spans="1:15" x14ac:dyDescent="0.25">
      <c r="A84" s="13" t="s">
        <v>164</v>
      </c>
      <c r="B84" s="3">
        <v>12.987603199999999</v>
      </c>
      <c r="C84" s="3">
        <v>5.7200000000000006</v>
      </c>
      <c r="D84" s="3">
        <v>7.3921535999999994</v>
      </c>
      <c r="E84" s="3">
        <v>2.4877440000000002</v>
      </c>
      <c r="F84" s="3">
        <v>7.665</v>
      </c>
      <c r="G84" s="3">
        <v>2.7987120000000001</v>
      </c>
      <c r="H84" s="3">
        <v>0.47300000000000009</v>
      </c>
      <c r="I84" s="3">
        <v>6.3000000000000007</v>
      </c>
      <c r="K84" s="20">
        <f t="shared" si="3"/>
        <v>45.824212799999998</v>
      </c>
      <c r="L84" s="114"/>
      <c r="M84" s="114"/>
      <c r="N84" s="2">
        <v>4.5</v>
      </c>
      <c r="O84" s="3">
        <f t="shared" si="4"/>
        <v>50.324212799999998</v>
      </c>
    </row>
    <row r="85" spans="1:15" x14ac:dyDescent="0.25">
      <c r="A85" s="13" t="s">
        <v>166</v>
      </c>
      <c r="B85" s="3">
        <v>15.58512384</v>
      </c>
      <c r="C85" s="3">
        <v>5.7200000000000006</v>
      </c>
      <c r="D85" s="3">
        <v>8.8705843200000007</v>
      </c>
      <c r="E85" s="3">
        <v>3.7316159999999998</v>
      </c>
      <c r="F85" s="3">
        <v>7.665</v>
      </c>
      <c r="G85" s="3">
        <v>3.3584544000000003</v>
      </c>
      <c r="H85" s="3">
        <v>0.47300000000000009</v>
      </c>
      <c r="I85" s="3">
        <v>6.3000000000000007</v>
      </c>
      <c r="K85" s="20">
        <f t="shared" si="3"/>
        <v>51.703778560000003</v>
      </c>
      <c r="L85" s="114"/>
      <c r="M85" s="114"/>
      <c r="N85" s="2">
        <v>4.5</v>
      </c>
      <c r="O85" s="3">
        <f t="shared" si="4"/>
        <v>56.203778560000003</v>
      </c>
    </row>
    <row r="86" spans="1:15" x14ac:dyDescent="0.25">
      <c r="A86" s="11" t="s">
        <v>178</v>
      </c>
      <c r="B86" s="3">
        <v>12.175878000000001</v>
      </c>
      <c r="C86" s="3">
        <v>2.64</v>
      </c>
      <c r="D86" s="3">
        <v>2.2656239999999999</v>
      </c>
      <c r="E86" s="3">
        <v>1.9435499999999999</v>
      </c>
      <c r="F86" s="3">
        <v>2.415</v>
      </c>
      <c r="G86" s="3">
        <v>2.6237925</v>
      </c>
      <c r="H86" s="3">
        <v>0.47300000000000009</v>
      </c>
      <c r="I86" s="3">
        <v>3.7800000000000002</v>
      </c>
      <c r="K86" s="20">
        <f t="shared" si="3"/>
        <v>28.316844500000002</v>
      </c>
      <c r="L86" s="114"/>
      <c r="M86" s="114"/>
      <c r="N86" s="2" t="s">
        <v>575</v>
      </c>
      <c r="O86" s="3" t="s">
        <v>575</v>
      </c>
    </row>
    <row r="87" spans="1:15" x14ac:dyDescent="0.25">
      <c r="A87" s="11" t="s">
        <v>180</v>
      </c>
      <c r="B87" s="3">
        <v>14.205191000000001</v>
      </c>
      <c r="C87" s="3">
        <v>3.3000000000000003</v>
      </c>
      <c r="D87" s="3">
        <v>2.6432280000000001</v>
      </c>
      <c r="E87" s="3">
        <v>2.2674750000000006</v>
      </c>
      <c r="F87" s="3">
        <v>6.8250000000000002</v>
      </c>
      <c r="G87" s="3">
        <v>3.0610912500000005</v>
      </c>
      <c r="H87" s="3">
        <v>0.47300000000000009</v>
      </c>
      <c r="I87" s="3">
        <v>4.41</v>
      </c>
      <c r="K87" s="20">
        <f t="shared" si="3"/>
        <v>37.184985250000004</v>
      </c>
      <c r="L87" s="114"/>
      <c r="M87" s="114"/>
      <c r="N87" s="2" t="s">
        <v>575</v>
      </c>
      <c r="O87" s="3" t="s">
        <v>575</v>
      </c>
    </row>
    <row r="88" spans="1:15" x14ac:dyDescent="0.25">
      <c r="A88" s="11" t="s">
        <v>182</v>
      </c>
      <c r="B88" s="3">
        <v>16.234504000000001</v>
      </c>
      <c r="C88" s="3">
        <v>4.4000000000000004</v>
      </c>
      <c r="D88" s="3">
        <v>3.020832</v>
      </c>
      <c r="E88" s="3">
        <v>2.5914000000000001</v>
      </c>
      <c r="F88" s="3">
        <v>6.8250000000000002</v>
      </c>
      <c r="G88" s="3">
        <v>3.4983900000000001</v>
      </c>
      <c r="H88" s="3">
        <v>0.47300000000000009</v>
      </c>
      <c r="I88" s="3">
        <v>5.04</v>
      </c>
      <c r="K88" s="20">
        <f t="shared" si="3"/>
        <v>42.083126</v>
      </c>
      <c r="L88" s="114"/>
      <c r="M88" s="114"/>
      <c r="N88" s="2" t="s">
        <v>575</v>
      </c>
      <c r="O88" s="3" t="s">
        <v>575</v>
      </c>
    </row>
    <row r="89" spans="1:15" x14ac:dyDescent="0.25">
      <c r="A89" s="11" t="s">
        <v>184</v>
      </c>
      <c r="B89" s="3">
        <v>20.293130000000001</v>
      </c>
      <c r="C89" s="3">
        <v>6.8200000000000012</v>
      </c>
      <c r="D89" s="3">
        <v>11.550240000000001</v>
      </c>
      <c r="E89" s="3">
        <v>3.8871000000000002</v>
      </c>
      <c r="F89" s="3">
        <v>7.665</v>
      </c>
      <c r="G89" s="3">
        <v>4.3729874999999998</v>
      </c>
      <c r="H89" s="3">
        <v>0.47300000000000009</v>
      </c>
      <c r="I89" s="3">
        <v>6.3000000000000007</v>
      </c>
      <c r="K89" s="20">
        <f t="shared" si="3"/>
        <v>61.3614575</v>
      </c>
      <c r="L89" s="114"/>
      <c r="M89" s="114"/>
      <c r="N89" s="2" t="s">
        <v>575</v>
      </c>
      <c r="O89" s="3" t="s">
        <v>575</v>
      </c>
    </row>
    <row r="90" spans="1:15" x14ac:dyDescent="0.25">
      <c r="A90" s="11" t="s">
        <v>186</v>
      </c>
      <c r="B90" s="3">
        <v>24.351756000000002</v>
      </c>
      <c r="C90" s="3">
        <v>6.8200000000000012</v>
      </c>
      <c r="D90" s="3">
        <v>13.860287999999999</v>
      </c>
      <c r="E90" s="3">
        <v>5.8306499999999994</v>
      </c>
      <c r="F90" s="3">
        <v>7.665</v>
      </c>
      <c r="G90" s="3">
        <v>5.2475849999999999</v>
      </c>
      <c r="H90" s="3">
        <v>0.47300000000000009</v>
      </c>
      <c r="I90" s="3">
        <v>6.3000000000000007</v>
      </c>
      <c r="K90" s="20">
        <f t="shared" si="3"/>
        <v>70.548279000000008</v>
      </c>
      <c r="L90" s="114"/>
      <c r="M90" s="114"/>
      <c r="N90" s="2" t="s">
        <v>575</v>
      </c>
      <c r="O90" s="3" t="s">
        <v>575</v>
      </c>
    </row>
    <row r="91" spans="1:15" x14ac:dyDescent="0.25">
      <c r="A91" s="14" t="s">
        <v>300</v>
      </c>
      <c r="B91" s="3">
        <v>0.68022028800000001</v>
      </c>
      <c r="C91" s="3">
        <v>1.54</v>
      </c>
      <c r="D91" s="3">
        <v>0.1199448</v>
      </c>
      <c r="E91" s="3">
        <v>0.24488729999999997</v>
      </c>
      <c r="F91" s="3">
        <v>1.1445000000000001</v>
      </c>
      <c r="G91" s="3">
        <v>2.4488729999999998E-3</v>
      </c>
      <c r="H91" s="3">
        <v>0.31900000000000006</v>
      </c>
      <c r="I91" s="3">
        <v>0</v>
      </c>
      <c r="K91" s="20">
        <f t="shared" si="3"/>
        <v>4.0510012610000006</v>
      </c>
      <c r="L91" s="114"/>
      <c r="M91" s="114"/>
      <c r="N91" s="2" t="s">
        <v>575</v>
      </c>
      <c r="O91" s="3" t="s">
        <v>575</v>
      </c>
    </row>
    <row r="92" spans="1:15" x14ac:dyDescent="0.25">
      <c r="A92" s="14" t="s">
        <v>188</v>
      </c>
      <c r="B92" s="3">
        <v>0.76524782400000002</v>
      </c>
      <c r="C92" s="3">
        <v>1.54</v>
      </c>
      <c r="D92" s="3">
        <v>0.1349379</v>
      </c>
      <c r="E92" s="3">
        <v>0.27549821250000001</v>
      </c>
      <c r="F92" s="3">
        <v>1.1445000000000001</v>
      </c>
      <c r="G92" s="3">
        <v>2.7549821250000004E-3</v>
      </c>
      <c r="H92" s="3">
        <v>0.31900000000000006</v>
      </c>
      <c r="I92" s="3">
        <v>1.0206000000000002</v>
      </c>
      <c r="K92" s="20">
        <f t="shared" si="3"/>
        <v>5.2025389186250006</v>
      </c>
      <c r="L92" s="114"/>
      <c r="M92" s="114"/>
      <c r="N92" s="2" t="s">
        <v>575</v>
      </c>
      <c r="O92" s="3" t="s">
        <v>575</v>
      </c>
    </row>
    <row r="93" spans="1:15" x14ac:dyDescent="0.25">
      <c r="A93" s="14" t="s">
        <v>190</v>
      </c>
      <c r="B93" s="3">
        <v>0.90696038400000001</v>
      </c>
      <c r="C93" s="3">
        <v>1.4</v>
      </c>
      <c r="D93" s="3">
        <v>0.1599264</v>
      </c>
      <c r="E93" s="3">
        <v>0.32651640000000004</v>
      </c>
      <c r="F93" s="3">
        <v>1.827</v>
      </c>
      <c r="G93" s="3">
        <v>3.2651640000000001E-3</v>
      </c>
      <c r="H93" s="3">
        <v>0.31900000000000006</v>
      </c>
      <c r="I93" s="3">
        <v>1.2096</v>
      </c>
      <c r="K93" s="20">
        <f t="shared" si="3"/>
        <v>6.1522683479999998</v>
      </c>
      <c r="L93" s="114"/>
      <c r="M93" s="114"/>
      <c r="N93" s="2" t="s">
        <v>575</v>
      </c>
      <c r="O93" s="3" t="s">
        <v>575</v>
      </c>
    </row>
    <row r="94" spans="1:15" x14ac:dyDescent="0.25">
      <c r="A94" s="14" t="s">
        <v>192</v>
      </c>
      <c r="B94" s="3">
        <v>1.048672944</v>
      </c>
      <c r="C94" s="3">
        <v>1.6500000000000001</v>
      </c>
      <c r="D94" s="3">
        <v>0.18491489999999999</v>
      </c>
      <c r="E94" s="3">
        <v>0.37753458749999996</v>
      </c>
      <c r="F94" s="3">
        <v>1.827</v>
      </c>
      <c r="G94" s="3">
        <v>3.7753458749999998E-3</v>
      </c>
      <c r="H94" s="3">
        <v>0.31900000000000006</v>
      </c>
      <c r="I94" s="3">
        <v>1.8648</v>
      </c>
      <c r="K94" s="20">
        <f t="shared" si="3"/>
        <v>7.275697777375</v>
      </c>
      <c r="L94" s="114"/>
      <c r="M94" s="114"/>
      <c r="N94" s="2" t="s">
        <v>575</v>
      </c>
      <c r="O94" s="3" t="s">
        <v>575</v>
      </c>
    </row>
    <row r="95" spans="1:15" x14ac:dyDescent="0.25">
      <c r="A95" s="14" t="s">
        <v>194</v>
      </c>
      <c r="B95" s="3">
        <v>1.190385504</v>
      </c>
      <c r="C95" s="3">
        <v>1.6500000000000001</v>
      </c>
      <c r="D95" s="3">
        <v>0.20990340000000002</v>
      </c>
      <c r="E95" s="3">
        <v>0.428552775</v>
      </c>
      <c r="F95" s="3">
        <v>3.8115000000000001</v>
      </c>
      <c r="G95" s="3">
        <v>4.2855277500000004E-3</v>
      </c>
      <c r="H95" s="3">
        <v>0.31900000000000006</v>
      </c>
      <c r="I95" s="3">
        <v>2.1168</v>
      </c>
      <c r="K95" s="20">
        <f t="shared" si="3"/>
        <v>9.7304272067500008</v>
      </c>
      <c r="L95" s="114"/>
      <c r="M95" s="114"/>
      <c r="N95" s="2" t="s">
        <v>575</v>
      </c>
      <c r="O95" s="3" t="s">
        <v>575</v>
      </c>
    </row>
    <row r="96" spans="1:15" x14ac:dyDescent="0.25">
      <c r="A96" s="14" t="s">
        <v>196</v>
      </c>
      <c r="B96" s="3">
        <v>1.4738106240000002</v>
      </c>
      <c r="C96" s="3">
        <v>1.6500000000000001</v>
      </c>
      <c r="D96" s="3">
        <v>0.25988040000000001</v>
      </c>
      <c r="E96" s="3">
        <v>0.53058915000000006</v>
      </c>
      <c r="F96" s="3">
        <v>3.8115000000000001</v>
      </c>
      <c r="G96" s="3">
        <v>5.3058915000000007E-3</v>
      </c>
      <c r="H96" s="3">
        <v>0.31900000000000006</v>
      </c>
      <c r="I96" s="3">
        <v>2.6208</v>
      </c>
      <c r="K96" s="20">
        <f t="shared" si="3"/>
        <v>10.6708860655</v>
      </c>
      <c r="L96" s="114"/>
      <c r="M96" s="114"/>
      <c r="N96" s="2" t="s">
        <v>575</v>
      </c>
      <c r="O96" s="3" t="s">
        <v>575</v>
      </c>
    </row>
    <row r="97" spans="1:15" x14ac:dyDescent="0.25">
      <c r="A97" s="14" t="s">
        <v>200</v>
      </c>
      <c r="B97" s="3">
        <v>1.7572357440000002</v>
      </c>
      <c r="C97" s="3">
        <v>2.3100000000000005</v>
      </c>
      <c r="D97" s="3">
        <v>0.30985740000000006</v>
      </c>
      <c r="E97" s="3">
        <v>0.63262552500000002</v>
      </c>
      <c r="F97" s="3">
        <v>3.8115000000000001</v>
      </c>
      <c r="G97" s="3">
        <v>6.3262552500000001E-3</v>
      </c>
      <c r="H97" s="3">
        <v>0.31900000000000006</v>
      </c>
      <c r="I97" s="3">
        <v>3.9060000000000001</v>
      </c>
      <c r="K97" s="20">
        <f t="shared" si="3"/>
        <v>13.052544924250002</v>
      </c>
      <c r="L97" s="114"/>
      <c r="M97" s="114"/>
      <c r="N97" s="2" t="s">
        <v>575</v>
      </c>
      <c r="O97" s="3" t="s">
        <v>575</v>
      </c>
    </row>
    <row r="98" spans="1:15" x14ac:dyDescent="0.25">
      <c r="A98" s="14" t="s">
        <v>198</v>
      </c>
      <c r="B98" s="3">
        <v>2.0406608639999999</v>
      </c>
      <c r="C98" s="3">
        <v>2.3100000000000005</v>
      </c>
      <c r="D98" s="3">
        <v>0.3598344</v>
      </c>
      <c r="E98" s="3">
        <v>0.73466190000000009</v>
      </c>
      <c r="F98" s="3">
        <v>3.8115000000000001</v>
      </c>
      <c r="G98" s="3">
        <v>7.3466189999999995E-3</v>
      </c>
      <c r="H98" s="3">
        <v>0.31900000000000006</v>
      </c>
      <c r="I98" s="3">
        <v>4.5360000000000005</v>
      </c>
      <c r="K98" s="20">
        <f t="shared" si="3"/>
        <v>14.119003783000002</v>
      </c>
      <c r="L98" s="114"/>
      <c r="M98" s="114"/>
      <c r="N98" s="2" t="s">
        <v>575</v>
      </c>
      <c r="O98" s="3" t="s">
        <v>575</v>
      </c>
    </row>
    <row r="99" spans="1:15" x14ac:dyDescent="0.25">
      <c r="A99" s="14" t="s">
        <v>202</v>
      </c>
      <c r="B99" s="3">
        <v>1.3348128640000001</v>
      </c>
      <c r="C99" s="3">
        <v>1.54</v>
      </c>
      <c r="D99" s="3">
        <v>0.16916659199999998</v>
      </c>
      <c r="E99" s="3">
        <v>0.17414208000000003</v>
      </c>
      <c r="F99" s="3">
        <v>1.1550000000000002</v>
      </c>
      <c r="G99" s="3">
        <v>0.2176776</v>
      </c>
      <c r="H99" s="3">
        <v>0.31900000000000006</v>
      </c>
      <c r="I99" s="3">
        <v>0</v>
      </c>
      <c r="K99" s="20">
        <f t="shared" si="3"/>
        <v>4.9097991360000002</v>
      </c>
      <c r="L99" s="114"/>
      <c r="M99" s="114"/>
      <c r="N99" s="2" t="s">
        <v>575</v>
      </c>
      <c r="O99" s="3" t="s">
        <v>575</v>
      </c>
    </row>
    <row r="100" spans="1:15" x14ac:dyDescent="0.25">
      <c r="A100" s="14" t="s">
        <v>204</v>
      </c>
      <c r="B100" s="3">
        <v>1.5255004160000001</v>
      </c>
      <c r="C100" s="3">
        <v>1.4</v>
      </c>
      <c r="D100" s="3">
        <v>0.19333324799999999</v>
      </c>
      <c r="E100" s="3">
        <v>0.19901952000000003</v>
      </c>
      <c r="F100" s="3">
        <v>1.47</v>
      </c>
      <c r="G100" s="3">
        <v>0.24877440000000001</v>
      </c>
      <c r="H100" s="3">
        <v>0.31900000000000006</v>
      </c>
      <c r="I100" s="3">
        <v>1.2096</v>
      </c>
      <c r="K100" s="20">
        <f t="shared" si="3"/>
        <v>6.5652275840000005</v>
      </c>
      <c r="L100" s="114"/>
      <c r="M100" s="114"/>
      <c r="N100" s="2" t="s">
        <v>575</v>
      </c>
      <c r="O100" s="3" t="s">
        <v>575</v>
      </c>
    </row>
    <row r="101" spans="1:15" x14ac:dyDescent="0.25">
      <c r="A101" s="14" t="s">
        <v>206</v>
      </c>
      <c r="B101" s="3">
        <v>1.7638598560000001</v>
      </c>
      <c r="C101" s="3">
        <v>1.6500000000000001</v>
      </c>
      <c r="D101" s="3">
        <v>0.223541568</v>
      </c>
      <c r="E101" s="3">
        <v>0.23011632000000004</v>
      </c>
      <c r="F101" s="3">
        <v>1.47</v>
      </c>
      <c r="G101" s="3">
        <v>0.2876454</v>
      </c>
      <c r="H101" s="3">
        <v>0.31900000000000006</v>
      </c>
      <c r="I101" s="3">
        <v>1.8648</v>
      </c>
      <c r="K101" s="20">
        <f t="shared" si="3"/>
        <v>7.8089631439999998</v>
      </c>
      <c r="L101" s="114"/>
      <c r="M101" s="114"/>
      <c r="N101" s="2" t="s">
        <v>575</v>
      </c>
      <c r="O101" s="3" t="s">
        <v>575</v>
      </c>
    </row>
    <row r="102" spans="1:15" x14ac:dyDescent="0.25">
      <c r="A102" s="14" t="s">
        <v>208</v>
      </c>
      <c r="B102" s="3">
        <v>2.0022192959999998</v>
      </c>
      <c r="C102" s="3">
        <v>1.6500000000000001</v>
      </c>
      <c r="D102" s="3">
        <v>0.25374988799999998</v>
      </c>
      <c r="E102" s="3">
        <v>0.26121312000000008</v>
      </c>
      <c r="F102" s="3">
        <v>1.8900000000000001</v>
      </c>
      <c r="G102" s="3">
        <v>0.32651640000000004</v>
      </c>
      <c r="H102" s="3">
        <v>0.31900000000000006</v>
      </c>
      <c r="I102" s="3">
        <v>2.1168</v>
      </c>
      <c r="K102" s="20">
        <f t="shared" si="3"/>
        <v>8.8194987040000008</v>
      </c>
      <c r="L102" s="114"/>
      <c r="M102" s="114"/>
      <c r="N102" s="2" t="s">
        <v>575</v>
      </c>
      <c r="O102" s="3" t="s">
        <v>575</v>
      </c>
    </row>
    <row r="103" spans="1:15" x14ac:dyDescent="0.25">
      <c r="A103" s="14" t="s">
        <v>210</v>
      </c>
      <c r="B103" s="3">
        <v>2.4789381760000002</v>
      </c>
      <c r="C103" s="3">
        <v>1.6500000000000001</v>
      </c>
      <c r="D103" s="3">
        <v>0.31416652799999994</v>
      </c>
      <c r="E103" s="3">
        <v>0.32340672000000004</v>
      </c>
      <c r="F103" s="3">
        <v>2.2890000000000001</v>
      </c>
      <c r="G103" s="3">
        <v>0.40425840000000002</v>
      </c>
      <c r="H103" s="3">
        <v>0.31900000000000006</v>
      </c>
      <c r="I103" s="3">
        <v>2.6208</v>
      </c>
      <c r="K103" s="20">
        <f t="shared" si="3"/>
        <v>10.399569824</v>
      </c>
      <c r="L103" s="114"/>
      <c r="M103" s="114"/>
      <c r="N103" s="2" t="s">
        <v>575</v>
      </c>
      <c r="O103" s="3" t="s">
        <v>575</v>
      </c>
    </row>
    <row r="104" spans="1:15" x14ac:dyDescent="0.25">
      <c r="A104" s="14" t="s">
        <v>218</v>
      </c>
      <c r="B104" s="3">
        <v>2.9556570560000002</v>
      </c>
      <c r="C104" s="3">
        <v>2.3100000000000005</v>
      </c>
      <c r="D104" s="3">
        <v>0.37458316799999997</v>
      </c>
      <c r="E104" s="3">
        <v>0.38560032000000005</v>
      </c>
      <c r="F104" s="3">
        <v>3.8115000000000001</v>
      </c>
      <c r="G104" s="3">
        <v>0.4820004</v>
      </c>
      <c r="H104" s="3">
        <v>0.31900000000000006</v>
      </c>
      <c r="I104" s="3">
        <v>3.9060000000000001</v>
      </c>
      <c r="K104" s="20">
        <f t="shared" si="3"/>
        <v>14.544340944</v>
      </c>
      <c r="L104" s="114"/>
      <c r="M104" s="114"/>
      <c r="N104" s="2" t="s">
        <v>575</v>
      </c>
      <c r="O104" s="3" t="s">
        <v>575</v>
      </c>
    </row>
    <row r="105" spans="1:15" x14ac:dyDescent="0.25">
      <c r="A105" s="14" t="s">
        <v>212</v>
      </c>
      <c r="B105" s="3">
        <v>3.4323759360000001</v>
      </c>
      <c r="C105" s="3">
        <v>2.3100000000000005</v>
      </c>
      <c r="D105" s="3">
        <v>0.43499980799999999</v>
      </c>
      <c r="E105" s="3">
        <v>0.44779392000000007</v>
      </c>
      <c r="F105" s="3">
        <v>3.8115000000000001</v>
      </c>
      <c r="G105" s="3">
        <v>0.55974239999999997</v>
      </c>
      <c r="H105" s="3">
        <v>0.31900000000000006</v>
      </c>
      <c r="I105" s="3">
        <v>4.5360000000000005</v>
      </c>
      <c r="K105" s="20">
        <f t="shared" si="3"/>
        <v>15.851412064000002</v>
      </c>
      <c r="L105" s="114"/>
      <c r="M105" s="114"/>
      <c r="N105" s="2" t="s">
        <v>575</v>
      </c>
      <c r="O105" s="3" t="s">
        <v>575</v>
      </c>
    </row>
    <row r="106" spans="1:15" x14ac:dyDescent="0.25">
      <c r="A106" s="14" t="s">
        <v>214</v>
      </c>
      <c r="B106" s="3">
        <v>3.9090948159999996</v>
      </c>
      <c r="C106" s="3">
        <v>2.3100000000000005</v>
      </c>
      <c r="D106" s="3">
        <v>0.49541644799999995</v>
      </c>
      <c r="E106" s="3">
        <v>0.50998752000000003</v>
      </c>
      <c r="F106" s="3">
        <v>4.5780000000000003</v>
      </c>
      <c r="G106" s="3">
        <v>0.63748440000000006</v>
      </c>
      <c r="H106" s="3">
        <v>0.31900000000000006</v>
      </c>
      <c r="I106" s="3">
        <v>6.3000000000000007</v>
      </c>
      <c r="K106" s="20">
        <f t="shared" si="3"/>
        <v>19.058983183999999</v>
      </c>
      <c r="L106" s="114"/>
      <c r="M106" s="114"/>
      <c r="N106" s="2" t="s">
        <v>575</v>
      </c>
      <c r="O106" s="3" t="s">
        <v>575</v>
      </c>
    </row>
    <row r="107" spans="1:15" x14ac:dyDescent="0.25">
      <c r="A107" s="14" t="s">
        <v>216</v>
      </c>
      <c r="B107" s="3">
        <v>4.3858136960000005</v>
      </c>
      <c r="C107" s="3">
        <v>4.4000000000000004</v>
      </c>
      <c r="D107" s="3">
        <v>0.55583308799999998</v>
      </c>
      <c r="E107" s="3">
        <v>0.85827168000000009</v>
      </c>
      <c r="F107" s="3">
        <v>4.5780000000000003</v>
      </c>
      <c r="G107" s="3">
        <v>0.71522640000000004</v>
      </c>
      <c r="H107" s="3">
        <v>0.31900000000000006</v>
      </c>
      <c r="I107" s="3">
        <v>6.3000000000000007</v>
      </c>
      <c r="K107" s="20">
        <f t="shared" si="3"/>
        <v>22.112144864000001</v>
      </c>
      <c r="L107" s="114"/>
      <c r="M107" s="114"/>
      <c r="N107" s="2" t="s">
        <v>575</v>
      </c>
      <c r="O107" s="3" t="s">
        <v>575</v>
      </c>
    </row>
    <row r="108" spans="1:15" x14ac:dyDescent="0.25">
      <c r="A108" s="14" t="s">
        <v>220</v>
      </c>
      <c r="B108" s="3">
        <v>5.3392514560000004</v>
      </c>
      <c r="C108" s="3">
        <v>4.4000000000000004</v>
      </c>
      <c r="D108" s="3">
        <v>2.0698030080000001</v>
      </c>
      <c r="E108" s="3">
        <v>1.0448524800000003</v>
      </c>
      <c r="F108" s="3">
        <v>4.5780000000000003</v>
      </c>
      <c r="G108" s="3">
        <v>0.8707104</v>
      </c>
      <c r="H108" s="3">
        <v>0.31900000000000006</v>
      </c>
      <c r="I108" s="3">
        <v>6.3000000000000007</v>
      </c>
      <c r="K108" s="20">
        <f t="shared" si="3"/>
        <v>24.921617344000005</v>
      </c>
      <c r="L108" s="114"/>
      <c r="M108" s="114"/>
      <c r="N108" s="2" t="s">
        <v>575</v>
      </c>
      <c r="O108" s="3" t="s">
        <v>575</v>
      </c>
    </row>
    <row r="109" spans="1:15" x14ac:dyDescent="0.25">
      <c r="A109" s="14" t="s">
        <v>296</v>
      </c>
      <c r="B109" s="3">
        <v>1.039327245</v>
      </c>
      <c r="C109" s="3">
        <v>1.54</v>
      </c>
      <c r="D109" s="3">
        <v>0.15670565999999997</v>
      </c>
      <c r="E109" s="3">
        <v>0.16131465</v>
      </c>
      <c r="F109" s="3">
        <v>0.91349999999999998</v>
      </c>
      <c r="G109" s="3">
        <v>0.2016433125</v>
      </c>
      <c r="H109" s="3">
        <v>0.39600000000000002</v>
      </c>
      <c r="I109" s="3">
        <v>0</v>
      </c>
      <c r="K109" s="20">
        <f t="shared" si="3"/>
        <v>4.4084908674999994</v>
      </c>
      <c r="L109" s="114"/>
      <c r="M109" s="114"/>
      <c r="N109" s="2">
        <v>4.2</v>
      </c>
      <c r="O109" s="3">
        <f t="shared" si="4"/>
        <v>8.6084908674999987</v>
      </c>
    </row>
    <row r="110" spans="1:15" x14ac:dyDescent="0.25">
      <c r="A110" s="14" t="s">
        <v>222</v>
      </c>
      <c r="B110" s="3">
        <v>1.7530821000000001</v>
      </c>
      <c r="C110" s="3">
        <v>1.54</v>
      </c>
      <c r="D110" s="3">
        <v>0.26432279999999997</v>
      </c>
      <c r="E110" s="3">
        <v>0.27209700000000003</v>
      </c>
      <c r="F110" s="3">
        <v>1.1550000000000002</v>
      </c>
      <c r="G110" s="3">
        <v>0.34012124999999999</v>
      </c>
      <c r="H110" s="3">
        <v>0.39600000000000002</v>
      </c>
      <c r="I110" s="3">
        <v>0</v>
      </c>
      <c r="K110" s="20">
        <f t="shared" si="3"/>
        <v>5.7206231500000007</v>
      </c>
      <c r="L110" s="114"/>
      <c r="M110" s="114"/>
      <c r="N110" s="2">
        <v>4.2</v>
      </c>
      <c r="O110" s="3">
        <f t="shared" si="4"/>
        <v>9.9206231500000008</v>
      </c>
    </row>
    <row r="111" spans="1:15" x14ac:dyDescent="0.25">
      <c r="A111" s="14" t="s">
        <v>224</v>
      </c>
      <c r="B111" s="3">
        <v>2.0035224</v>
      </c>
      <c r="C111" s="3">
        <v>1.4</v>
      </c>
      <c r="D111" s="3">
        <v>0.3020832</v>
      </c>
      <c r="E111" s="3">
        <v>0.31096800000000002</v>
      </c>
      <c r="F111" s="3">
        <v>1.47</v>
      </c>
      <c r="G111" s="3">
        <v>0.38871</v>
      </c>
      <c r="H111" s="3">
        <v>0.39600000000000002</v>
      </c>
      <c r="I111" s="3">
        <v>0</v>
      </c>
      <c r="K111" s="20">
        <f t="shared" si="3"/>
        <v>6.2712836000000003</v>
      </c>
      <c r="L111" s="114"/>
      <c r="M111" s="114"/>
      <c r="N111" s="2">
        <v>4.2</v>
      </c>
      <c r="O111" s="3">
        <f t="shared" si="4"/>
        <v>10.4712836</v>
      </c>
    </row>
    <row r="112" spans="1:15" x14ac:dyDescent="0.25">
      <c r="A112" s="14" t="s">
        <v>226</v>
      </c>
      <c r="B112" s="3">
        <v>2.316572775</v>
      </c>
      <c r="C112" s="3">
        <v>1.6500000000000001</v>
      </c>
      <c r="D112" s="3">
        <v>0.34928369999999997</v>
      </c>
      <c r="E112" s="3">
        <v>0.35955675000000004</v>
      </c>
      <c r="F112" s="3">
        <v>1.47</v>
      </c>
      <c r="G112" s="3">
        <v>0.44944593749999995</v>
      </c>
      <c r="H112" s="3">
        <v>0.39600000000000002</v>
      </c>
      <c r="I112" s="3">
        <v>0</v>
      </c>
      <c r="K112" s="20">
        <f t="shared" si="3"/>
        <v>6.9908591624999996</v>
      </c>
      <c r="L112" s="114"/>
      <c r="M112" s="114"/>
      <c r="N112" s="2">
        <v>4.2</v>
      </c>
      <c r="O112" s="3">
        <f t="shared" si="4"/>
        <v>11.190859162500001</v>
      </c>
    </row>
    <row r="113" spans="1:15" x14ac:dyDescent="0.25">
      <c r="A113" s="14" t="s">
        <v>228</v>
      </c>
      <c r="B113" s="3">
        <v>2.62962315</v>
      </c>
      <c r="C113" s="3">
        <v>1.6500000000000001</v>
      </c>
      <c r="D113" s="3">
        <v>0.39648419999999995</v>
      </c>
      <c r="E113" s="3">
        <v>0.40814550000000005</v>
      </c>
      <c r="F113" s="3">
        <v>1.8900000000000001</v>
      </c>
      <c r="G113" s="3">
        <v>0.51018187500000001</v>
      </c>
      <c r="H113" s="3">
        <v>0.39600000000000002</v>
      </c>
      <c r="I113" s="3">
        <v>2.1168</v>
      </c>
      <c r="K113" s="20">
        <f t="shared" si="3"/>
        <v>9.9972347250000002</v>
      </c>
      <c r="L113" s="114"/>
      <c r="M113" s="114"/>
      <c r="N113" s="2">
        <v>4.2</v>
      </c>
      <c r="O113" s="3">
        <f t="shared" si="4"/>
        <v>14.197234725000001</v>
      </c>
    </row>
    <row r="114" spans="1:15" x14ac:dyDescent="0.25">
      <c r="A114" s="14" t="s">
        <v>230</v>
      </c>
      <c r="B114" s="3">
        <v>3.2557239000000004</v>
      </c>
      <c r="C114" s="3">
        <v>1.6500000000000001</v>
      </c>
      <c r="D114" s="3">
        <v>0.49088520000000002</v>
      </c>
      <c r="E114" s="3">
        <v>0.50532300000000008</v>
      </c>
      <c r="F114" s="3">
        <v>2.625</v>
      </c>
      <c r="G114" s="3">
        <v>0.63165375000000001</v>
      </c>
      <c r="H114" s="3">
        <v>0.39600000000000002</v>
      </c>
      <c r="I114" s="3">
        <v>2.6208</v>
      </c>
      <c r="K114" s="20">
        <f t="shared" si="3"/>
        <v>12.175385850000001</v>
      </c>
      <c r="L114" s="114"/>
      <c r="M114" s="114"/>
      <c r="N114" s="2">
        <v>4.2</v>
      </c>
      <c r="O114" s="3">
        <f t="shared" si="4"/>
        <v>16.375385850000001</v>
      </c>
    </row>
    <row r="115" spans="1:15" x14ac:dyDescent="0.25">
      <c r="A115" s="14" t="s">
        <v>232</v>
      </c>
      <c r="B115" s="3">
        <v>3.8818246500000004</v>
      </c>
      <c r="C115" s="3">
        <v>2.3100000000000005</v>
      </c>
      <c r="D115" s="3">
        <v>0.58528619999999998</v>
      </c>
      <c r="E115" s="3">
        <v>0.60250050000000011</v>
      </c>
      <c r="F115" s="3">
        <v>3.8115000000000001</v>
      </c>
      <c r="G115" s="3">
        <v>0.75312562500000002</v>
      </c>
      <c r="H115" s="3">
        <v>0.39600000000000002</v>
      </c>
      <c r="I115" s="3">
        <v>3.9060000000000001</v>
      </c>
      <c r="K115" s="20">
        <f t="shared" si="3"/>
        <v>16.246236975000002</v>
      </c>
      <c r="L115" s="114"/>
      <c r="M115" s="114"/>
      <c r="N115" s="2">
        <v>4.2</v>
      </c>
      <c r="O115" s="3">
        <f t="shared" si="4"/>
        <v>20.446236975000001</v>
      </c>
    </row>
    <row r="116" spans="1:15" x14ac:dyDescent="0.25">
      <c r="A116" s="14" t="s">
        <v>234</v>
      </c>
      <c r="B116" s="3">
        <v>4.5079254000000004</v>
      </c>
      <c r="C116" s="3">
        <v>2.3100000000000005</v>
      </c>
      <c r="D116" s="3">
        <v>0.67968719999999994</v>
      </c>
      <c r="E116" s="3">
        <v>0.69967800000000013</v>
      </c>
      <c r="F116" s="3">
        <v>3.8115000000000001</v>
      </c>
      <c r="G116" s="3">
        <v>0.87459749999999992</v>
      </c>
      <c r="H116" s="3">
        <v>0.39600000000000002</v>
      </c>
      <c r="I116" s="3">
        <v>4.5360000000000005</v>
      </c>
      <c r="K116" s="20">
        <f t="shared" si="3"/>
        <v>17.815388100000003</v>
      </c>
      <c r="L116" s="114"/>
      <c r="M116" s="114"/>
      <c r="N116" s="2">
        <v>4.2</v>
      </c>
      <c r="O116" s="3">
        <f t="shared" si="4"/>
        <v>22.015388100000003</v>
      </c>
    </row>
    <row r="117" spans="1:15" x14ac:dyDescent="0.25">
      <c r="A117" s="14" t="s">
        <v>236</v>
      </c>
      <c r="B117" s="3">
        <v>5.1340261500000004</v>
      </c>
      <c r="C117" s="3">
        <v>2.3100000000000005</v>
      </c>
      <c r="D117" s="3">
        <v>0.77408819999999989</v>
      </c>
      <c r="E117" s="3">
        <v>0.79685550000000016</v>
      </c>
      <c r="F117" s="3">
        <v>4.8615000000000004</v>
      </c>
      <c r="G117" s="3">
        <v>0.99606937500000003</v>
      </c>
      <c r="H117" s="3">
        <v>0.39600000000000002</v>
      </c>
      <c r="I117" s="3">
        <v>6.3000000000000007</v>
      </c>
      <c r="K117" s="20">
        <f t="shared" si="3"/>
        <v>21.568539225000002</v>
      </c>
      <c r="L117" s="114"/>
      <c r="M117" s="114"/>
      <c r="N117" s="2">
        <v>4.2</v>
      </c>
      <c r="O117" s="3">
        <f t="shared" si="4"/>
        <v>25.768539225000001</v>
      </c>
    </row>
    <row r="118" spans="1:15" x14ac:dyDescent="0.25">
      <c r="A118" s="14" t="s">
        <v>238</v>
      </c>
      <c r="B118" s="3">
        <v>5.7601269000000004</v>
      </c>
      <c r="C118" s="3">
        <v>4.4000000000000004</v>
      </c>
      <c r="D118" s="3">
        <v>0.86848919999999985</v>
      </c>
      <c r="E118" s="3">
        <v>1.3410495</v>
      </c>
      <c r="F118" s="3">
        <v>4.8615000000000004</v>
      </c>
      <c r="G118" s="3">
        <v>1.1175412499999999</v>
      </c>
      <c r="H118" s="3">
        <v>0.39600000000000002</v>
      </c>
      <c r="I118" s="3">
        <v>6.3000000000000007</v>
      </c>
      <c r="K118" s="20">
        <f t="shared" si="3"/>
        <v>25.044706850000001</v>
      </c>
      <c r="L118" s="114"/>
      <c r="M118" s="114"/>
      <c r="N118" s="2">
        <v>4.2</v>
      </c>
      <c r="O118" s="3">
        <f t="shared" si="4"/>
        <v>29.24470685</v>
      </c>
    </row>
    <row r="119" spans="1:15" x14ac:dyDescent="0.25">
      <c r="A119" s="14" t="s">
        <v>240</v>
      </c>
      <c r="B119" s="3">
        <v>7.0123284000000004</v>
      </c>
      <c r="C119" s="3">
        <v>4.4000000000000004</v>
      </c>
      <c r="D119" s="3">
        <v>3.2340671999999997</v>
      </c>
      <c r="E119" s="3">
        <v>1.6325820000000002</v>
      </c>
      <c r="F119" s="3">
        <v>6.8565000000000005</v>
      </c>
      <c r="G119" s="3">
        <v>1.3604849999999999</v>
      </c>
      <c r="H119" s="3">
        <v>0.39600000000000002</v>
      </c>
      <c r="I119" s="3">
        <v>6.3000000000000007</v>
      </c>
      <c r="K119" s="20">
        <f t="shared" si="3"/>
        <v>31.191962600000004</v>
      </c>
      <c r="L119" s="114"/>
      <c r="M119" s="114"/>
      <c r="N119" s="2">
        <v>4.2</v>
      </c>
      <c r="O119" s="3">
        <f t="shared" si="4"/>
        <v>35.391962600000006</v>
      </c>
    </row>
    <row r="120" spans="1:15" x14ac:dyDescent="0.25">
      <c r="A120" s="14" t="s">
        <v>298</v>
      </c>
      <c r="B120" s="3">
        <v>1.2127174488000001</v>
      </c>
      <c r="C120" s="3">
        <v>1.54</v>
      </c>
      <c r="D120" s="3">
        <v>0.22565615040000001</v>
      </c>
      <c r="E120" s="3">
        <v>9.678879E-2</v>
      </c>
      <c r="F120" s="3">
        <v>0.91349999999999998</v>
      </c>
      <c r="G120" s="3">
        <v>0.26132973300000001</v>
      </c>
      <c r="H120" s="3">
        <v>0.39600000000000002</v>
      </c>
      <c r="I120" s="3">
        <v>0</v>
      </c>
      <c r="K120" s="20">
        <f t="shared" si="3"/>
        <v>4.6459921222</v>
      </c>
      <c r="L120" s="114"/>
      <c r="M120" s="114"/>
      <c r="N120" s="2">
        <v>4.2</v>
      </c>
      <c r="O120" s="3">
        <f t="shared" si="4"/>
        <v>8.8459921222000002</v>
      </c>
    </row>
    <row r="121" spans="1:15" x14ac:dyDescent="0.25">
      <c r="A121" s="14" t="s">
        <v>242</v>
      </c>
      <c r="B121" s="3">
        <v>2.629989648</v>
      </c>
      <c r="C121" s="3">
        <v>1.54</v>
      </c>
      <c r="D121" s="3">
        <v>0.4893747839999999</v>
      </c>
      <c r="E121" s="3">
        <v>0.20990340000000002</v>
      </c>
      <c r="F121" s="3">
        <v>1.47</v>
      </c>
      <c r="G121" s="3">
        <v>0.56673918000000001</v>
      </c>
      <c r="H121" s="3">
        <v>0.39600000000000002</v>
      </c>
      <c r="I121" s="3">
        <v>0</v>
      </c>
      <c r="K121" s="20">
        <f t="shared" si="3"/>
        <v>7.3020070120000007</v>
      </c>
      <c r="L121" s="114"/>
      <c r="M121" s="114"/>
      <c r="N121" s="2">
        <v>4.2</v>
      </c>
      <c r="O121" s="3">
        <f t="shared" si="4"/>
        <v>11.502007012</v>
      </c>
    </row>
    <row r="122" spans="1:15" x14ac:dyDescent="0.25">
      <c r="A122" s="14" t="s">
        <v>244</v>
      </c>
      <c r="B122" s="3">
        <v>2.9952659880000003</v>
      </c>
      <c r="C122" s="3">
        <v>1.54</v>
      </c>
      <c r="D122" s="3">
        <v>0.55734350399999999</v>
      </c>
      <c r="E122" s="3">
        <v>0.23905664999999998</v>
      </c>
      <c r="F122" s="3">
        <v>1.8900000000000001</v>
      </c>
      <c r="G122" s="3">
        <v>0.64545295499999999</v>
      </c>
      <c r="H122" s="3">
        <v>0.39600000000000002</v>
      </c>
      <c r="I122" s="3">
        <v>0</v>
      </c>
      <c r="K122" s="20">
        <f t="shared" si="3"/>
        <v>8.2631190970000006</v>
      </c>
      <c r="L122" s="114"/>
      <c r="M122" s="114"/>
      <c r="N122" s="2">
        <v>4.2</v>
      </c>
      <c r="O122" s="3">
        <f t="shared" si="4"/>
        <v>12.463119097</v>
      </c>
    </row>
    <row r="123" spans="1:15" x14ac:dyDescent="0.25">
      <c r="A123" s="14" t="s">
        <v>246</v>
      </c>
      <c r="B123" s="3">
        <v>3.3605423280000002</v>
      </c>
      <c r="C123" s="3">
        <v>1.54</v>
      </c>
      <c r="D123" s="3">
        <v>0.62531222399999986</v>
      </c>
      <c r="E123" s="3">
        <v>0.2682099</v>
      </c>
      <c r="F123" s="3">
        <v>1.8900000000000001</v>
      </c>
      <c r="G123" s="3">
        <v>0.72416672999999998</v>
      </c>
      <c r="H123" s="3">
        <v>0.39600000000000002</v>
      </c>
      <c r="I123" s="3">
        <v>0</v>
      </c>
      <c r="K123" s="20">
        <f t="shared" si="3"/>
        <v>8.8042311819999988</v>
      </c>
      <c r="L123" s="114"/>
      <c r="M123" s="114"/>
      <c r="N123" s="2">
        <v>4.2</v>
      </c>
      <c r="O123" s="3">
        <f t="shared" si="4"/>
        <v>13.004231181999998</v>
      </c>
    </row>
    <row r="124" spans="1:15" x14ac:dyDescent="0.25">
      <c r="A124" s="14" t="s">
        <v>248</v>
      </c>
      <c r="B124" s="3">
        <v>4.0910950079999999</v>
      </c>
      <c r="C124" s="3">
        <v>1.4</v>
      </c>
      <c r="D124" s="3">
        <v>0.76124966399999994</v>
      </c>
      <c r="E124" s="3">
        <v>0.32651640000000004</v>
      </c>
      <c r="F124" s="3">
        <v>3.8115000000000001</v>
      </c>
      <c r="G124" s="3">
        <v>0.88159428000000017</v>
      </c>
      <c r="H124" s="3">
        <v>0.39600000000000002</v>
      </c>
      <c r="I124" s="3">
        <v>3.5279999999999996</v>
      </c>
      <c r="K124" s="20">
        <f t="shared" si="3"/>
        <v>15.195955351999999</v>
      </c>
      <c r="L124" s="114"/>
      <c r="M124" s="114"/>
      <c r="N124" s="2">
        <v>4.2</v>
      </c>
      <c r="O124" s="3">
        <f t="shared" si="4"/>
        <v>19.395955351999998</v>
      </c>
    </row>
    <row r="125" spans="1:15" x14ac:dyDescent="0.25">
      <c r="A125" s="14" t="s">
        <v>250</v>
      </c>
      <c r="B125" s="3">
        <v>4.8216476879999997</v>
      </c>
      <c r="C125" s="3">
        <v>2.3100000000000005</v>
      </c>
      <c r="D125" s="3">
        <v>0.8971871039999999</v>
      </c>
      <c r="E125" s="3">
        <v>0.76964580000000005</v>
      </c>
      <c r="F125" s="3">
        <v>3.7800000000000002</v>
      </c>
      <c r="G125" s="3">
        <v>1.03902183</v>
      </c>
      <c r="H125" s="3">
        <v>0.39600000000000002</v>
      </c>
      <c r="I125" s="3">
        <v>4.1579999999999995</v>
      </c>
      <c r="K125" s="20">
        <f t="shared" si="3"/>
        <v>18.171502422</v>
      </c>
      <c r="L125" s="114"/>
      <c r="M125" s="114"/>
      <c r="N125" s="2">
        <v>4.2</v>
      </c>
      <c r="O125" s="3">
        <f t="shared" si="4"/>
        <v>22.371502421999999</v>
      </c>
    </row>
    <row r="126" spans="1:15" x14ac:dyDescent="0.25">
      <c r="A126" s="14" t="s">
        <v>252</v>
      </c>
      <c r="B126" s="3">
        <v>5.5522003680000003</v>
      </c>
      <c r="C126" s="3">
        <v>2.3100000000000005</v>
      </c>
      <c r="D126" s="3">
        <v>1.0331245440000001</v>
      </c>
      <c r="E126" s="3">
        <v>0.88625880000000001</v>
      </c>
      <c r="F126" s="3">
        <v>3.7800000000000002</v>
      </c>
      <c r="G126" s="3">
        <v>1.1964493800000002</v>
      </c>
      <c r="H126" s="3">
        <v>0.39600000000000002</v>
      </c>
      <c r="I126" s="3">
        <v>4.7879999999999994</v>
      </c>
      <c r="K126" s="20">
        <f t="shared" si="3"/>
        <v>19.942033091999999</v>
      </c>
      <c r="L126" s="114"/>
      <c r="M126" s="114"/>
      <c r="N126" s="2">
        <v>4.2</v>
      </c>
      <c r="O126" s="3">
        <f t="shared" si="4"/>
        <v>24.142033091999998</v>
      </c>
    </row>
    <row r="127" spans="1:15" x14ac:dyDescent="0.25">
      <c r="A127" s="14" t="s">
        <v>254</v>
      </c>
      <c r="B127" s="3">
        <v>6.2827530480000009</v>
      </c>
      <c r="C127" s="3">
        <v>2.3100000000000005</v>
      </c>
      <c r="D127" s="3">
        <v>1.1690619839999998</v>
      </c>
      <c r="E127" s="3">
        <v>1.0028718000000001</v>
      </c>
      <c r="F127" s="3">
        <v>4.5780000000000003</v>
      </c>
      <c r="G127" s="3">
        <v>1.3538769300000002</v>
      </c>
      <c r="H127" s="3">
        <v>0.39600000000000002</v>
      </c>
      <c r="I127" s="3">
        <v>6.3000000000000007</v>
      </c>
      <c r="K127" s="20">
        <f t="shared" si="3"/>
        <v>23.392563761999998</v>
      </c>
      <c r="L127" s="114"/>
      <c r="M127" s="114"/>
      <c r="N127" s="2">
        <v>4.2</v>
      </c>
      <c r="O127" s="3">
        <f t="shared" si="4"/>
        <v>27.592563761999997</v>
      </c>
    </row>
    <row r="128" spans="1:15" x14ac:dyDescent="0.25">
      <c r="A128" s="14" t="s">
        <v>256</v>
      </c>
      <c r="B128" s="3">
        <v>7.0133057280000006</v>
      </c>
      <c r="C128" s="3">
        <v>4.4000000000000004</v>
      </c>
      <c r="D128" s="3">
        <v>3.9917629439999995</v>
      </c>
      <c r="E128" s="3">
        <v>1.3433817600000002</v>
      </c>
      <c r="F128" s="3">
        <v>4.5780000000000003</v>
      </c>
      <c r="G128" s="3">
        <v>1.51130448</v>
      </c>
      <c r="H128" s="3">
        <v>0.39600000000000002</v>
      </c>
      <c r="I128" s="3">
        <v>6.3000000000000007</v>
      </c>
      <c r="K128" s="20">
        <f t="shared" si="3"/>
        <v>29.533754911999999</v>
      </c>
      <c r="L128" s="114"/>
      <c r="M128" s="114"/>
      <c r="N128" s="2">
        <v>4.2</v>
      </c>
      <c r="O128" s="3">
        <f t="shared" si="4"/>
        <v>33.733754912000002</v>
      </c>
    </row>
    <row r="129" spans="1:15" x14ac:dyDescent="0.25">
      <c r="A129" s="14" t="s">
        <v>258</v>
      </c>
      <c r="B129" s="3">
        <v>7.7438584080000004</v>
      </c>
      <c r="C129" s="3">
        <v>4.4000000000000004</v>
      </c>
      <c r="D129" s="3">
        <v>4.4075715840000003</v>
      </c>
      <c r="E129" s="3">
        <v>1.4833173600000003</v>
      </c>
      <c r="F129" s="3">
        <v>6.8565000000000005</v>
      </c>
      <c r="G129" s="3">
        <v>1.6687320300000001</v>
      </c>
      <c r="H129" s="3">
        <v>0.39600000000000002</v>
      </c>
      <c r="I129" s="3">
        <v>6.3000000000000007</v>
      </c>
      <c r="K129" s="20">
        <f t="shared" si="3"/>
        <v>33.255979382</v>
      </c>
      <c r="L129" s="114"/>
      <c r="M129" s="114"/>
      <c r="N129" s="2">
        <v>4.2</v>
      </c>
      <c r="O129" s="3">
        <f t="shared" si="4"/>
        <v>37.455979382000002</v>
      </c>
    </row>
    <row r="130" spans="1:15" x14ac:dyDescent="0.25">
      <c r="A130" s="14" t="s">
        <v>260</v>
      </c>
      <c r="B130" s="3">
        <v>8.4744110880000001</v>
      </c>
      <c r="C130" s="3">
        <v>4.4000000000000004</v>
      </c>
      <c r="D130" s="3">
        <v>4.8233802239999992</v>
      </c>
      <c r="E130" s="3">
        <v>2.0290661999999999</v>
      </c>
      <c r="F130" s="3">
        <v>6.8565000000000005</v>
      </c>
      <c r="G130" s="3">
        <v>1.8261595800000001</v>
      </c>
      <c r="H130" s="3">
        <v>0.39600000000000002</v>
      </c>
      <c r="I130" s="3">
        <v>6.3000000000000007</v>
      </c>
      <c r="K130" s="20">
        <f t="shared" si="3"/>
        <v>35.105517091999999</v>
      </c>
      <c r="L130" s="114"/>
      <c r="M130" s="114"/>
      <c r="N130" s="2">
        <v>4.2</v>
      </c>
      <c r="O130" s="3">
        <f t="shared" si="4"/>
        <v>39.305517092000002</v>
      </c>
    </row>
    <row r="131" spans="1:15" x14ac:dyDescent="0.25">
      <c r="A131" s="14" t="s">
        <v>262</v>
      </c>
      <c r="B131" s="3">
        <v>4.9718168499999997</v>
      </c>
      <c r="C131" s="3">
        <v>1.7600000000000002</v>
      </c>
      <c r="D131" s="3">
        <v>0.92512979999999978</v>
      </c>
      <c r="E131" s="3">
        <v>0.39680812499999996</v>
      </c>
      <c r="F131" s="3">
        <v>3.0870000000000002</v>
      </c>
      <c r="G131" s="3">
        <v>1.0713819375</v>
      </c>
      <c r="H131" s="3">
        <v>0.41800000000000004</v>
      </c>
      <c r="I131" s="3">
        <v>1.8900000000000001</v>
      </c>
      <c r="K131" s="20">
        <f t="shared" si="3"/>
        <v>14.520136712499999</v>
      </c>
      <c r="L131" s="114"/>
      <c r="M131" s="114"/>
      <c r="N131" s="2">
        <v>4.5</v>
      </c>
      <c r="O131" s="3">
        <f t="shared" si="4"/>
        <v>19.020136712499998</v>
      </c>
    </row>
    <row r="132" spans="1:15" x14ac:dyDescent="0.25">
      <c r="A132" s="14" t="s">
        <v>264</v>
      </c>
      <c r="B132" s="3">
        <v>5.4689985349999999</v>
      </c>
      <c r="C132" s="3">
        <v>1.7600000000000002</v>
      </c>
      <c r="D132" s="3">
        <v>1.0176427799999999</v>
      </c>
      <c r="E132" s="3">
        <v>0.43648893749999995</v>
      </c>
      <c r="F132" s="3">
        <v>3.0870000000000002</v>
      </c>
      <c r="G132" s="3">
        <v>1.17852013125</v>
      </c>
      <c r="H132" s="3">
        <v>0.41800000000000004</v>
      </c>
      <c r="I132" s="3">
        <v>2.0790000000000002</v>
      </c>
      <c r="K132" s="20">
        <f t="shared" ref="K132:K195" si="5">I132+H132+G132+F132+E132+D132+C132+B132</f>
        <v>15.445650383749999</v>
      </c>
      <c r="L132" s="114"/>
      <c r="M132" s="114"/>
      <c r="N132" s="2">
        <v>4.5</v>
      </c>
      <c r="O132" s="3">
        <f t="shared" ref="O132:O195" si="6">N132+K132</f>
        <v>19.945650383749999</v>
      </c>
    </row>
    <row r="133" spans="1:15" x14ac:dyDescent="0.25">
      <c r="A133" s="14" t="s">
        <v>266</v>
      </c>
      <c r="B133" s="3">
        <v>5.96618022</v>
      </c>
      <c r="C133" s="3">
        <v>2.4200000000000004</v>
      </c>
      <c r="D133" s="3">
        <v>1.1101557599999998</v>
      </c>
      <c r="E133" s="3">
        <v>0.95233949999999989</v>
      </c>
      <c r="F133" s="3">
        <v>3.0870000000000002</v>
      </c>
      <c r="G133" s="3">
        <v>1.2856583250000002</v>
      </c>
      <c r="H133" s="3">
        <v>0.41800000000000004</v>
      </c>
      <c r="I133" s="3">
        <v>3.7800000000000002</v>
      </c>
      <c r="K133" s="20">
        <f t="shared" si="5"/>
        <v>19.019333805000002</v>
      </c>
      <c r="L133" s="114"/>
      <c r="M133" s="114"/>
      <c r="N133" s="2">
        <v>4.5</v>
      </c>
      <c r="O133" s="3">
        <f t="shared" si="6"/>
        <v>23.519333805000002</v>
      </c>
    </row>
    <row r="134" spans="1:15" x14ac:dyDescent="0.25">
      <c r="A134" s="14" t="s">
        <v>268</v>
      </c>
      <c r="B134" s="3">
        <v>6.9605435900000003</v>
      </c>
      <c r="C134" s="3">
        <v>2.4200000000000004</v>
      </c>
      <c r="D134" s="3">
        <v>1.2951817199999998</v>
      </c>
      <c r="E134" s="3">
        <v>1.1110627500000001</v>
      </c>
      <c r="F134" s="3">
        <v>5.3549999999999995</v>
      </c>
      <c r="G134" s="3">
        <v>1.4999347125000002</v>
      </c>
      <c r="H134" s="3">
        <v>0.41800000000000004</v>
      </c>
      <c r="I134" s="3">
        <v>4.41</v>
      </c>
      <c r="K134" s="20">
        <f t="shared" si="5"/>
        <v>23.469722772500003</v>
      </c>
      <c r="L134" s="114"/>
      <c r="M134" s="114"/>
      <c r="N134" s="2">
        <v>4.5</v>
      </c>
      <c r="O134" s="3">
        <f t="shared" si="6"/>
        <v>27.969722772500003</v>
      </c>
    </row>
    <row r="135" spans="1:15" x14ac:dyDescent="0.25">
      <c r="A135" s="14" t="s">
        <v>270</v>
      </c>
      <c r="B135" s="3">
        <v>7.9549069600000006</v>
      </c>
      <c r="C135" s="3">
        <v>2.4200000000000004</v>
      </c>
      <c r="D135" s="3">
        <v>1.4802076799999997</v>
      </c>
      <c r="E135" s="3">
        <v>1.2697860000000001</v>
      </c>
      <c r="F135" s="3">
        <v>5.3549999999999995</v>
      </c>
      <c r="G135" s="3">
        <v>1.7142111000000002</v>
      </c>
      <c r="H135" s="3">
        <v>0.41800000000000004</v>
      </c>
      <c r="I135" s="3">
        <v>5.04</v>
      </c>
      <c r="K135" s="20">
        <f t="shared" si="5"/>
        <v>25.652111740000002</v>
      </c>
      <c r="L135" s="114"/>
      <c r="M135" s="114"/>
      <c r="N135" s="2">
        <v>4.5</v>
      </c>
      <c r="O135" s="3">
        <f t="shared" si="6"/>
        <v>30.152111740000002</v>
      </c>
    </row>
    <row r="136" spans="1:15" x14ac:dyDescent="0.25">
      <c r="A136" s="14" t="s">
        <v>272</v>
      </c>
      <c r="B136" s="3">
        <v>8.9492703299999992</v>
      </c>
      <c r="C136" s="3">
        <v>4.4000000000000004</v>
      </c>
      <c r="D136" s="3">
        <v>1.6652336399999996</v>
      </c>
      <c r="E136" s="3">
        <v>1.4285092499999998</v>
      </c>
      <c r="F136" s="3">
        <v>7.665</v>
      </c>
      <c r="G136" s="3">
        <v>1.9284874875</v>
      </c>
      <c r="H136" s="3">
        <v>0.41800000000000004</v>
      </c>
      <c r="I136" s="3">
        <v>6.3000000000000007</v>
      </c>
      <c r="K136" s="20">
        <f t="shared" si="5"/>
        <v>32.7545007075</v>
      </c>
      <c r="L136" s="114"/>
      <c r="M136" s="114"/>
      <c r="N136" s="2">
        <v>4.5</v>
      </c>
      <c r="O136" s="3">
        <f t="shared" si="6"/>
        <v>37.2545007075</v>
      </c>
    </row>
    <row r="137" spans="1:15" x14ac:dyDescent="0.25">
      <c r="A137" s="14" t="s">
        <v>274</v>
      </c>
      <c r="B137" s="3">
        <v>9.9436336999999995</v>
      </c>
      <c r="C137" s="3">
        <v>4.4000000000000004</v>
      </c>
      <c r="D137" s="3">
        <v>5.6596175999999998</v>
      </c>
      <c r="E137" s="3">
        <v>1.904679</v>
      </c>
      <c r="F137" s="3">
        <v>7.665</v>
      </c>
      <c r="G137" s="3">
        <v>2.142763875</v>
      </c>
      <c r="H137" s="3">
        <v>0.41800000000000004</v>
      </c>
      <c r="I137" s="3">
        <v>6.3000000000000007</v>
      </c>
      <c r="K137" s="20">
        <f t="shared" si="5"/>
        <v>38.433694174999999</v>
      </c>
      <c r="L137" s="114"/>
      <c r="M137" s="114"/>
      <c r="N137" s="2">
        <v>4.5</v>
      </c>
      <c r="O137" s="3">
        <f t="shared" si="6"/>
        <v>42.933694174999999</v>
      </c>
    </row>
    <row r="138" spans="1:15" x14ac:dyDescent="0.25">
      <c r="A138" s="14" t="s">
        <v>276</v>
      </c>
      <c r="B138" s="3">
        <v>10.93799707</v>
      </c>
      <c r="C138" s="3">
        <v>4.4000000000000004</v>
      </c>
      <c r="D138" s="3">
        <v>6.2255793599999993</v>
      </c>
      <c r="E138" s="3">
        <v>2.0951469</v>
      </c>
      <c r="F138" s="3">
        <v>7.665</v>
      </c>
      <c r="G138" s="3">
        <v>2.3570402625</v>
      </c>
      <c r="H138" s="3">
        <v>0.41800000000000004</v>
      </c>
      <c r="I138" s="3">
        <v>6.3000000000000007</v>
      </c>
      <c r="K138" s="20">
        <f t="shared" si="5"/>
        <v>40.398763592499996</v>
      </c>
      <c r="L138" s="114"/>
      <c r="M138" s="114"/>
      <c r="N138" s="2">
        <v>4.5</v>
      </c>
      <c r="O138" s="3">
        <f t="shared" si="6"/>
        <v>44.898763592499996</v>
      </c>
    </row>
    <row r="139" spans="1:15" x14ac:dyDescent="0.25">
      <c r="A139" s="14" t="s">
        <v>278</v>
      </c>
      <c r="B139" s="3">
        <v>11.93236044</v>
      </c>
      <c r="C139" s="3">
        <v>4.4000000000000004</v>
      </c>
      <c r="D139" s="3">
        <v>6.7915411199999998</v>
      </c>
      <c r="E139" s="3">
        <v>2.8570185000000001</v>
      </c>
      <c r="F139" s="3">
        <v>7.665</v>
      </c>
      <c r="G139" s="3">
        <v>2.5713166500000004</v>
      </c>
      <c r="H139" s="3">
        <v>0.41800000000000004</v>
      </c>
      <c r="I139" s="3">
        <v>6.3000000000000007</v>
      </c>
      <c r="K139" s="20">
        <f t="shared" si="5"/>
        <v>42.935236709999998</v>
      </c>
      <c r="L139" s="114"/>
      <c r="M139" s="114"/>
      <c r="N139" s="2">
        <v>4.5</v>
      </c>
      <c r="O139" s="3">
        <f t="shared" si="6"/>
        <v>47.435236709999998</v>
      </c>
    </row>
    <row r="140" spans="1:15" x14ac:dyDescent="0.25">
      <c r="A140" s="14" t="s">
        <v>280</v>
      </c>
      <c r="B140" s="3">
        <v>7.14318176</v>
      </c>
      <c r="C140" s="3">
        <v>1.7600000000000002</v>
      </c>
      <c r="D140" s="3">
        <v>1.3291660799999998</v>
      </c>
      <c r="E140" s="3">
        <v>1.1402159999999999</v>
      </c>
      <c r="F140" s="3">
        <v>3.0870000000000002</v>
      </c>
      <c r="G140" s="3">
        <v>1.5392916000000001</v>
      </c>
      <c r="H140" s="3">
        <v>0.47300000000000009</v>
      </c>
      <c r="I140" s="3">
        <v>2.0790000000000002</v>
      </c>
      <c r="K140" s="20">
        <f t="shared" si="5"/>
        <v>18.550855440000003</v>
      </c>
      <c r="L140" s="114"/>
      <c r="M140" s="114"/>
      <c r="N140" s="2">
        <v>4.5</v>
      </c>
      <c r="O140" s="3">
        <f t="shared" si="6"/>
        <v>23.050855440000003</v>
      </c>
    </row>
    <row r="141" spans="1:15" x14ac:dyDescent="0.25">
      <c r="A141" s="14" t="s">
        <v>282</v>
      </c>
      <c r="B141" s="3">
        <v>7.7925619199999998</v>
      </c>
      <c r="C141" s="3">
        <v>2.4200000000000004</v>
      </c>
      <c r="D141" s="3">
        <v>1.4499993599999998</v>
      </c>
      <c r="E141" s="3">
        <v>1.2438720000000001</v>
      </c>
      <c r="F141" s="3">
        <v>3.0870000000000002</v>
      </c>
      <c r="G141" s="3">
        <v>1.6792272000000001</v>
      </c>
      <c r="H141" s="3">
        <v>0.47300000000000009</v>
      </c>
      <c r="I141" s="3">
        <v>3.7800000000000002</v>
      </c>
      <c r="K141" s="20">
        <f t="shared" si="5"/>
        <v>21.925660479999998</v>
      </c>
      <c r="L141" s="114"/>
      <c r="M141" s="114"/>
      <c r="N141" s="2">
        <v>4.5</v>
      </c>
      <c r="O141" s="3">
        <f t="shared" si="6"/>
        <v>26.425660479999998</v>
      </c>
    </row>
    <row r="142" spans="1:15" x14ac:dyDescent="0.25">
      <c r="A142" s="14" t="s">
        <v>284</v>
      </c>
      <c r="B142" s="3">
        <v>9.0913222400000002</v>
      </c>
      <c r="C142" s="3">
        <v>2.4200000000000004</v>
      </c>
      <c r="D142" s="3">
        <v>1.6916659199999997</v>
      </c>
      <c r="E142" s="3">
        <v>1.451184</v>
      </c>
      <c r="F142" s="3">
        <v>5.3549999999999995</v>
      </c>
      <c r="G142" s="3">
        <v>1.9590984</v>
      </c>
      <c r="H142" s="3">
        <v>0.47300000000000009</v>
      </c>
      <c r="I142" s="3">
        <v>4.41</v>
      </c>
      <c r="K142" s="20">
        <f t="shared" si="5"/>
        <v>26.85127056</v>
      </c>
      <c r="L142" s="114"/>
      <c r="M142" s="114"/>
      <c r="N142" s="2">
        <v>4.5</v>
      </c>
      <c r="O142" s="3">
        <f t="shared" si="6"/>
        <v>31.35127056</v>
      </c>
    </row>
    <row r="143" spans="1:15" x14ac:dyDescent="0.25">
      <c r="A143" s="14" t="s">
        <v>286</v>
      </c>
      <c r="B143" s="3">
        <v>10.390082560000002</v>
      </c>
      <c r="C143" s="3">
        <v>2.4200000000000004</v>
      </c>
      <c r="D143" s="3">
        <v>1.9333324799999998</v>
      </c>
      <c r="E143" s="3">
        <v>1.6584960000000002</v>
      </c>
      <c r="F143" s="3">
        <v>5.3549999999999995</v>
      </c>
      <c r="G143" s="3">
        <v>2.2389695999999999</v>
      </c>
      <c r="H143" s="3">
        <v>0.47300000000000009</v>
      </c>
      <c r="I143" s="3">
        <v>5.04</v>
      </c>
      <c r="K143" s="20">
        <f t="shared" si="5"/>
        <v>29.508880640000001</v>
      </c>
      <c r="L143" s="114"/>
      <c r="M143" s="114"/>
      <c r="N143" s="2">
        <v>4.5</v>
      </c>
      <c r="O143" s="3">
        <f t="shared" si="6"/>
        <v>34.008880640000001</v>
      </c>
    </row>
    <row r="144" spans="1:15" x14ac:dyDescent="0.25">
      <c r="A144" s="14" t="s">
        <v>288</v>
      </c>
      <c r="B144" s="3">
        <v>11.688842879999999</v>
      </c>
      <c r="C144" s="3">
        <v>4.4000000000000004</v>
      </c>
      <c r="D144" s="3">
        <v>2.1749990399999999</v>
      </c>
      <c r="E144" s="3">
        <v>1.8658079999999999</v>
      </c>
      <c r="F144" s="3">
        <v>7.665</v>
      </c>
      <c r="G144" s="3">
        <v>2.5188408</v>
      </c>
      <c r="H144" s="3">
        <v>0.47300000000000009</v>
      </c>
      <c r="I144" s="3">
        <v>6.3000000000000007</v>
      </c>
      <c r="K144" s="20">
        <f t="shared" si="5"/>
        <v>37.08649072</v>
      </c>
      <c r="L144" s="114"/>
      <c r="M144" s="114"/>
      <c r="N144" s="2">
        <v>4.5</v>
      </c>
      <c r="O144" s="3">
        <f t="shared" si="6"/>
        <v>41.58649072</v>
      </c>
    </row>
    <row r="145" spans="1:15" x14ac:dyDescent="0.25">
      <c r="A145" s="14" t="s">
        <v>290</v>
      </c>
      <c r="B145" s="3">
        <v>12.987603199999999</v>
      </c>
      <c r="C145" s="3">
        <v>4.4000000000000004</v>
      </c>
      <c r="D145" s="3">
        <v>7.3921535999999994</v>
      </c>
      <c r="E145" s="3">
        <v>2.4877440000000002</v>
      </c>
      <c r="F145" s="3">
        <v>7.665</v>
      </c>
      <c r="G145" s="3">
        <v>2.7987120000000001</v>
      </c>
      <c r="H145" s="3">
        <v>0.47300000000000009</v>
      </c>
      <c r="I145" s="3">
        <v>6.3000000000000007</v>
      </c>
      <c r="K145" s="20">
        <f t="shared" si="5"/>
        <v>44.504212800000005</v>
      </c>
      <c r="L145" s="114"/>
      <c r="M145" s="114"/>
      <c r="N145" s="2">
        <v>4.5</v>
      </c>
      <c r="O145" s="3">
        <f t="shared" si="6"/>
        <v>49.004212800000005</v>
      </c>
    </row>
    <row r="146" spans="1:15" x14ac:dyDescent="0.25">
      <c r="A146" s="14" t="s">
        <v>292</v>
      </c>
      <c r="B146" s="3">
        <v>14.28636352</v>
      </c>
      <c r="C146" s="3">
        <v>4.4000000000000004</v>
      </c>
      <c r="D146" s="3">
        <v>8.1313689599999996</v>
      </c>
      <c r="E146" s="3">
        <v>2.7365184000000005</v>
      </c>
      <c r="F146" s="3">
        <v>7.665</v>
      </c>
      <c r="G146" s="3">
        <v>3.0785832000000002</v>
      </c>
      <c r="H146" s="3">
        <v>0.47300000000000009</v>
      </c>
      <c r="I146" s="3">
        <v>6.3000000000000007</v>
      </c>
      <c r="K146" s="20">
        <f t="shared" si="5"/>
        <v>47.070834080000004</v>
      </c>
      <c r="L146" s="114"/>
      <c r="M146" s="114"/>
      <c r="N146" s="2">
        <v>4.5</v>
      </c>
      <c r="O146" s="3">
        <f t="shared" si="6"/>
        <v>51.570834080000004</v>
      </c>
    </row>
    <row r="147" spans="1:15" x14ac:dyDescent="0.25">
      <c r="A147" s="14" t="s">
        <v>294</v>
      </c>
      <c r="B147" s="3">
        <v>15.58512384</v>
      </c>
      <c r="C147" s="3">
        <v>4.4000000000000004</v>
      </c>
      <c r="D147" s="3">
        <v>8.8705843200000007</v>
      </c>
      <c r="E147" s="3">
        <v>3.7316159999999998</v>
      </c>
      <c r="F147" s="3">
        <v>7.665</v>
      </c>
      <c r="G147" s="3">
        <v>3.3584544000000003</v>
      </c>
      <c r="H147" s="3">
        <v>0.47300000000000009</v>
      </c>
      <c r="I147" s="3">
        <v>6.3000000000000007</v>
      </c>
      <c r="K147" s="20">
        <f t="shared" si="5"/>
        <v>50.383778560000003</v>
      </c>
      <c r="L147" s="114"/>
      <c r="M147" s="114"/>
      <c r="N147" s="2">
        <v>4.5</v>
      </c>
      <c r="O147" s="3">
        <f t="shared" si="6"/>
        <v>54.883778560000003</v>
      </c>
    </row>
    <row r="148" spans="1:15" x14ac:dyDescent="0.25">
      <c r="A148" s="15" t="s">
        <v>350</v>
      </c>
      <c r="B148" s="3">
        <v>0.68022028800000001</v>
      </c>
      <c r="C148" s="3">
        <v>1.87</v>
      </c>
      <c r="D148" s="3">
        <v>0.1199448</v>
      </c>
      <c r="E148" s="3">
        <v>0.24488729999999997</v>
      </c>
      <c r="F148" s="3">
        <v>1.1445000000000001</v>
      </c>
      <c r="G148" s="3">
        <v>0.36749999999999999</v>
      </c>
      <c r="H148" s="3">
        <v>0.31900000000000006</v>
      </c>
      <c r="I148" s="3">
        <v>0</v>
      </c>
      <c r="K148" s="20">
        <f t="shared" si="5"/>
        <v>4.7460523879999998</v>
      </c>
      <c r="L148" s="114"/>
      <c r="M148" s="114"/>
      <c r="N148" s="2" t="s">
        <v>575</v>
      </c>
      <c r="O148" s="3" t="s">
        <v>575</v>
      </c>
    </row>
    <row r="149" spans="1:15" x14ac:dyDescent="0.25">
      <c r="A149" s="15" t="s">
        <v>352</v>
      </c>
      <c r="B149" s="3">
        <v>0.76524782400000002</v>
      </c>
      <c r="C149" s="3">
        <v>1.87</v>
      </c>
      <c r="D149" s="3">
        <v>0.1349379</v>
      </c>
      <c r="E149" s="3">
        <v>0.27549821250000001</v>
      </c>
      <c r="F149" s="3">
        <v>1.1445000000000001</v>
      </c>
      <c r="G149" s="3">
        <v>0.36749999999999999</v>
      </c>
      <c r="H149" s="3">
        <v>0.31900000000000006</v>
      </c>
      <c r="I149" s="3">
        <v>1.0206000000000002</v>
      </c>
      <c r="K149" s="20">
        <f t="shared" si="5"/>
        <v>5.8972839365000009</v>
      </c>
      <c r="L149" s="114"/>
      <c r="M149" s="114"/>
      <c r="N149" s="2" t="s">
        <v>575</v>
      </c>
      <c r="O149" s="3" t="s">
        <v>575</v>
      </c>
    </row>
    <row r="150" spans="1:15" x14ac:dyDescent="0.25">
      <c r="A150" s="15" t="s">
        <v>354</v>
      </c>
      <c r="B150" s="3">
        <v>0.90696038400000001</v>
      </c>
      <c r="C150" s="3">
        <v>1.87</v>
      </c>
      <c r="D150" s="3">
        <v>0.1599264</v>
      </c>
      <c r="E150" s="3">
        <v>0.32651640000000004</v>
      </c>
      <c r="F150" s="3">
        <v>1.827</v>
      </c>
      <c r="G150" s="3">
        <v>0.36749999999999999</v>
      </c>
      <c r="H150" s="3">
        <v>0.31900000000000006</v>
      </c>
      <c r="I150" s="3">
        <v>1.2096</v>
      </c>
      <c r="K150" s="20">
        <f t="shared" si="5"/>
        <v>6.986503184</v>
      </c>
      <c r="L150" s="114"/>
      <c r="M150" s="114"/>
      <c r="N150" s="2" t="s">
        <v>575</v>
      </c>
      <c r="O150" s="3" t="s">
        <v>575</v>
      </c>
    </row>
    <row r="151" spans="1:15" x14ac:dyDescent="0.25">
      <c r="A151" s="15" t="s">
        <v>356</v>
      </c>
      <c r="B151" s="3">
        <v>1.048672944</v>
      </c>
      <c r="C151" s="3">
        <v>1.7</v>
      </c>
      <c r="D151" s="3">
        <v>0.18491489999999999</v>
      </c>
      <c r="E151" s="3">
        <v>0.37753458749999996</v>
      </c>
      <c r="F151" s="3">
        <v>1.827</v>
      </c>
      <c r="G151" s="3">
        <v>0.36749999999999999</v>
      </c>
      <c r="H151" s="3">
        <v>0.31900000000000006</v>
      </c>
      <c r="I151" s="3">
        <v>1.8648</v>
      </c>
      <c r="K151" s="20">
        <f t="shared" si="5"/>
        <v>7.6894224314999997</v>
      </c>
      <c r="L151" s="114"/>
      <c r="M151" s="114"/>
      <c r="N151" s="2" t="s">
        <v>575</v>
      </c>
      <c r="O151" s="3" t="s">
        <v>575</v>
      </c>
    </row>
    <row r="152" spans="1:15" x14ac:dyDescent="0.25">
      <c r="A152" s="15" t="s">
        <v>358</v>
      </c>
      <c r="B152" s="3">
        <v>1.190385504</v>
      </c>
      <c r="C152" s="3">
        <v>1.9800000000000002</v>
      </c>
      <c r="D152" s="3">
        <v>0.20990340000000002</v>
      </c>
      <c r="E152" s="3">
        <v>0.428552775</v>
      </c>
      <c r="F152" s="3">
        <v>1.827</v>
      </c>
      <c r="G152" s="3">
        <v>0.36749999999999999</v>
      </c>
      <c r="H152" s="3">
        <v>0.31900000000000006</v>
      </c>
      <c r="I152" s="3">
        <v>2.1168</v>
      </c>
      <c r="K152" s="20">
        <f t="shared" si="5"/>
        <v>8.4391416790000005</v>
      </c>
      <c r="L152" s="114"/>
      <c r="M152" s="114"/>
      <c r="N152" s="2" t="s">
        <v>575</v>
      </c>
      <c r="O152" s="3" t="s">
        <v>575</v>
      </c>
    </row>
    <row r="153" spans="1:15" x14ac:dyDescent="0.25">
      <c r="A153" s="15" t="s">
        <v>360</v>
      </c>
      <c r="B153" s="3">
        <v>1.4738106240000002</v>
      </c>
      <c r="C153" s="3">
        <v>2.4200000000000004</v>
      </c>
      <c r="D153" s="3">
        <v>0.25988040000000001</v>
      </c>
      <c r="E153" s="3">
        <v>0.53058915000000006</v>
      </c>
      <c r="F153" s="3">
        <v>3.8115000000000001</v>
      </c>
      <c r="G153" s="3">
        <v>0.36749999999999999</v>
      </c>
      <c r="H153" s="3">
        <v>0.31900000000000006</v>
      </c>
      <c r="I153" s="3">
        <v>2.6208</v>
      </c>
      <c r="K153" s="20">
        <f t="shared" si="5"/>
        <v>11.803080174000002</v>
      </c>
      <c r="L153" s="114"/>
      <c r="M153" s="114"/>
      <c r="N153" s="2" t="s">
        <v>575</v>
      </c>
      <c r="O153" s="3" t="s">
        <v>575</v>
      </c>
    </row>
    <row r="154" spans="1:15" x14ac:dyDescent="0.25">
      <c r="A154" s="15" t="s">
        <v>362</v>
      </c>
      <c r="B154" s="3">
        <v>1.7572357440000002</v>
      </c>
      <c r="C154" s="3">
        <v>3.3000000000000003</v>
      </c>
      <c r="D154" s="3">
        <v>0.30985740000000006</v>
      </c>
      <c r="E154" s="3">
        <v>0.63262552500000002</v>
      </c>
      <c r="F154" s="3">
        <v>3.8115000000000001</v>
      </c>
      <c r="G154" s="3">
        <v>0.36749999999999999</v>
      </c>
      <c r="H154" s="3">
        <v>0.31900000000000006</v>
      </c>
      <c r="I154" s="3">
        <v>3.9060000000000001</v>
      </c>
      <c r="K154" s="20">
        <f t="shared" si="5"/>
        <v>14.403718669000002</v>
      </c>
      <c r="L154" s="114"/>
      <c r="M154" s="114"/>
      <c r="N154" s="2" t="s">
        <v>575</v>
      </c>
      <c r="O154" s="3" t="s">
        <v>575</v>
      </c>
    </row>
    <row r="155" spans="1:15" x14ac:dyDescent="0.25">
      <c r="A155" s="15" t="s">
        <v>364</v>
      </c>
      <c r="B155" s="3">
        <v>2.0406608639999999</v>
      </c>
      <c r="C155" s="3">
        <v>3.9600000000000004</v>
      </c>
      <c r="D155" s="3">
        <v>0.3598344</v>
      </c>
      <c r="E155" s="3">
        <v>0.73466190000000009</v>
      </c>
      <c r="F155" s="3">
        <v>3.8115000000000001</v>
      </c>
      <c r="G155" s="3">
        <v>0.36749999999999999</v>
      </c>
      <c r="H155" s="3">
        <v>0.31900000000000006</v>
      </c>
      <c r="I155" s="3">
        <v>4.5360000000000005</v>
      </c>
      <c r="K155" s="20">
        <f t="shared" si="5"/>
        <v>16.129157164000002</v>
      </c>
      <c r="L155" s="114"/>
      <c r="M155" s="114"/>
      <c r="N155" s="2" t="s">
        <v>575</v>
      </c>
      <c r="O155" s="3" t="s">
        <v>575</v>
      </c>
    </row>
    <row r="156" spans="1:15" x14ac:dyDescent="0.25">
      <c r="A156" s="15" t="s">
        <v>366</v>
      </c>
      <c r="B156" s="3">
        <v>1.3348128640000001</v>
      </c>
      <c r="C156" s="3">
        <v>1.87</v>
      </c>
      <c r="D156" s="3">
        <v>0.16916659199999998</v>
      </c>
      <c r="E156" s="3">
        <v>0.17414208000000003</v>
      </c>
      <c r="F156" s="3">
        <v>1.1550000000000002</v>
      </c>
      <c r="G156" s="3">
        <v>0.2176776</v>
      </c>
      <c r="H156" s="3">
        <v>0.31900000000000006</v>
      </c>
      <c r="I156" s="3">
        <v>0</v>
      </c>
      <c r="K156" s="20">
        <f t="shared" si="5"/>
        <v>5.2397991360000002</v>
      </c>
      <c r="L156" s="114"/>
      <c r="M156" s="114"/>
      <c r="N156" s="2" t="s">
        <v>575</v>
      </c>
      <c r="O156" s="3" t="s">
        <v>575</v>
      </c>
    </row>
    <row r="157" spans="1:15" x14ac:dyDescent="0.25">
      <c r="A157" s="15" t="s">
        <v>368</v>
      </c>
      <c r="B157" s="3">
        <v>1.5255004160000001</v>
      </c>
      <c r="C157" s="3">
        <v>1.87</v>
      </c>
      <c r="D157" s="3">
        <v>0.19333324799999999</v>
      </c>
      <c r="E157" s="3">
        <v>0.19901952000000003</v>
      </c>
      <c r="F157" s="3">
        <v>1.47</v>
      </c>
      <c r="G157" s="3">
        <v>0.24877440000000001</v>
      </c>
      <c r="H157" s="3">
        <v>0.31900000000000006</v>
      </c>
      <c r="I157" s="3">
        <v>1.2096</v>
      </c>
      <c r="K157" s="20">
        <f t="shared" si="5"/>
        <v>7.0352275840000003</v>
      </c>
      <c r="L157" s="114"/>
      <c r="M157" s="114"/>
      <c r="N157" s="2" t="s">
        <v>575</v>
      </c>
      <c r="O157" s="3" t="s">
        <v>575</v>
      </c>
    </row>
    <row r="158" spans="1:15" x14ac:dyDescent="0.25">
      <c r="A158" s="15" t="s">
        <v>370</v>
      </c>
      <c r="B158" s="3">
        <v>1.7638598560000001</v>
      </c>
      <c r="C158" s="3">
        <v>1.87</v>
      </c>
      <c r="D158" s="3">
        <v>0.223541568</v>
      </c>
      <c r="E158" s="3">
        <v>0.23011632000000004</v>
      </c>
      <c r="F158" s="3">
        <v>1.47</v>
      </c>
      <c r="G158" s="3">
        <v>0.2876454</v>
      </c>
      <c r="H158" s="3">
        <v>0.31900000000000006</v>
      </c>
      <c r="I158" s="3">
        <v>1.8648</v>
      </c>
      <c r="K158" s="20">
        <f t="shared" si="5"/>
        <v>8.0289631440000004</v>
      </c>
      <c r="L158" s="114"/>
      <c r="M158" s="114"/>
      <c r="N158" s="2" t="s">
        <v>575</v>
      </c>
      <c r="O158" s="3" t="s">
        <v>575</v>
      </c>
    </row>
    <row r="159" spans="1:15" x14ac:dyDescent="0.25">
      <c r="A159" s="15" t="s">
        <v>372</v>
      </c>
      <c r="B159" s="3">
        <v>2.0022192959999998</v>
      </c>
      <c r="C159" s="3">
        <v>2.09</v>
      </c>
      <c r="D159" s="3">
        <v>0.25374988799999998</v>
      </c>
      <c r="E159" s="3">
        <v>0.26121312000000008</v>
      </c>
      <c r="F159" s="3">
        <v>1.8900000000000001</v>
      </c>
      <c r="G159" s="3">
        <v>0.32651640000000004</v>
      </c>
      <c r="H159" s="3">
        <v>0.31900000000000006</v>
      </c>
      <c r="I159" s="3">
        <v>2.1168</v>
      </c>
      <c r="K159" s="20">
        <f t="shared" si="5"/>
        <v>9.2594987039999985</v>
      </c>
      <c r="L159" s="114"/>
      <c r="M159" s="114"/>
      <c r="N159" s="2" t="s">
        <v>575</v>
      </c>
      <c r="O159" s="3" t="s">
        <v>575</v>
      </c>
    </row>
    <row r="160" spans="1:15" x14ac:dyDescent="0.25">
      <c r="A160" s="15" t="s">
        <v>374</v>
      </c>
      <c r="B160" s="3">
        <v>2.4789381760000002</v>
      </c>
      <c r="C160" s="3">
        <v>2.4200000000000004</v>
      </c>
      <c r="D160" s="3">
        <v>0.31416652799999994</v>
      </c>
      <c r="E160" s="3">
        <v>0.32340672000000004</v>
      </c>
      <c r="F160" s="3">
        <v>2.2890000000000001</v>
      </c>
      <c r="G160" s="3">
        <v>0.40425840000000002</v>
      </c>
      <c r="H160" s="3">
        <v>0.31900000000000006</v>
      </c>
      <c r="I160" s="3">
        <v>2.6208</v>
      </c>
      <c r="K160" s="20">
        <f t="shared" si="5"/>
        <v>11.169569824</v>
      </c>
      <c r="L160" s="114"/>
      <c r="M160" s="114"/>
      <c r="N160" s="2" t="s">
        <v>575</v>
      </c>
      <c r="O160" s="3" t="s">
        <v>575</v>
      </c>
    </row>
    <row r="161" spans="1:15" x14ac:dyDescent="0.25">
      <c r="A161" s="15" t="s">
        <v>376</v>
      </c>
      <c r="B161" s="3">
        <v>2.9556570560000002</v>
      </c>
      <c r="C161" s="3">
        <v>3.08</v>
      </c>
      <c r="D161" s="3">
        <v>0.37458316799999997</v>
      </c>
      <c r="E161" s="3">
        <v>0.38560032000000005</v>
      </c>
      <c r="F161" s="3">
        <v>3.8115000000000001</v>
      </c>
      <c r="G161" s="3">
        <v>0.4820004</v>
      </c>
      <c r="H161" s="3">
        <v>0.31900000000000006</v>
      </c>
      <c r="I161" s="3">
        <v>3.9060000000000001</v>
      </c>
      <c r="K161" s="20">
        <f t="shared" si="5"/>
        <v>15.314340944</v>
      </c>
      <c r="L161" s="114"/>
      <c r="M161" s="114"/>
      <c r="N161" s="2" t="s">
        <v>575</v>
      </c>
      <c r="O161" s="3" t="s">
        <v>575</v>
      </c>
    </row>
    <row r="162" spans="1:15" x14ac:dyDescent="0.25">
      <c r="A162" s="15" t="s">
        <v>378</v>
      </c>
      <c r="B162" s="3">
        <v>3.4323759360000001</v>
      </c>
      <c r="C162" s="3">
        <v>3.9600000000000004</v>
      </c>
      <c r="D162" s="3">
        <v>0.43499980799999999</v>
      </c>
      <c r="E162" s="3">
        <v>0.44779392000000007</v>
      </c>
      <c r="F162" s="3">
        <v>3.8115000000000001</v>
      </c>
      <c r="G162" s="3">
        <v>0.55974239999999997</v>
      </c>
      <c r="H162" s="3">
        <v>0.31900000000000006</v>
      </c>
      <c r="I162" s="3">
        <v>4.5360000000000005</v>
      </c>
      <c r="K162" s="20">
        <f t="shared" si="5"/>
        <v>17.501412064000004</v>
      </c>
      <c r="L162" s="114"/>
      <c r="M162" s="114"/>
      <c r="N162" s="2" t="s">
        <v>575</v>
      </c>
      <c r="O162" s="3" t="s">
        <v>575</v>
      </c>
    </row>
    <row r="163" spans="1:15" x14ac:dyDescent="0.25">
      <c r="A163" s="15" t="s">
        <v>380</v>
      </c>
      <c r="B163" s="3">
        <v>3.9090948159999996</v>
      </c>
      <c r="C163" s="3">
        <v>4.18</v>
      </c>
      <c r="D163" s="3">
        <v>0.49541644799999995</v>
      </c>
      <c r="E163" s="3">
        <v>0.50998752000000003</v>
      </c>
      <c r="F163" s="3">
        <v>4.5780000000000003</v>
      </c>
      <c r="G163" s="3">
        <v>0.63748440000000006</v>
      </c>
      <c r="H163" s="3">
        <v>0.31900000000000006</v>
      </c>
      <c r="I163" s="3">
        <v>6.3000000000000007</v>
      </c>
      <c r="K163" s="20">
        <f t="shared" si="5"/>
        <v>20.928983184</v>
      </c>
      <c r="L163" s="114"/>
      <c r="M163" s="114"/>
      <c r="N163" s="2" t="s">
        <v>575</v>
      </c>
      <c r="O163" s="3" t="s">
        <v>575</v>
      </c>
    </row>
    <row r="164" spans="1:15" x14ac:dyDescent="0.25">
      <c r="A164" s="15" t="s">
        <v>382</v>
      </c>
      <c r="B164" s="3">
        <v>4.3858136960000005</v>
      </c>
      <c r="C164" s="3">
        <v>4.4000000000000004</v>
      </c>
      <c r="D164" s="3">
        <v>0.55583308799999998</v>
      </c>
      <c r="E164" s="3">
        <v>0.85827168000000009</v>
      </c>
      <c r="F164" s="3">
        <v>4.5780000000000003</v>
      </c>
      <c r="G164" s="3">
        <v>0.71522640000000004</v>
      </c>
      <c r="H164" s="3">
        <v>0.31900000000000006</v>
      </c>
      <c r="I164" s="3">
        <v>6.3000000000000007</v>
      </c>
      <c r="K164" s="20">
        <f t="shared" si="5"/>
        <v>22.112144864000001</v>
      </c>
      <c r="L164" s="114"/>
      <c r="M164" s="114"/>
      <c r="N164" s="2" t="s">
        <v>575</v>
      </c>
      <c r="O164" s="3" t="s">
        <v>575</v>
      </c>
    </row>
    <row r="165" spans="1:15" x14ac:dyDescent="0.25">
      <c r="A165" s="15" t="s">
        <v>384</v>
      </c>
      <c r="B165" s="3">
        <v>5.3392514560000004</v>
      </c>
      <c r="C165" s="3">
        <v>4.4000000000000004</v>
      </c>
      <c r="D165" s="3">
        <v>2.0698030080000001</v>
      </c>
      <c r="E165" s="3">
        <v>1.0448524800000003</v>
      </c>
      <c r="F165" s="3">
        <v>4.5780000000000003</v>
      </c>
      <c r="G165" s="3">
        <v>0.8707104</v>
      </c>
      <c r="H165" s="3">
        <v>0.31900000000000006</v>
      </c>
      <c r="I165" s="3">
        <v>6.3000000000000007</v>
      </c>
      <c r="K165" s="20">
        <f t="shared" si="5"/>
        <v>24.921617344000005</v>
      </c>
      <c r="L165" s="114"/>
      <c r="M165" s="114"/>
      <c r="N165" s="2" t="s">
        <v>575</v>
      </c>
      <c r="O165" s="3" t="s">
        <v>575</v>
      </c>
    </row>
    <row r="166" spans="1:15" x14ac:dyDescent="0.25">
      <c r="A166" s="15" t="s">
        <v>386</v>
      </c>
      <c r="B166" s="3">
        <v>1.039327245</v>
      </c>
      <c r="C166" s="3">
        <v>1.6</v>
      </c>
      <c r="D166" s="3">
        <v>0.15670565999999997</v>
      </c>
      <c r="E166" s="3">
        <v>0.16131465</v>
      </c>
      <c r="F166" s="3">
        <v>0.91349999999999998</v>
      </c>
      <c r="G166" s="3">
        <v>0.2016433125</v>
      </c>
      <c r="H166" s="3">
        <v>0.39600000000000002</v>
      </c>
      <c r="I166" s="3">
        <v>0</v>
      </c>
      <c r="K166" s="20">
        <f t="shared" si="5"/>
        <v>4.4684908674999999</v>
      </c>
      <c r="L166" s="114"/>
      <c r="M166" s="114"/>
      <c r="N166" s="2">
        <v>4.2</v>
      </c>
      <c r="O166" s="3">
        <f t="shared" si="6"/>
        <v>8.668490867500001</v>
      </c>
    </row>
    <row r="167" spans="1:15" x14ac:dyDescent="0.25">
      <c r="A167" s="15" t="s">
        <v>388</v>
      </c>
      <c r="B167" s="3">
        <v>1.7530821000000001</v>
      </c>
      <c r="C167" s="3">
        <v>1.87</v>
      </c>
      <c r="D167" s="3">
        <v>0.26432279999999997</v>
      </c>
      <c r="E167" s="3">
        <v>0.27209700000000003</v>
      </c>
      <c r="F167" s="3">
        <v>1.1550000000000002</v>
      </c>
      <c r="G167" s="3">
        <v>0.34012124999999999</v>
      </c>
      <c r="H167" s="3">
        <v>0.39600000000000002</v>
      </c>
      <c r="I167" s="3">
        <v>0</v>
      </c>
      <c r="K167" s="20">
        <f t="shared" si="5"/>
        <v>6.0506231500000007</v>
      </c>
      <c r="L167" s="114"/>
      <c r="M167" s="114"/>
      <c r="N167" s="2">
        <v>4.2</v>
      </c>
      <c r="O167" s="3">
        <f t="shared" si="6"/>
        <v>10.250623150000001</v>
      </c>
    </row>
    <row r="168" spans="1:15" x14ac:dyDescent="0.25">
      <c r="A168" s="15" t="s">
        <v>390</v>
      </c>
      <c r="B168" s="3">
        <v>2.0035224</v>
      </c>
      <c r="C168" s="3">
        <v>1.87</v>
      </c>
      <c r="D168" s="3">
        <v>0.3020832</v>
      </c>
      <c r="E168" s="3">
        <v>0.31096800000000002</v>
      </c>
      <c r="F168" s="3">
        <v>1.47</v>
      </c>
      <c r="G168" s="3">
        <v>0.38871</v>
      </c>
      <c r="H168" s="3">
        <v>0.39600000000000002</v>
      </c>
      <c r="I168" s="3">
        <v>0</v>
      </c>
      <c r="K168" s="20">
        <f t="shared" si="5"/>
        <v>6.7412836000000009</v>
      </c>
      <c r="L168" s="114"/>
      <c r="M168" s="114"/>
      <c r="N168" s="2">
        <v>4.2</v>
      </c>
      <c r="O168" s="3">
        <f t="shared" si="6"/>
        <v>10.941283600000002</v>
      </c>
    </row>
    <row r="169" spans="1:15" x14ac:dyDescent="0.25">
      <c r="A169" s="15" t="s">
        <v>392</v>
      </c>
      <c r="B169" s="3">
        <v>2.316572775</v>
      </c>
      <c r="C169" s="3">
        <v>1.87</v>
      </c>
      <c r="D169" s="3">
        <v>0.34928369999999997</v>
      </c>
      <c r="E169" s="3">
        <v>0.35955675000000004</v>
      </c>
      <c r="F169" s="3">
        <v>1.47</v>
      </c>
      <c r="G169" s="3">
        <v>0.44944593749999995</v>
      </c>
      <c r="H169" s="3">
        <v>0.39600000000000002</v>
      </c>
      <c r="I169" s="3">
        <v>0</v>
      </c>
      <c r="K169" s="20">
        <f t="shared" si="5"/>
        <v>7.2108591624999994</v>
      </c>
      <c r="L169" s="114"/>
      <c r="M169" s="114"/>
      <c r="N169" s="2">
        <v>4.2</v>
      </c>
      <c r="O169" s="3">
        <f t="shared" si="6"/>
        <v>11.4108591625</v>
      </c>
    </row>
    <row r="170" spans="1:15" x14ac:dyDescent="0.25">
      <c r="A170" s="15" t="s">
        <v>394</v>
      </c>
      <c r="B170" s="3">
        <v>2.62962315</v>
      </c>
      <c r="C170" s="3">
        <v>2.09</v>
      </c>
      <c r="D170" s="3">
        <v>0.39648419999999995</v>
      </c>
      <c r="E170" s="3">
        <v>0.40814550000000005</v>
      </c>
      <c r="F170" s="3">
        <v>1.8900000000000001</v>
      </c>
      <c r="G170" s="3">
        <v>0.51018187500000001</v>
      </c>
      <c r="H170" s="3">
        <v>0.39600000000000002</v>
      </c>
      <c r="I170" s="3">
        <v>2.1168</v>
      </c>
      <c r="K170" s="20">
        <f t="shared" si="5"/>
        <v>10.437234725</v>
      </c>
      <c r="L170" s="114"/>
      <c r="M170" s="114"/>
      <c r="N170" s="2">
        <v>4.2</v>
      </c>
      <c r="O170" s="3">
        <f t="shared" si="6"/>
        <v>14.637234724999999</v>
      </c>
    </row>
    <row r="171" spans="1:15" x14ac:dyDescent="0.25">
      <c r="A171" s="15" t="s">
        <v>396</v>
      </c>
      <c r="B171" s="3">
        <v>3.2557239000000004</v>
      </c>
      <c r="C171" s="3">
        <v>2.4200000000000004</v>
      </c>
      <c r="D171" s="3">
        <v>0.49088520000000002</v>
      </c>
      <c r="E171" s="3">
        <v>0.50532300000000008</v>
      </c>
      <c r="F171" s="3">
        <v>2.625</v>
      </c>
      <c r="G171" s="3">
        <v>0.63165375000000001</v>
      </c>
      <c r="H171" s="3">
        <v>0.39600000000000002</v>
      </c>
      <c r="I171" s="3">
        <v>2.6208</v>
      </c>
      <c r="K171" s="20">
        <f t="shared" si="5"/>
        <v>12.945385850000001</v>
      </c>
      <c r="L171" s="114"/>
      <c r="M171" s="114"/>
      <c r="N171" s="2">
        <v>4.2</v>
      </c>
      <c r="O171" s="3">
        <f t="shared" si="6"/>
        <v>17.14538585</v>
      </c>
    </row>
    <row r="172" spans="1:15" x14ac:dyDescent="0.25">
      <c r="A172" s="15" t="s">
        <v>398</v>
      </c>
      <c r="B172" s="3">
        <v>3.8818246500000004</v>
      </c>
      <c r="C172" s="3">
        <v>3.08</v>
      </c>
      <c r="D172" s="3">
        <v>0.58528619999999998</v>
      </c>
      <c r="E172" s="3">
        <v>0.60250050000000011</v>
      </c>
      <c r="F172" s="3">
        <v>3.8115000000000001</v>
      </c>
      <c r="G172" s="3">
        <v>0.75312562500000002</v>
      </c>
      <c r="H172" s="3">
        <v>0.39600000000000002</v>
      </c>
      <c r="I172" s="3">
        <v>3.9060000000000001</v>
      </c>
      <c r="K172" s="20">
        <f t="shared" si="5"/>
        <v>17.016236975000002</v>
      </c>
      <c r="L172" s="114"/>
      <c r="M172" s="114"/>
      <c r="N172" s="2">
        <v>4.2</v>
      </c>
      <c r="O172" s="3">
        <f t="shared" si="6"/>
        <v>21.216236975000001</v>
      </c>
    </row>
    <row r="173" spans="1:15" x14ac:dyDescent="0.25">
      <c r="A173" s="15" t="s">
        <v>400</v>
      </c>
      <c r="B173" s="3">
        <v>4.5079254000000004</v>
      </c>
      <c r="C173" s="3">
        <v>3.9600000000000004</v>
      </c>
      <c r="D173" s="3">
        <v>0.67968719999999994</v>
      </c>
      <c r="E173" s="3">
        <v>0.69967800000000013</v>
      </c>
      <c r="F173" s="3">
        <v>3.8115000000000001</v>
      </c>
      <c r="G173" s="3">
        <v>0.87459749999999992</v>
      </c>
      <c r="H173" s="3">
        <v>0.39600000000000002</v>
      </c>
      <c r="I173" s="3">
        <v>4.5360000000000005</v>
      </c>
      <c r="K173" s="20">
        <f t="shared" si="5"/>
        <v>19.465388100000002</v>
      </c>
      <c r="L173" s="114"/>
      <c r="M173" s="114"/>
      <c r="N173" s="2">
        <v>4.2</v>
      </c>
      <c r="O173" s="3">
        <f t="shared" si="6"/>
        <v>23.665388100000001</v>
      </c>
    </row>
    <row r="174" spans="1:15" x14ac:dyDescent="0.25">
      <c r="A174" s="15" t="s">
        <v>402</v>
      </c>
      <c r="B174" s="3">
        <v>5.1340261500000004</v>
      </c>
      <c r="C174" s="3">
        <v>4.18</v>
      </c>
      <c r="D174" s="3">
        <v>0.77408819999999989</v>
      </c>
      <c r="E174" s="3">
        <v>0.79685550000000016</v>
      </c>
      <c r="F174" s="3">
        <v>4.8615000000000004</v>
      </c>
      <c r="G174" s="3">
        <v>0.99606937500000003</v>
      </c>
      <c r="H174" s="3">
        <v>0.39600000000000002</v>
      </c>
      <c r="I174" s="3">
        <v>6.3000000000000007</v>
      </c>
      <c r="K174" s="20">
        <f t="shared" si="5"/>
        <v>23.438539225000003</v>
      </c>
      <c r="L174" s="114"/>
      <c r="M174" s="114"/>
      <c r="N174" s="2">
        <v>4.2</v>
      </c>
      <c r="O174" s="3">
        <f t="shared" si="6"/>
        <v>27.638539225000002</v>
      </c>
    </row>
    <row r="175" spans="1:15" x14ac:dyDescent="0.25">
      <c r="A175" s="15" t="s">
        <v>404</v>
      </c>
      <c r="B175" s="3">
        <v>5.7601269000000004</v>
      </c>
      <c r="C175" s="3">
        <v>4.4000000000000004</v>
      </c>
      <c r="D175" s="3">
        <v>0.86848919999999985</v>
      </c>
      <c r="E175" s="3">
        <v>1.3410495</v>
      </c>
      <c r="F175" s="3">
        <v>4.8615000000000004</v>
      </c>
      <c r="G175" s="3">
        <v>1.1175412499999999</v>
      </c>
      <c r="H175" s="3">
        <v>0.39600000000000002</v>
      </c>
      <c r="I175" s="3">
        <v>6.3000000000000007</v>
      </c>
      <c r="K175" s="20">
        <f t="shared" si="5"/>
        <v>25.044706850000001</v>
      </c>
      <c r="L175" s="114"/>
      <c r="M175" s="114"/>
      <c r="N175" s="2">
        <v>4.2</v>
      </c>
      <c r="O175" s="3">
        <f t="shared" si="6"/>
        <v>29.24470685</v>
      </c>
    </row>
    <row r="176" spans="1:15" x14ac:dyDescent="0.25">
      <c r="A176" s="15" t="s">
        <v>1009</v>
      </c>
      <c r="B176" s="3">
        <v>7.0123284000000004</v>
      </c>
      <c r="C176" s="3">
        <v>5.5</v>
      </c>
      <c r="D176" s="3">
        <v>3.2340671999999997</v>
      </c>
      <c r="E176" s="3">
        <v>1.6325820000000002</v>
      </c>
      <c r="F176" s="3">
        <v>6.8565000000000005</v>
      </c>
      <c r="G176" s="3">
        <v>1.3604849999999999</v>
      </c>
      <c r="H176" s="3">
        <v>0.39600000000000002</v>
      </c>
      <c r="I176" s="3">
        <v>6.3000000000000007</v>
      </c>
      <c r="K176" s="20">
        <f t="shared" si="5"/>
        <v>32.291962599999998</v>
      </c>
      <c r="L176" s="114"/>
      <c r="M176" s="114"/>
      <c r="N176" s="2">
        <v>4.2</v>
      </c>
      <c r="O176" s="3">
        <f t="shared" si="6"/>
        <v>36.491962600000001</v>
      </c>
    </row>
    <row r="177" spans="1:15" x14ac:dyDescent="0.25">
      <c r="A177" s="15" t="s">
        <v>1010</v>
      </c>
      <c r="B177" s="3">
        <v>1.2127174488000001</v>
      </c>
      <c r="C177" s="3">
        <v>1.6</v>
      </c>
      <c r="D177" s="3">
        <v>0.22565615040000001</v>
      </c>
      <c r="E177" s="3">
        <v>9.678879E-2</v>
      </c>
      <c r="F177" s="3">
        <v>0.91349999999999998</v>
      </c>
      <c r="G177" s="3">
        <v>0.26132973300000001</v>
      </c>
      <c r="H177" s="3">
        <v>0.39600000000000002</v>
      </c>
      <c r="I177" s="3">
        <v>0</v>
      </c>
      <c r="K177" s="20">
        <f t="shared" si="5"/>
        <v>4.7059921222000005</v>
      </c>
      <c r="L177" s="114"/>
      <c r="M177" s="114"/>
      <c r="N177" s="2">
        <v>4.2</v>
      </c>
      <c r="O177" s="3">
        <f t="shared" si="6"/>
        <v>8.9059921222000007</v>
      </c>
    </row>
    <row r="178" spans="1:15" x14ac:dyDescent="0.25">
      <c r="A178" s="15" t="s">
        <v>1011</v>
      </c>
      <c r="B178" s="3">
        <v>2.629989648</v>
      </c>
      <c r="C178" s="3">
        <v>1.87</v>
      </c>
      <c r="D178" s="3">
        <v>0.4893747839999999</v>
      </c>
      <c r="E178" s="3">
        <v>0.20990340000000002</v>
      </c>
      <c r="F178" s="3">
        <v>1.47</v>
      </c>
      <c r="G178" s="3">
        <v>0.56673918000000001</v>
      </c>
      <c r="H178" s="3">
        <v>0.39600000000000002</v>
      </c>
      <c r="I178" s="3">
        <v>0</v>
      </c>
      <c r="K178" s="20">
        <f t="shared" si="5"/>
        <v>7.6320070120000008</v>
      </c>
      <c r="L178" s="114"/>
      <c r="M178" s="114"/>
      <c r="N178" s="2">
        <v>4.2</v>
      </c>
      <c r="O178" s="3">
        <f t="shared" si="6"/>
        <v>11.832007012000002</v>
      </c>
    </row>
    <row r="179" spans="1:15" x14ac:dyDescent="0.25">
      <c r="A179" s="15" t="s">
        <v>1012</v>
      </c>
      <c r="B179" s="3">
        <v>2.9952659880000003</v>
      </c>
      <c r="C179" s="3">
        <v>2.09</v>
      </c>
      <c r="D179" s="3">
        <v>0.55734350399999999</v>
      </c>
      <c r="E179" s="3">
        <v>0.23905664999999998</v>
      </c>
      <c r="F179" s="3">
        <v>1.8900000000000001</v>
      </c>
      <c r="G179" s="3">
        <v>0.64545295499999999</v>
      </c>
      <c r="H179" s="3">
        <v>0.39600000000000002</v>
      </c>
      <c r="I179" s="3">
        <v>0</v>
      </c>
      <c r="K179" s="20">
        <f t="shared" si="5"/>
        <v>8.8131190969999995</v>
      </c>
      <c r="L179" s="114"/>
      <c r="M179" s="114"/>
      <c r="N179" s="2">
        <v>4.2</v>
      </c>
      <c r="O179" s="3">
        <f t="shared" si="6"/>
        <v>13.013119097000001</v>
      </c>
    </row>
    <row r="180" spans="1:15" x14ac:dyDescent="0.25">
      <c r="A180" s="15" t="s">
        <v>1013</v>
      </c>
      <c r="B180" s="3">
        <v>3.3605423280000002</v>
      </c>
      <c r="C180" s="3">
        <v>2.09</v>
      </c>
      <c r="D180" s="3">
        <v>0.62531222399999986</v>
      </c>
      <c r="E180" s="3">
        <v>0.2682099</v>
      </c>
      <c r="F180" s="3">
        <v>1.8900000000000001</v>
      </c>
      <c r="G180" s="3">
        <v>0.72416672999999998</v>
      </c>
      <c r="H180" s="3">
        <v>0.39600000000000002</v>
      </c>
      <c r="I180" s="3">
        <v>0</v>
      </c>
      <c r="K180" s="20">
        <f t="shared" si="5"/>
        <v>9.3542311819999995</v>
      </c>
      <c r="L180" s="114"/>
      <c r="M180" s="114"/>
      <c r="N180" s="2">
        <v>4.2</v>
      </c>
      <c r="O180" s="3">
        <f t="shared" si="6"/>
        <v>13.554231181999999</v>
      </c>
    </row>
    <row r="181" spans="1:15" x14ac:dyDescent="0.25">
      <c r="A181" s="15" t="s">
        <v>1014</v>
      </c>
      <c r="B181" s="3">
        <v>4.0910950079999999</v>
      </c>
      <c r="C181" s="3">
        <v>2.4200000000000004</v>
      </c>
      <c r="D181" s="3">
        <v>0.76124966399999994</v>
      </c>
      <c r="E181" s="3">
        <v>0.32651640000000004</v>
      </c>
      <c r="F181" s="3">
        <v>3.8115000000000001</v>
      </c>
      <c r="G181" s="3">
        <v>0.88159428000000017</v>
      </c>
      <c r="H181" s="3">
        <v>0.39600000000000002</v>
      </c>
      <c r="I181" s="3">
        <v>3.5279999999999996</v>
      </c>
      <c r="K181" s="20">
        <f t="shared" si="5"/>
        <v>16.215955351999998</v>
      </c>
      <c r="L181" s="114"/>
      <c r="M181" s="114"/>
      <c r="N181" s="2">
        <v>4.2</v>
      </c>
      <c r="O181" s="3">
        <f t="shared" si="6"/>
        <v>20.415955351999997</v>
      </c>
    </row>
    <row r="182" spans="1:15" x14ac:dyDescent="0.25">
      <c r="A182" s="15" t="s">
        <v>1015</v>
      </c>
      <c r="B182" s="3">
        <v>4.8216476879999997</v>
      </c>
      <c r="C182" s="3">
        <v>3.08</v>
      </c>
      <c r="D182" s="3">
        <v>0.8971871039999999</v>
      </c>
      <c r="E182" s="3">
        <v>0.76964580000000005</v>
      </c>
      <c r="F182" s="3">
        <v>3.7800000000000002</v>
      </c>
      <c r="G182" s="3">
        <v>1.03902183</v>
      </c>
      <c r="H182" s="3">
        <v>0.39600000000000002</v>
      </c>
      <c r="I182" s="3">
        <v>4.1579999999999995</v>
      </c>
      <c r="K182" s="20">
        <f t="shared" si="5"/>
        <v>18.941502421999999</v>
      </c>
      <c r="L182" s="114"/>
      <c r="M182" s="114"/>
      <c r="N182" s="2">
        <v>4.2</v>
      </c>
      <c r="O182" s="3">
        <f t="shared" si="6"/>
        <v>23.141502421999999</v>
      </c>
    </row>
    <row r="183" spans="1:15" x14ac:dyDescent="0.25">
      <c r="A183" s="15" t="s">
        <v>1016</v>
      </c>
      <c r="B183" s="3">
        <v>5.5522003680000003</v>
      </c>
      <c r="C183" s="3">
        <v>3.9600000000000004</v>
      </c>
      <c r="D183" s="3">
        <v>1.0331245440000001</v>
      </c>
      <c r="E183" s="3">
        <v>0.88625880000000001</v>
      </c>
      <c r="F183" s="3">
        <v>3.7800000000000002</v>
      </c>
      <c r="G183" s="3">
        <v>1.1964493800000002</v>
      </c>
      <c r="H183" s="3">
        <v>0.39600000000000002</v>
      </c>
      <c r="I183" s="3">
        <v>4.7879999999999994</v>
      </c>
      <c r="K183" s="20">
        <f t="shared" si="5"/>
        <v>21.592033092000001</v>
      </c>
      <c r="L183" s="114"/>
      <c r="M183" s="114"/>
      <c r="N183" s="2">
        <v>4.2</v>
      </c>
      <c r="O183" s="3">
        <f t="shared" si="6"/>
        <v>25.792033092</v>
      </c>
    </row>
    <row r="184" spans="1:15" x14ac:dyDescent="0.25">
      <c r="A184" s="15" t="s">
        <v>1017</v>
      </c>
      <c r="B184" s="3">
        <v>6.2827530480000009</v>
      </c>
      <c r="C184" s="3">
        <v>4.18</v>
      </c>
      <c r="D184" s="3">
        <v>1.1690619839999998</v>
      </c>
      <c r="E184" s="3">
        <v>1.0028718000000001</v>
      </c>
      <c r="F184" s="3">
        <v>4.5780000000000003</v>
      </c>
      <c r="G184" s="3">
        <v>1.3538769300000002</v>
      </c>
      <c r="H184" s="3">
        <v>0.39600000000000002</v>
      </c>
      <c r="I184" s="3">
        <v>6.3000000000000007</v>
      </c>
      <c r="K184" s="20">
        <f t="shared" si="5"/>
        <v>25.262563761999999</v>
      </c>
      <c r="L184" s="114"/>
      <c r="M184" s="114"/>
      <c r="N184" s="2">
        <v>4.2</v>
      </c>
      <c r="O184" s="3">
        <f t="shared" si="6"/>
        <v>29.462563761999998</v>
      </c>
    </row>
    <row r="185" spans="1:15" x14ac:dyDescent="0.25">
      <c r="A185" s="15" t="s">
        <v>1018</v>
      </c>
      <c r="B185" s="3">
        <v>7.0133057280000006</v>
      </c>
      <c r="C185" s="3">
        <v>4.4000000000000004</v>
      </c>
      <c r="D185" s="3">
        <v>1.3049994239999998</v>
      </c>
      <c r="E185" s="3">
        <v>1.3433817600000002</v>
      </c>
      <c r="F185" s="3">
        <v>4.5780000000000003</v>
      </c>
      <c r="G185" s="3">
        <v>1.51130448</v>
      </c>
      <c r="H185" s="3">
        <v>0.39600000000000002</v>
      </c>
      <c r="I185" s="3">
        <v>6.3000000000000007</v>
      </c>
      <c r="K185" s="20">
        <f t="shared" si="5"/>
        <v>26.846991392</v>
      </c>
      <c r="L185" s="114"/>
      <c r="M185" s="114"/>
      <c r="N185" s="2">
        <v>4.2</v>
      </c>
      <c r="O185" s="3">
        <f t="shared" si="6"/>
        <v>31.046991391999999</v>
      </c>
    </row>
    <row r="186" spans="1:15" x14ac:dyDescent="0.25">
      <c r="A186" s="15" t="s">
        <v>1019</v>
      </c>
      <c r="B186" s="3">
        <v>7.7438584080000004</v>
      </c>
      <c r="C186" s="3">
        <v>5.5</v>
      </c>
      <c r="D186" s="3">
        <v>4.4075715840000003</v>
      </c>
      <c r="E186" s="3">
        <v>1.4833173600000003</v>
      </c>
      <c r="F186" s="3">
        <v>6.8565000000000005</v>
      </c>
      <c r="G186" s="3">
        <v>1.6687320300000001</v>
      </c>
      <c r="H186" s="3">
        <v>0.39600000000000002</v>
      </c>
      <c r="I186" s="3">
        <v>6.3000000000000007</v>
      </c>
      <c r="K186" s="20">
        <f t="shared" si="5"/>
        <v>34.355979382000001</v>
      </c>
      <c r="L186" s="114"/>
      <c r="M186" s="114"/>
      <c r="N186" s="2">
        <v>4.2</v>
      </c>
      <c r="O186" s="3">
        <f t="shared" si="6"/>
        <v>38.555979382000004</v>
      </c>
    </row>
    <row r="187" spans="1:15" x14ac:dyDescent="0.25">
      <c r="A187" s="15" t="s">
        <v>1020</v>
      </c>
      <c r="B187" s="3">
        <v>8.4744110880000001</v>
      </c>
      <c r="C187" s="3">
        <v>5.5</v>
      </c>
      <c r="D187" s="3">
        <v>4.8233802239999992</v>
      </c>
      <c r="E187" s="3">
        <v>2.0290661999999999</v>
      </c>
      <c r="F187" s="3">
        <v>6.8565000000000005</v>
      </c>
      <c r="G187" s="3">
        <v>1.8261595800000001</v>
      </c>
      <c r="H187" s="3">
        <v>0.39600000000000002</v>
      </c>
      <c r="I187" s="3">
        <v>6.3000000000000007</v>
      </c>
      <c r="K187" s="20">
        <f t="shared" si="5"/>
        <v>36.205517091999994</v>
      </c>
      <c r="L187" s="114"/>
      <c r="M187" s="114"/>
      <c r="N187" s="2">
        <v>4.2</v>
      </c>
      <c r="O187" s="3">
        <f t="shared" si="6"/>
        <v>40.405517091999997</v>
      </c>
    </row>
    <row r="188" spans="1:15" x14ac:dyDescent="0.25">
      <c r="A188" s="15" t="s">
        <v>408</v>
      </c>
      <c r="B188" s="3">
        <v>6.4938015999999994</v>
      </c>
      <c r="C188" s="3">
        <v>2.75</v>
      </c>
      <c r="D188" s="3">
        <v>1.2083328</v>
      </c>
      <c r="E188" s="3">
        <v>0.51827999999999996</v>
      </c>
      <c r="F188" s="3">
        <v>3.0870000000000002</v>
      </c>
      <c r="G188" s="3">
        <v>1.399356</v>
      </c>
      <c r="H188" s="3">
        <v>0.41800000000000004</v>
      </c>
      <c r="I188" s="3">
        <v>1.8900000000000001</v>
      </c>
      <c r="K188" s="20">
        <f t="shared" si="5"/>
        <v>17.7647704</v>
      </c>
      <c r="L188" s="114"/>
      <c r="M188" s="114"/>
      <c r="N188" s="2">
        <v>4.5</v>
      </c>
      <c r="O188" s="3">
        <f t="shared" si="6"/>
        <v>22.2647704</v>
      </c>
    </row>
    <row r="189" spans="1:15" x14ac:dyDescent="0.25">
      <c r="A189" s="15" t="s">
        <v>410</v>
      </c>
      <c r="B189" s="3">
        <v>7.14318176</v>
      </c>
      <c r="C189" s="3">
        <v>2.75</v>
      </c>
      <c r="D189" s="3">
        <v>1.3291660799999998</v>
      </c>
      <c r="E189" s="3">
        <v>0.57010799999999995</v>
      </c>
      <c r="F189" s="3">
        <v>3.0870000000000002</v>
      </c>
      <c r="G189" s="3">
        <v>1.5392916000000001</v>
      </c>
      <c r="H189" s="3">
        <v>0.41800000000000004</v>
      </c>
      <c r="I189" s="3">
        <v>2.0790000000000002</v>
      </c>
      <c r="K189" s="20">
        <f t="shared" si="5"/>
        <v>18.915747440000001</v>
      </c>
      <c r="L189" s="114"/>
      <c r="M189" s="114"/>
      <c r="N189" s="2">
        <v>4.5</v>
      </c>
      <c r="O189" s="3">
        <f t="shared" si="6"/>
        <v>23.415747440000001</v>
      </c>
    </row>
    <row r="190" spans="1:15" x14ac:dyDescent="0.25">
      <c r="A190" s="15" t="s">
        <v>412</v>
      </c>
      <c r="B190" s="3">
        <v>7.7925619199999998</v>
      </c>
      <c r="C190" s="3">
        <v>3.3000000000000003</v>
      </c>
      <c r="D190" s="3">
        <v>1.4499993599999998</v>
      </c>
      <c r="E190" s="3">
        <v>1.2438720000000001</v>
      </c>
      <c r="F190" s="3">
        <v>3.0870000000000002</v>
      </c>
      <c r="G190" s="3">
        <v>1.6792272000000001</v>
      </c>
      <c r="H190" s="3">
        <v>0.41800000000000004</v>
      </c>
      <c r="I190" s="3">
        <v>3.7800000000000002</v>
      </c>
      <c r="K190" s="20">
        <f t="shared" si="5"/>
        <v>22.750660480000001</v>
      </c>
      <c r="L190" s="114"/>
      <c r="M190" s="114"/>
      <c r="N190" s="2">
        <v>4.5</v>
      </c>
      <c r="O190" s="3">
        <f t="shared" si="6"/>
        <v>27.250660480000001</v>
      </c>
    </row>
    <row r="191" spans="1:15" x14ac:dyDescent="0.25">
      <c r="A191" s="15" t="s">
        <v>414</v>
      </c>
      <c r="B191" s="3">
        <v>9.0913222400000002</v>
      </c>
      <c r="C191" s="3">
        <v>3.8500000000000005</v>
      </c>
      <c r="D191" s="3">
        <v>1.6916659199999997</v>
      </c>
      <c r="E191" s="3">
        <v>1.451184</v>
      </c>
      <c r="F191" s="3">
        <v>5.3549999999999995</v>
      </c>
      <c r="G191" s="3">
        <v>1.9590984</v>
      </c>
      <c r="H191" s="3">
        <v>0.41800000000000004</v>
      </c>
      <c r="I191" s="3">
        <v>4.41</v>
      </c>
      <c r="K191" s="20">
        <f t="shared" si="5"/>
        <v>28.22627056</v>
      </c>
      <c r="L191" s="114"/>
      <c r="M191" s="114"/>
      <c r="N191" s="2">
        <v>4.5</v>
      </c>
      <c r="O191" s="3">
        <f t="shared" si="6"/>
        <v>32.726270560000003</v>
      </c>
    </row>
    <row r="192" spans="1:15" x14ac:dyDescent="0.25">
      <c r="A192" s="15" t="s">
        <v>416</v>
      </c>
      <c r="B192" s="3">
        <v>10.390082560000002</v>
      </c>
      <c r="C192" s="3">
        <v>4.4000000000000004</v>
      </c>
      <c r="D192" s="3">
        <v>1.9333324799999998</v>
      </c>
      <c r="E192" s="3">
        <v>1.6584960000000002</v>
      </c>
      <c r="F192" s="3">
        <v>5.3549999999999995</v>
      </c>
      <c r="G192" s="3">
        <v>2.2389695999999999</v>
      </c>
      <c r="H192" s="3">
        <v>0.41800000000000004</v>
      </c>
      <c r="I192" s="3">
        <v>5.04</v>
      </c>
      <c r="K192" s="20">
        <f t="shared" si="5"/>
        <v>31.433880640000005</v>
      </c>
      <c r="L192" s="114"/>
      <c r="M192" s="114"/>
      <c r="N192" s="2">
        <v>4.5</v>
      </c>
      <c r="O192" s="3">
        <f t="shared" si="6"/>
        <v>35.933880640000005</v>
      </c>
    </row>
    <row r="193" spans="1:15" x14ac:dyDescent="0.25">
      <c r="A193" s="15" t="s">
        <v>418</v>
      </c>
      <c r="B193" s="3">
        <v>11.688842879999999</v>
      </c>
      <c r="C193" s="3">
        <v>4.95</v>
      </c>
      <c r="D193" s="3">
        <v>2.1749990399999999</v>
      </c>
      <c r="E193" s="3">
        <v>1.8658079999999999</v>
      </c>
      <c r="F193" s="3">
        <v>7.665</v>
      </c>
      <c r="G193" s="3">
        <v>2.5188408</v>
      </c>
      <c r="H193" s="3">
        <v>0.41800000000000004</v>
      </c>
      <c r="I193" s="3">
        <v>6.3000000000000007</v>
      </c>
      <c r="K193" s="20">
        <f t="shared" si="5"/>
        <v>37.581490720000005</v>
      </c>
      <c r="L193" s="114"/>
      <c r="M193" s="114"/>
      <c r="N193" s="2">
        <v>4.5</v>
      </c>
      <c r="O193" s="3">
        <f t="shared" si="6"/>
        <v>42.081490720000005</v>
      </c>
    </row>
    <row r="194" spans="1:15" x14ac:dyDescent="0.25">
      <c r="A194" s="15" t="s">
        <v>420</v>
      </c>
      <c r="B194" s="3">
        <v>12.987603199999999</v>
      </c>
      <c r="C194" s="3">
        <v>5.5</v>
      </c>
      <c r="D194" s="3">
        <v>7.3921535999999994</v>
      </c>
      <c r="E194" s="3">
        <v>2.4877440000000002</v>
      </c>
      <c r="F194" s="3">
        <v>7.665</v>
      </c>
      <c r="G194" s="3">
        <v>2.7987120000000001</v>
      </c>
      <c r="H194" s="3">
        <v>0.41800000000000004</v>
      </c>
      <c r="I194" s="3">
        <v>6.3000000000000007</v>
      </c>
      <c r="K194" s="20">
        <f t="shared" si="5"/>
        <v>45.549212799999992</v>
      </c>
      <c r="L194" s="114"/>
      <c r="M194" s="114"/>
      <c r="N194" s="2">
        <v>4.5</v>
      </c>
      <c r="O194" s="3">
        <f t="shared" si="6"/>
        <v>50.049212799999992</v>
      </c>
    </row>
    <row r="195" spans="1:15" x14ac:dyDescent="0.25">
      <c r="A195" s="15" t="s">
        <v>422</v>
      </c>
      <c r="B195" s="3">
        <v>14.28636352</v>
      </c>
      <c r="C195" s="3">
        <v>5.5</v>
      </c>
      <c r="D195" s="3">
        <v>8.1313689599999996</v>
      </c>
      <c r="E195" s="3">
        <v>2.7365184000000005</v>
      </c>
      <c r="F195" s="3">
        <v>7.665</v>
      </c>
      <c r="G195" s="3">
        <v>3.0785832000000002</v>
      </c>
      <c r="H195" s="3">
        <v>0.41800000000000004</v>
      </c>
      <c r="I195" s="3">
        <v>6.3000000000000007</v>
      </c>
      <c r="K195" s="20">
        <f t="shared" si="5"/>
        <v>48.115834080000006</v>
      </c>
      <c r="L195" s="114"/>
      <c r="M195" s="114"/>
      <c r="N195" s="2">
        <v>4.5</v>
      </c>
      <c r="O195" s="3">
        <f t="shared" si="6"/>
        <v>52.615834080000006</v>
      </c>
    </row>
    <row r="196" spans="1:15" x14ac:dyDescent="0.25">
      <c r="A196" s="15" t="s">
        <v>424</v>
      </c>
      <c r="B196" s="3">
        <v>15.58512384</v>
      </c>
      <c r="C196" s="3">
        <v>5.5</v>
      </c>
      <c r="D196" s="3">
        <v>8.8705843200000007</v>
      </c>
      <c r="E196" s="3">
        <v>3.7316159999999998</v>
      </c>
      <c r="F196" s="3">
        <v>7.665</v>
      </c>
      <c r="G196" s="3">
        <v>3.3584544000000003</v>
      </c>
      <c r="H196" s="3">
        <v>0.41800000000000004</v>
      </c>
      <c r="I196" s="3">
        <v>6.3000000000000007</v>
      </c>
      <c r="K196" s="20">
        <f t="shared" ref="K196:K255" si="7">I196+H196+G196+F196+E196+D196+C196+B196</f>
        <v>51.428778560000005</v>
      </c>
      <c r="L196" s="114"/>
      <c r="M196" s="114"/>
      <c r="N196" s="2">
        <v>4.5</v>
      </c>
      <c r="O196" s="3">
        <f>N196+K196</f>
        <v>55.928778560000005</v>
      </c>
    </row>
    <row r="197" spans="1:15" x14ac:dyDescent="0.25">
      <c r="A197" s="15" t="s">
        <v>426</v>
      </c>
      <c r="B197" s="3">
        <v>11.161221500000002</v>
      </c>
      <c r="C197" s="3">
        <v>3.3000000000000003</v>
      </c>
      <c r="D197" s="3">
        <v>2.0768219999999995</v>
      </c>
      <c r="E197" s="3">
        <v>1.7815875000000001</v>
      </c>
      <c r="F197" s="3">
        <v>2.415</v>
      </c>
      <c r="G197" s="3">
        <v>2.4051431249999999</v>
      </c>
      <c r="H197" s="3">
        <v>0.47300000000000009</v>
      </c>
      <c r="I197" s="3">
        <v>2.0790000000000002</v>
      </c>
      <c r="K197" s="20">
        <f t="shared" si="7"/>
        <v>25.691774125000002</v>
      </c>
      <c r="L197" s="114"/>
      <c r="M197" s="114"/>
      <c r="N197" s="2" t="s">
        <v>575</v>
      </c>
      <c r="O197" s="3" t="s">
        <v>575</v>
      </c>
    </row>
    <row r="198" spans="1:15" x14ac:dyDescent="0.25">
      <c r="A198" s="15" t="s">
        <v>428</v>
      </c>
      <c r="B198" s="3">
        <v>12.175878000000001</v>
      </c>
      <c r="C198" s="3">
        <v>3.8500000000000005</v>
      </c>
      <c r="D198" s="3">
        <v>2.2656239999999999</v>
      </c>
      <c r="E198" s="3">
        <v>1.9435499999999999</v>
      </c>
      <c r="F198" s="3">
        <v>2.415</v>
      </c>
      <c r="G198" s="3">
        <v>2.6237925</v>
      </c>
      <c r="H198" s="3">
        <v>0.47300000000000009</v>
      </c>
      <c r="I198" s="3">
        <v>3.7800000000000002</v>
      </c>
      <c r="K198" s="20">
        <f t="shared" si="7"/>
        <v>29.526844500000003</v>
      </c>
      <c r="L198" s="114"/>
      <c r="M198" s="114"/>
      <c r="N198" s="2" t="s">
        <v>575</v>
      </c>
      <c r="O198" s="3" t="s">
        <v>575</v>
      </c>
    </row>
    <row r="199" spans="1:15" x14ac:dyDescent="0.25">
      <c r="A199" s="15" t="s">
        <v>430</v>
      </c>
      <c r="B199" s="3">
        <v>14.205191000000001</v>
      </c>
      <c r="C199" s="3">
        <v>4.4000000000000004</v>
      </c>
      <c r="D199" s="3">
        <v>2.6432280000000001</v>
      </c>
      <c r="E199" s="3">
        <v>2.2674750000000006</v>
      </c>
      <c r="F199" s="3">
        <v>6.8250000000000002</v>
      </c>
      <c r="G199" s="3">
        <v>3.0610912500000005</v>
      </c>
      <c r="H199" s="3">
        <v>0.47300000000000009</v>
      </c>
      <c r="I199" s="3">
        <v>4.41</v>
      </c>
      <c r="K199" s="20">
        <f t="shared" si="7"/>
        <v>38.284985249999998</v>
      </c>
      <c r="L199" s="114"/>
      <c r="M199" s="114"/>
      <c r="N199" s="2" t="s">
        <v>575</v>
      </c>
      <c r="O199" s="3" t="s">
        <v>575</v>
      </c>
    </row>
    <row r="200" spans="1:15" x14ac:dyDescent="0.25">
      <c r="A200" s="15" t="s">
        <v>432</v>
      </c>
      <c r="B200" s="3">
        <v>16.234504000000001</v>
      </c>
      <c r="C200" s="3">
        <v>4.95</v>
      </c>
      <c r="D200" s="3">
        <v>3.020832</v>
      </c>
      <c r="E200" s="3">
        <v>2.5914000000000001</v>
      </c>
      <c r="F200" s="3">
        <v>6.8250000000000002</v>
      </c>
      <c r="G200" s="3">
        <v>3.4983900000000001</v>
      </c>
      <c r="H200" s="3">
        <v>0.47300000000000009</v>
      </c>
      <c r="I200" s="3">
        <v>5.04</v>
      </c>
      <c r="K200" s="20">
        <f t="shared" si="7"/>
        <v>42.633126000000004</v>
      </c>
      <c r="L200" s="114"/>
      <c r="M200" s="114"/>
      <c r="N200" s="2" t="s">
        <v>575</v>
      </c>
      <c r="O200" s="3" t="s">
        <v>575</v>
      </c>
    </row>
    <row r="201" spans="1:15" x14ac:dyDescent="0.25">
      <c r="A201" s="15" t="s">
        <v>434</v>
      </c>
      <c r="B201" s="3">
        <v>18.263817000000003</v>
      </c>
      <c r="C201" s="3">
        <v>5.5</v>
      </c>
      <c r="D201" s="3">
        <v>3.3984360000000002</v>
      </c>
      <c r="E201" s="3">
        <v>2.9153250000000002</v>
      </c>
      <c r="F201" s="3">
        <v>7.665</v>
      </c>
      <c r="G201" s="3">
        <v>3.9356887500000006</v>
      </c>
      <c r="H201" s="3">
        <v>0.47300000000000009</v>
      </c>
      <c r="I201" s="3">
        <v>6.3000000000000007</v>
      </c>
      <c r="K201" s="20">
        <f t="shared" si="7"/>
        <v>48.451266750000002</v>
      </c>
      <c r="L201" s="114"/>
      <c r="M201" s="114"/>
      <c r="N201" s="2" t="s">
        <v>575</v>
      </c>
      <c r="O201" s="3" t="s">
        <v>575</v>
      </c>
    </row>
    <row r="202" spans="1:15" x14ac:dyDescent="0.25">
      <c r="A202" s="15" t="s">
        <v>436</v>
      </c>
      <c r="B202" s="3">
        <v>20.293130000000001</v>
      </c>
      <c r="C202" s="3">
        <v>6.6000000000000005</v>
      </c>
      <c r="D202" s="3">
        <v>11.550240000000001</v>
      </c>
      <c r="E202" s="3">
        <v>3.8871000000000002</v>
      </c>
      <c r="F202" s="3">
        <v>7.665</v>
      </c>
      <c r="G202" s="3">
        <v>4.3729874999999998</v>
      </c>
      <c r="H202" s="3">
        <v>0.47300000000000009</v>
      </c>
      <c r="I202" s="3">
        <v>6.3000000000000007</v>
      </c>
      <c r="K202" s="20">
        <f t="shared" si="7"/>
        <v>61.141457500000001</v>
      </c>
      <c r="L202" s="114"/>
      <c r="M202" s="114"/>
      <c r="N202" s="2" t="s">
        <v>575</v>
      </c>
      <c r="O202" s="3" t="s">
        <v>575</v>
      </c>
    </row>
    <row r="203" spans="1:15" x14ac:dyDescent="0.25">
      <c r="A203" s="15" t="s">
        <v>438</v>
      </c>
      <c r="B203" s="3">
        <v>22.322443000000003</v>
      </c>
      <c r="C203" s="3">
        <v>6.6000000000000005</v>
      </c>
      <c r="D203" s="3">
        <v>12.705264</v>
      </c>
      <c r="E203" s="3">
        <v>4.2758100000000008</v>
      </c>
      <c r="F203" s="3">
        <v>7.665</v>
      </c>
      <c r="G203" s="3">
        <v>4.8102862499999999</v>
      </c>
      <c r="H203" s="3">
        <v>0.47300000000000009</v>
      </c>
      <c r="I203" s="3">
        <v>6.3000000000000007</v>
      </c>
      <c r="K203" s="20">
        <f t="shared" si="7"/>
        <v>65.15180325</v>
      </c>
      <c r="L203" s="114"/>
      <c r="M203" s="114"/>
      <c r="N203" s="2" t="s">
        <v>575</v>
      </c>
      <c r="O203" s="3" t="s">
        <v>575</v>
      </c>
    </row>
    <row r="204" spans="1:15" x14ac:dyDescent="0.25">
      <c r="A204" s="15" t="s">
        <v>440</v>
      </c>
      <c r="B204" s="3">
        <v>24.351756000000002</v>
      </c>
      <c r="C204" s="3">
        <v>6.6000000000000005</v>
      </c>
      <c r="D204" s="3">
        <v>13.860287999999999</v>
      </c>
      <c r="E204" s="3">
        <v>5.8306499999999994</v>
      </c>
      <c r="F204" s="3">
        <v>7.665</v>
      </c>
      <c r="G204" s="3">
        <v>5.2475849999999999</v>
      </c>
      <c r="H204" s="3">
        <v>0.47300000000000009</v>
      </c>
      <c r="I204" s="3">
        <v>6.3000000000000007</v>
      </c>
      <c r="K204" s="20">
        <f t="shared" si="7"/>
        <v>70.328279000000009</v>
      </c>
      <c r="L204" s="114"/>
      <c r="M204" s="114"/>
      <c r="N204" s="2" t="s">
        <v>575</v>
      </c>
      <c r="O204" s="3" t="s">
        <v>575</v>
      </c>
    </row>
    <row r="205" spans="1:15" x14ac:dyDescent="0.25">
      <c r="A205" s="16" t="s">
        <v>302</v>
      </c>
      <c r="B205" s="3">
        <v>0.68022028800000001</v>
      </c>
      <c r="C205" s="3">
        <v>2.6179999999999999</v>
      </c>
      <c r="D205" s="3">
        <v>0.1199448</v>
      </c>
      <c r="E205" s="3">
        <v>0.24488729999999997</v>
      </c>
      <c r="F205" s="3">
        <v>1.1445000000000001</v>
      </c>
      <c r="G205" s="3">
        <v>0.36749999999999999</v>
      </c>
      <c r="H205" s="3">
        <v>0.31900000000000006</v>
      </c>
      <c r="I205" s="3">
        <v>0</v>
      </c>
      <c r="K205" s="20">
        <f t="shared" si="7"/>
        <v>5.4940523880000001</v>
      </c>
      <c r="L205" s="114"/>
      <c r="M205" s="114"/>
      <c r="N205" s="2" t="s">
        <v>575</v>
      </c>
      <c r="O205" s="3" t="s">
        <v>575</v>
      </c>
    </row>
    <row r="206" spans="1:15" x14ac:dyDescent="0.25">
      <c r="A206" s="16" t="s">
        <v>304</v>
      </c>
      <c r="B206" s="3">
        <v>0.68022028800000001</v>
      </c>
      <c r="C206" s="3">
        <v>2.6179999999999999</v>
      </c>
      <c r="D206" s="3">
        <v>0.1199448</v>
      </c>
      <c r="E206" s="3">
        <v>0.24488729999999997</v>
      </c>
      <c r="F206" s="3">
        <v>1.1445000000000001</v>
      </c>
      <c r="G206" s="3">
        <v>0.36749999999999999</v>
      </c>
      <c r="H206" s="3">
        <v>0.31900000000000006</v>
      </c>
      <c r="I206" s="3">
        <v>0</v>
      </c>
      <c r="K206" s="20">
        <f t="shared" si="7"/>
        <v>5.4940523880000001</v>
      </c>
      <c r="L206" s="114"/>
      <c r="M206" s="114"/>
      <c r="N206" s="2" t="s">
        <v>575</v>
      </c>
      <c r="O206" s="3" t="s">
        <v>575</v>
      </c>
    </row>
    <row r="207" spans="1:15" x14ac:dyDescent="0.25">
      <c r="A207" s="16" t="s">
        <v>306</v>
      </c>
      <c r="B207" s="3">
        <v>0.68022028800000001</v>
      </c>
      <c r="C207" s="3">
        <v>2.6179999999999999</v>
      </c>
      <c r="D207" s="3">
        <v>0.1199448</v>
      </c>
      <c r="E207" s="3">
        <v>0.24488729999999997</v>
      </c>
      <c r="F207" s="3">
        <v>1.1445000000000001</v>
      </c>
      <c r="G207" s="3">
        <v>0.36749999999999999</v>
      </c>
      <c r="H207" s="3">
        <v>0.31900000000000006</v>
      </c>
      <c r="I207" s="3">
        <v>0</v>
      </c>
      <c r="K207" s="20">
        <f t="shared" si="7"/>
        <v>5.4940523880000001</v>
      </c>
      <c r="L207" s="114"/>
      <c r="M207" s="114"/>
      <c r="N207" s="2" t="s">
        <v>575</v>
      </c>
      <c r="O207" s="3" t="s">
        <v>575</v>
      </c>
    </row>
    <row r="208" spans="1:15" x14ac:dyDescent="0.25">
      <c r="A208" s="16" t="s">
        <v>308</v>
      </c>
      <c r="B208" s="3">
        <v>0.68022028800000001</v>
      </c>
      <c r="C208" s="3">
        <v>2.6179999999999999</v>
      </c>
      <c r="D208" s="3">
        <v>0.1199448</v>
      </c>
      <c r="E208" s="3">
        <v>0.24488729999999997</v>
      </c>
      <c r="F208" s="3">
        <v>1.1445000000000001</v>
      </c>
      <c r="G208" s="3">
        <v>0.36749999999999999</v>
      </c>
      <c r="H208" s="3">
        <v>0.31900000000000006</v>
      </c>
      <c r="I208" s="3">
        <v>0</v>
      </c>
      <c r="K208" s="20">
        <f t="shared" si="7"/>
        <v>5.4940523880000001</v>
      </c>
      <c r="L208" s="114"/>
      <c r="M208" s="114"/>
      <c r="N208" s="2" t="s">
        <v>575</v>
      </c>
      <c r="O208" s="3" t="s">
        <v>575</v>
      </c>
    </row>
    <row r="209" spans="1:15" x14ac:dyDescent="0.25">
      <c r="A209" s="16" t="s">
        <v>310</v>
      </c>
      <c r="B209" s="3">
        <v>1.3348128640000001</v>
      </c>
      <c r="C209" s="3">
        <v>1.32</v>
      </c>
      <c r="D209" s="3">
        <v>0.16916659199999998</v>
      </c>
      <c r="E209" s="3">
        <v>0.17414208000000003</v>
      </c>
      <c r="F209" s="3">
        <v>1.1550000000000002</v>
      </c>
      <c r="G209" s="3">
        <v>0.2176776</v>
      </c>
      <c r="H209" s="3">
        <v>0.31900000000000006</v>
      </c>
      <c r="I209" s="3">
        <v>0</v>
      </c>
      <c r="K209" s="20">
        <f t="shared" si="7"/>
        <v>4.6897991360000004</v>
      </c>
      <c r="L209" s="114"/>
      <c r="M209" s="114"/>
      <c r="N209" s="2" t="s">
        <v>575</v>
      </c>
      <c r="O209" s="3" t="s">
        <v>575</v>
      </c>
    </row>
    <row r="210" spans="1:15" x14ac:dyDescent="0.25">
      <c r="A210" s="16" t="s">
        <v>312</v>
      </c>
      <c r="B210" s="3">
        <v>1.3348128640000001</v>
      </c>
      <c r="C210" s="3">
        <v>1.32</v>
      </c>
      <c r="D210" s="3">
        <v>0.16916659199999998</v>
      </c>
      <c r="E210" s="3">
        <v>0.17414208000000003</v>
      </c>
      <c r="F210" s="3">
        <v>1.1550000000000002</v>
      </c>
      <c r="G210" s="3">
        <v>0.2176776</v>
      </c>
      <c r="H210" s="3">
        <v>0.31900000000000006</v>
      </c>
      <c r="I210" s="3">
        <v>0</v>
      </c>
      <c r="K210" s="20">
        <f t="shared" si="7"/>
        <v>4.6897991360000004</v>
      </c>
      <c r="L210" s="114"/>
      <c r="M210" s="114"/>
      <c r="N210" s="2" t="s">
        <v>575</v>
      </c>
      <c r="O210" s="3" t="s">
        <v>575</v>
      </c>
    </row>
    <row r="211" spans="1:15" x14ac:dyDescent="0.25">
      <c r="A211" s="16" t="s">
        <v>314</v>
      </c>
      <c r="B211" s="3">
        <v>2.0035224</v>
      </c>
      <c r="C211" s="3">
        <v>1.32</v>
      </c>
      <c r="D211" s="3">
        <v>0.3020832</v>
      </c>
      <c r="E211" s="3">
        <v>0.31096800000000002</v>
      </c>
      <c r="F211" s="3">
        <v>1.47</v>
      </c>
      <c r="G211" s="3">
        <v>0.38871</v>
      </c>
      <c r="H211" s="3">
        <v>0.41800000000000004</v>
      </c>
      <c r="I211" s="3">
        <v>0</v>
      </c>
      <c r="K211" s="20">
        <f t="shared" si="7"/>
        <v>6.2132836000000005</v>
      </c>
      <c r="L211" s="114"/>
      <c r="M211" s="114"/>
      <c r="N211" s="2">
        <v>4.2</v>
      </c>
      <c r="O211" s="3">
        <f t="shared" ref="O211:O216" si="8">N211+K211</f>
        <v>10.4132836</v>
      </c>
    </row>
    <row r="212" spans="1:15" x14ac:dyDescent="0.25">
      <c r="A212" s="16" t="s">
        <v>316</v>
      </c>
      <c r="B212" s="3">
        <v>2.0035224</v>
      </c>
      <c r="C212" s="3">
        <v>1.32</v>
      </c>
      <c r="D212" s="3">
        <v>0.3020832</v>
      </c>
      <c r="E212" s="3">
        <v>0.31096800000000002</v>
      </c>
      <c r="F212" s="3">
        <v>1.47</v>
      </c>
      <c r="G212" s="3">
        <v>0.38871</v>
      </c>
      <c r="H212" s="3">
        <v>0.41800000000000004</v>
      </c>
      <c r="I212" s="3">
        <v>0</v>
      </c>
      <c r="K212" s="20">
        <f t="shared" si="7"/>
        <v>6.2132836000000005</v>
      </c>
      <c r="L212" s="114"/>
      <c r="M212" s="114"/>
      <c r="N212" s="2">
        <v>4.2</v>
      </c>
      <c r="O212" s="3">
        <f t="shared" si="8"/>
        <v>10.4132836</v>
      </c>
    </row>
    <row r="213" spans="1:15" x14ac:dyDescent="0.25">
      <c r="A213" s="16" t="s">
        <v>318</v>
      </c>
      <c r="B213" s="3">
        <v>2.629989648</v>
      </c>
      <c r="C213" s="3">
        <v>1.32</v>
      </c>
      <c r="D213" s="3">
        <v>0.4893747839999999</v>
      </c>
      <c r="E213" s="3">
        <v>0.20990340000000002</v>
      </c>
      <c r="F213" s="3">
        <v>1.47</v>
      </c>
      <c r="G213" s="3">
        <v>0.56673918000000001</v>
      </c>
      <c r="H213" s="3">
        <v>0.45100000000000007</v>
      </c>
      <c r="I213" s="3">
        <v>0</v>
      </c>
      <c r="K213" s="20">
        <f t="shared" si="7"/>
        <v>7.1370070119999998</v>
      </c>
      <c r="L213" s="114"/>
      <c r="M213" s="114"/>
      <c r="N213" s="2">
        <v>4.2</v>
      </c>
      <c r="O213" s="3">
        <f t="shared" si="8"/>
        <v>11.337007012000001</v>
      </c>
    </row>
    <row r="214" spans="1:15" x14ac:dyDescent="0.25">
      <c r="A214" s="16" t="s">
        <v>320</v>
      </c>
      <c r="B214" s="3">
        <v>4.0768898170000005</v>
      </c>
      <c r="C214" s="3">
        <v>1.54</v>
      </c>
      <c r="D214" s="3">
        <v>0.75860643599999988</v>
      </c>
      <c r="E214" s="3">
        <v>0.32538266250000003</v>
      </c>
      <c r="F214" s="3">
        <v>3.0870000000000002</v>
      </c>
      <c r="G214" s="3">
        <v>0.87853318875000008</v>
      </c>
      <c r="H214" s="3">
        <v>0.47300000000000009</v>
      </c>
      <c r="I214" s="3">
        <v>0</v>
      </c>
      <c r="K214" s="20">
        <f t="shared" si="7"/>
        <v>11.139412104250001</v>
      </c>
      <c r="L214" s="114"/>
      <c r="M214" s="114"/>
      <c r="N214" s="2">
        <v>4.5</v>
      </c>
      <c r="O214" s="3">
        <f t="shared" si="8"/>
        <v>15.639412104250001</v>
      </c>
    </row>
    <row r="215" spans="1:15" x14ac:dyDescent="0.25">
      <c r="A215" s="16" t="s">
        <v>322</v>
      </c>
      <c r="B215" s="3">
        <v>6.4938015999999994</v>
      </c>
      <c r="C215" s="3">
        <v>1.9800000000000002</v>
      </c>
      <c r="D215" s="3">
        <v>1.2083328</v>
      </c>
      <c r="E215" s="3">
        <v>0.51827999999999996</v>
      </c>
      <c r="F215" s="3">
        <v>3.0870000000000002</v>
      </c>
      <c r="G215" s="3">
        <v>1.399356</v>
      </c>
      <c r="H215" s="3">
        <v>0.47300000000000009</v>
      </c>
      <c r="I215" s="3">
        <v>1.8900000000000001</v>
      </c>
      <c r="K215" s="20">
        <f t="shared" si="7"/>
        <v>17.0497704</v>
      </c>
      <c r="L215" s="114"/>
      <c r="M215" s="114"/>
      <c r="N215" s="2">
        <v>4.5</v>
      </c>
      <c r="O215" s="3">
        <f t="shared" si="8"/>
        <v>21.5497704</v>
      </c>
    </row>
    <row r="216" spans="1:15" x14ac:dyDescent="0.25">
      <c r="A216" s="16" t="s">
        <v>324</v>
      </c>
      <c r="B216" s="3">
        <v>7.7925619199999998</v>
      </c>
      <c r="C216" s="3">
        <v>2.64</v>
      </c>
      <c r="D216" s="3">
        <v>1.4499993599999998</v>
      </c>
      <c r="E216" s="3">
        <v>1.2438720000000001</v>
      </c>
      <c r="F216" s="3">
        <v>3.0870000000000002</v>
      </c>
      <c r="G216" s="3">
        <v>1.6792272000000001</v>
      </c>
      <c r="H216" s="3">
        <v>0.47300000000000009</v>
      </c>
      <c r="I216" s="3">
        <v>3.7800000000000002</v>
      </c>
      <c r="K216" s="20">
        <f t="shared" si="7"/>
        <v>22.14566048</v>
      </c>
      <c r="L216" s="114"/>
      <c r="M216" s="114"/>
      <c r="N216" s="2">
        <v>4.5</v>
      </c>
      <c r="O216" s="3">
        <f t="shared" si="8"/>
        <v>26.64566048</v>
      </c>
    </row>
    <row r="217" spans="1:15" x14ac:dyDescent="0.25">
      <c r="A217" s="17" t="s">
        <v>326</v>
      </c>
      <c r="B217" s="3">
        <v>0.68022028800000001</v>
      </c>
      <c r="C217" s="3">
        <v>3.74</v>
      </c>
      <c r="D217" s="3">
        <v>0.1199448</v>
      </c>
      <c r="E217" s="3">
        <v>0.24488729999999997</v>
      </c>
      <c r="F217" s="3">
        <v>1.1445000000000001</v>
      </c>
      <c r="G217" s="3">
        <v>0.36749999999999999</v>
      </c>
      <c r="H217" s="3">
        <v>0.31900000000000006</v>
      </c>
      <c r="I217" s="3">
        <v>0</v>
      </c>
      <c r="K217" s="20">
        <f t="shared" si="7"/>
        <v>6.6160523880000008</v>
      </c>
      <c r="L217" s="114"/>
      <c r="M217" s="114"/>
      <c r="N217" s="2" t="s">
        <v>575</v>
      </c>
      <c r="O217" s="3" t="s">
        <v>575</v>
      </c>
    </row>
    <row r="218" spans="1:15" x14ac:dyDescent="0.25">
      <c r="A218" s="17" t="s">
        <v>328</v>
      </c>
      <c r="B218" s="3">
        <v>0.68022028800000001</v>
      </c>
      <c r="C218" s="3">
        <v>3.74</v>
      </c>
      <c r="D218" s="3">
        <v>0.1199448</v>
      </c>
      <c r="E218" s="3">
        <v>0.24488729999999997</v>
      </c>
      <c r="F218" s="3">
        <v>1.1445000000000001</v>
      </c>
      <c r="G218" s="3">
        <v>0.36749999999999999</v>
      </c>
      <c r="H218" s="3">
        <v>0.31900000000000006</v>
      </c>
      <c r="I218" s="3">
        <v>0</v>
      </c>
      <c r="K218" s="20">
        <f t="shared" si="7"/>
        <v>6.6160523880000008</v>
      </c>
      <c r="L218" s="114"/>
      <c r="M218" s="114"/>
      <c r="N218" s="2" t="s">
        <v>575</v>
      </c>
      <c r="O218" s="3" t="s">
        <v>575</v>
      </c>
    </row>
    <row r="219" spans="1:15" x14ac:dyDescent="0.25">
      <c r="A219" s="17" t="s">
        <v>330</v>
      </c>
      <c r="B219" s="3">
        <v>0.68022028800000001</v>
      </c>
      <c r="C219" s="3">
        <v>3.74</v>
      </c>
      <c r="D219" s="3">
        <v>0.1199448</v>
      </c>
      <c r="E219" s="3">
        <v>0.24488729999999997</v>
      </c>
      <c r="F219" s="3">
        <v>1.1445000000000001</v>
      </c>
      <c r="G219" s="3">
        <v>0.36749999999999999</v>
      </c>
      <c r="H219" s="3">
        <v>0.31900000000000006</v>
      </c>
      <c r="I219" s="3">
        <v>0</v>
      </c>
      <c r="K219" s="20">
        <f t="shared" si="7"/>
        <v>6.6160523880000008</v>
      </c>
      <c r="L219" s="114"/>
      <c r="M219" s="114"/>
      <c r="N219" s="2" t="s">
        <v>575</v>
      </c>
      <c r="O219" s="3" t="s">
        <v>575</v>
      </c>
    </row>
    <row r="220" spans="1:15" x14ac:dyDescent="0.25">
      <c r="A220" s="17" t="s">
        <v>332</v>
      </c>
      <c r="B220" s="3">
        <v>0.68022028800000001</v>
      </c>
      <c r="C220" s="3">
        <v>3.74</v>
      </c>
      <c r="D220" s="3">
        <v>0.1199448</v>
      </c>
      <c r="E220" s="3">
        <v>0.24488729999999997</v>
      </c>
      <c r="F220" s="3">
        <v>1.1445000000000001</v>
      </c>
      <c r="G220" s="3">
        <v>0.36749999999999999</v>
      </c>
      <c r="H220" s="3">
        <v>0.31900000000000006</v>
      </c>
      <c r="I220" s="3">
        <v>0</v>
      </c>
      <c r="K220" s="20">
        <f t="shared" si="7"/>
        <v>6.6160523880000008</v>
      </c>
      <c r="L220" s="114"/>
      <c r="M220" s="114"/>
      <c r="N220" s="2" t="s">
        <v>575</v>
      </c>
      <c r="O220" s="3" t="s">
        <v>575</v>
      </c>
    </row>
    <row r="221" spans="1:15" x14ac:dyDescent="0.25">
      <c r="A221" s="17" t="s">
        <v>334</v>
      </c>
      <c r="B221" s="3">
        <v>1.3348128640000001</v>
      </c>
      <c r="C221" s="3">
        <v>1.32</v>
      </c>
      <c r="D221" s="3">
        <v>0.16916659199999998</v>
      </c>
      <c r="E221" s="3">
        <v>0.17414208000000003</v>
      </c>
      <c r="F221" s="3">
        <v>1.1550000000000002</v>
      </c>
      <c r="G221" s="3">
        <v>0.2176776</v>
      </c>
      <c r="H221" s="3">
        <v>0.31900000000000006</v>
      </c>
      <c r="I221" s="3">
        <v>0</v>
      </c>
      <c r="K221" s="20">
        <f t="shared" si="7"/>
        <v>4.6897991360000004</v>
      </c>
      <c r="L221" s="114"/>
      <c r="M221" s="114"/>
      <c r="N221" s="2" t="s">
        <v>575</v>
      </c>
      <c r="O221" s="3" t="s">
        <v>575</v>
      </c>
    </row>
    <row r="222" spans="1:15" x14ac:dyDescent="0.25">
      <c r="A222" s="17" t="s">
        <v>336</v>
      </c>
      <c r="B222" s="3">
        <v>1.3348128640000001</v>
      </c>
      <c r="C222" s="3">
        <v>1.32</v>
      </c>
      <c r="D222" s="3">
        <v>0.16916659199999998</v>
      </c>
      <c r="E222" s="3">
        <v>0.17414208000000003</v>
      </c>
      <c r="F222" s="3">
        <v>1.1550000000000002</v>
      </c>
      <c r="G222" s="3">
        <v>0.2176776</v>
      </c>
      <c r="H222" s="3">
        <v>0.31900000000000006</v>
      </c>
      <c r="I222" s="3">
        <v>0</v>
      </c>
      <c r="K222" s="20">
        <f t="shared" si="7"/>
        <v>4.6897991360000004</v>
      </c>
      <c r="L222" s="114"/>
      <c r="M222" s="114"/>
      <c r="N222" s="2" t="s">
        <v>575</v>
      </c>
      <c r="O222" s="3" t="s">
        <v>575</v>
      </c>
    </row>
    <row r="223" spans="1:15" x14ac:dyDescent="0.25">
      <c r="A223" s="17" t="s">
        <v>338</v>
      </c>
      <c r="B223" s="3">
        <v>2.0035224</v>
      </c>
      <c r="C223" s="3">
        <v>1.32</v>
      </c>
      <c r="D223" s="3">
        <v>0.3020832</v>
      </c>
      <c r="E223" s="3">
        <v>0.31096800000000002</v>
      </c>
      <c r="F223" s="3">
        <v>1.47</v>
      </c>
      <c r="G223" s="3">
        <v>0.38871</v>
      </c>
      <c r="H223" s="3">
        <v>0.41800000000000004</v>
      </c>
      <c r="I223" s="3">
        <v>0</v>
      </c>
      <c r="K223" s="20">
        <f t="shared" si="7"/>
        <v>6.2132836000000005</v>
      </c>
      <c r="L223" s="114"/>
      <c r="M223" s="114"/>
      <c r="N223" s="2">
        <v>4.2</v>
      </c>
      <c r="O223" s="3">
        <f t="shared" ref="O223:O228" si="9">N223+K223</f>
        <v>10.4132836</v>
      </c>
    </row>
    <row r="224" spans="1:15" x14ac:dyDescent="0.25">
      <c r="A224" s="17" t="s">
        <v>340</v>
      </c>
      <c r="B224" s="3">
        <v>2.0035224</v>
      </c>
      <c r="C224" s="3">
        <v>1.32</v>
      </c>
      <c r="D224" s="3">
        <v>0.3020832</v>
      </c>
      <c r="E224" s="3">
        <v>0.31096800000000002</v>
      </c>
      <c r="F224" s="3">
        <v>1.47</v>
      </c>
      <c r="G224" s="3">
        <v>0.38871</v>
      </c>
      <c r="H224" s="3">
        <v>0.41800000000000004</v>
      </c>
      <c r="I224" s="3">
        <v>0</v>
      </c>
      <c r="K224" s="20">
        <f t="shared" si="7"/>
        <v>6.2132836000000005</v>
      </c>
      <c r="L224" s="114"/>
      <c r="M224" s="114"/>
      <c r="N224" s="2">
        <v>4.2</v>
      </c>
      <c r="O224" s="3">
        <f t="shared" si="9"/>
        <v>10.4132836</v>
      </c>
    </row>
    <row r="225" spans="1:15" x14ac:dyDescent="0.25">
      <c r="A225" s="17" t="s">
        <v>342</v>
      </c>
      <c r="B225" s="3">
        <v>2.629989648</v>
      </c>
      <c r="C225" s="3">
        <v>1.32</v>
      </c>
      <c r="D225" s="3">
        <v>0.4893747839999999</v>
      </c>
      <c r="E225" s="3">
        <v>0.20990340000000002</v>
      </c>
      <c r="F225" s="3">
        <v>1.47</v>
      </c>
      <c r="G225" s="3">
        <v>0.56673918000000001</v>
      </c>
      <c r="H225" s="3">
        <v>0.45100000000000007</v>
      </c>
      <c r="I225" s="3">
        <v>0</v>
      </c>
      <c r="K225" s="20">
        <f t="shared" si="7"/>
        <v>7.1370070119999998</v>
      </c>
      <c r="L225" s="114"/>
      <c r="M225" s="114"/>
      <c r="N225" s="2">
        <v>4.2</v>
      </c>
      <c r="O225" s="3">
        <f t="shared" si="9"/>
        <v>11.337007012000001</v>
      </c>
    </row>
    <row r="226" spans="1:15" x14ac:dyDescent="0.25">
      <c r="A226" s="17" t="s">
        <v>344</v>
      </c>
      <c r="B226" s="3">
        <v>4.0768898170000005</v>
      </c>
      <c r="C226" s="3">
        <v>1.54</v>
      </c>
      <c r="D226" s="3">
        <v>0.75860643599999988</v>
      </c>
      <c r="E226" s="3">
        <v>0.32538266250000003</v>
      </c>
      <c r="F226" s="3">
        <v>3.0870000000000002</v>
      </c>
      <c r="G226" s="3">
        <v>0.87853318875000008</v>
      </c>
      <c r="H226" s="3">
        <v>0.47300000000000009</v>
      </c>
      <c r="I226" s="3">
        <v>0</v>
      </c>
      <c r="K226" s="20">
        <f t="shared" si="7"/>
        <v>11.139412104250001</v>
      </c>
      <c r="L226" s="114"/>
      <c r="M226" s="114"/>
      <c r="N226" s="2">
        <v>4.5</v>
      </c>
      <c r="O226" s="3">
        <f t="shared" si="9"/>
        <v>15.639412104250001</v>
      </c>
    </row>
    <row r="227" spans="1:15" x14ac:dyDescent="0.25">
      <c r="A227" s="17" t="s">
        <v>346</v>
      </c>
      <c r="B227" s="3">
        <v>6.4938015999999994</v>
      </c>
      <c r="C227" s="3">
        <v>1.9800000000000002</v>
      </c>
      <c r="D227" s="3">
        <v>1.2083328</v>
      </c>
      <c r="E227" s="3">
        <v>0.51827999999999996</v>
      </c>
      <c r="F227" s="3">
        <v>3.0870000000000002</v>
      </c>
      <c r="G227" s="3">
        <v>1.399356</v>
      </c>
      <c r="H227" s="3">
        <v>0.47300000000000009</v>
      </c>
      <c r="I227" s="3">
        <v>1.8900000000000001</v>
      </c>
      <c r="K227" s="20">
        <f t="shared" si="7"/>
        <v>17.0497704</v>
      </c>
      <c r="L227" s="114"/>
      <c r="M227" s="114"/>
      <c r="N227" s="2">
        <v>4.5</v>
      </c>
      <c r="O227" s="3">
        <f t="shared" si="9"/>
        <v>21.5497704</v>
      </c>
    </row>
    <row r="228" spans="1:15" x14ac:dyDescent="0.25">
      <c r="A228" s="17" t="s">
        <v>348</v>
      </c>
      <c r="B228" s="3">
        <v>7.7925619199999998</v>
      </c>
      <c r="C228" s="3">
        <v>2.64</v>
      </c>
      <c r="D228" s="3">
        <v>1.4499993599999998</v>
      </c>
      <c r="E228" s="3">
        <v>1.2438720000000001</v>
      </c>
      <c r="F228" s="3">
        <v>3.0870000000000002</v>
      </c>
      <c r="G228" s="3">
        <v>1.6792272000000001</v>
      </c>
      <c r="H228" s="3">
        <v>0.47300000000000009</v>
      </c>
      <c r="I228" s="3">
        <v>3.7800000000000002</v>
      </c>
      <c r="K228" s="20">
        <f t="shared" si="7"/>
        <v>22.14566048</v>
      </c>
      <c r="L228" s="114"/>
      <c r="M228" s="114"/>
      <c r="N228" s="2">
        <v>4.5</v>
      </c>
      <c r="O228" s="3">
        <f t="shared" si="9"/>
        <v>26.64566048</v>
      </c>
    </row>
    <row r="229" spans="1:15" x14ac:dyDescent="0.25">
      <c r="A229" s="10" t="s">
        <v>808</v>
      </c>
      <c r="C229" s="2">
        <v>1.2100000000000002</v>
      </c>
      <c r="D229" s="2">
        <v>4.2500000000000003E-2</v>
      </c>
      <c r="E229" s="2">
        <v>0.12495000000000001</v>
      </c>
      <c r="F229" s="2">
        <v>0.91349999999999998</v>
      </c>
      <c r="I229" s="114">
        <v>0.94500000000000006</v>
      </c>
      <c r="K229" s="20">
        <f t="shared" si="7"/>
        <v>3.2359499999999999</v>
      </c>
    </row>
    <row r="230" spans="1:15" x14ac:dyDescent="0.25">
      <c r="A230" s="10" t="s">
        <v>816</v>
      </c>
      <c r="C230" s="2">
        <v>1.6500000000000001</v>
      </c>
      <c r="D230" s="2">
        <v>7.9687499999999994E-2</v>
      </c>
      <c r="E230" s="2">
        <v>0.23428125</v>
      </c>
      <c r="F230" s="2">
        <v>0.91349999999999998</v>
      </c>
      <c r="I230" s="114">
        <v>1.1339999999999999</v>
      </c>
      <c r="K230" s="20">
        <f t="shared" si="7"/>
        <v>4.0114687499999997</v>
      </c>
    </row>
    <row r="231" spans="1:15" x14ac:dyDescent="0.25">
      <c r="A231" s="10" t="s">
        <v>809</v>
      </c>
      <c r="C231" s="2">
        <v>1.9250000000000003</v>
      </c>
      <c r="D231" s="2">
        <v>0.11475</v>
      </c>
      <c r="E231" s="2">
        <v>0.33736500000000003</v>
      </c>
      <c r="F231" s="2">
        <v>0.91349999999999998</v>
      </c>
      <c r="I231" s="114">
        <v>1.1339999999999999</v>
      </c>
      <c r="K231" s="20">
        <f t="shared" si="7"/>
        <v>4.4246150000000002</v>
      </c>
    </row>
    <row r="232" spans="1:15" x14ac:dyDescent="0.25">
      <c r="A232" s="10" t="s">
        <v>810</v>
      </c>
      <c r="C232" s="2">
        <v>2.3100000000000005</v>
      </c>
      <c r="D232" s="2">
        <v>0.14796799999999999</v>
      </c>
      <c r="E232" s="2">
        <v>0.2193408</v>
      </c>
      <c r="F232" s="2">
        <v>1.47</v>
      </c>
      <c r="I232" s="114">
        <v>1.2096</v>
      </c>
      <c r="K232" s="20">
        <f t="shared" si="7"/>
        <v>5.3569088000000002</v>
      </c>
    </row>
    <row r="233" spans="1:15" x14ac:dyDescent="0.25">
      <c r="A233" s="10" t="s">
        <v>811</v>
      </c>
      <c r="C233" s="2">
        <v>3.1350000000000002</v>
      </c>
      <c r="D233" s="2">
        <v>0.23119999999999999</v>
      </c>
      <c r="E233" s="2">
        <v>0.34272000000000002</v>
      </c>
      <c r="F233" s="2">
        <v>1.47</v>
      </c>
      <c r="I233" s="114">
        <v>0</v>
      </c>
      <c r="K233" s="20">
        <f t="shared" si="7"/>
        <v>5.1789199999999997</v>
      </c>
    </row>
    <row r="234" spans="1:15" x14ac:dyDescent="0.25">
      <c r="A234" s="10" t="s">
        <v>812</v>
      </c>
      <c r="C234" s="2">
        <v>4.5650000000000004</v>
      </c>
      <c r="D234" s="2">
        <v>0.42656399999999994</v>
      </c>
      <c r="E234" s="2">
        <v>0.26346600000000003</v>
      </c>
      <c r="F234" s="2">
        <v>1.8900000000000001</v>
      </c>
      <c r="I234" s="114">
        <v>0</v>
      </c>
      <c r="K234" s="20">
        <f t="shared" si="7"/>
        <v>7.1450300000000002</v>
      </c>
    </row>
    <row r="235" spans="1:15" x14ac:dyDescent="0.25">
      <c r="A235" s="10" t="s">
        <v>813</v>
      </c>
      <c r="C235" s="2">
        <v>5.0599999999999996</v>
      </c>
      <c r="D235" s="2">
        <v>0.47858399999999995</v>
      </c>
      <c r="E235" s="2">
        <v>0.29559599999999997</v>
      </c>
      <c r="F235" s="2">
        <v>1.8900000000000001</v>
      </c>
      <c r="I235" s="114">
        <v>0</v>
      </c>
      <c r="K235" s="20">
        <f t="shared" si="7"/>
        <v>7.7241800000000005</v>
      </c>
    </row>
    <row r="236" spans="1:15" x14ac:dyDescent="0.25">
      <c r="A236" s="10" t="s">
        <v>814</v>
      </c>
      <c r="C236" s="2">
        <v>9.4050000000000011</v>
      </c>
      <c r="D236" s="2">
        <v>0.906304</v>
      </c>
      <c r="E236" s="2">
        <v>0.55977599999999994</v>
      </c>
      <c r="F236" s="2">
        <v>3.0870000000000002</v>
      </c>
      <c r="I236" s="114">
        <v>0</v>
      </c>
      <c r="K236" s="20">
        <f t="shared" si="7"/>
        <v>13.958080000000001</v>
      </c>
    </row>
    <row r="237" spans="1:15" x14ac:dyDescent="0.25">
      <c r="A237" s="10" t="s">
        <v>815</v>
      </c>
      <c r="C237" s="2">
        <v>15.400000000000002</v>
      </c>
      <c r="D237" s="2">
        <v>1.6415199999999996</v>
      </c>
      <c r="E237" s="2">
        <v>1.0138799999999999</v>
      </c>
      <c r="F237" s="2">
        <v>2.415</v>
      </c>
      <c r="I237" s="114">
        <v>2.1470400000000001</v>
      </c>
      <c r="K237" s="20">
        <f t="shared" si="7"/>
        <v>22.617440000000002</v>
      </c>
    </row>
    <row r="238" spans="1:15" x14ac:dyDescent="0.25">
      <c r="A238" s="10" t="s">
        <v>799</v>
      </c>
      <c r="C238" s="2">
        <v>1.7600000000000002</v>
      </c>
      <c r="D238" s="2">
        <v>4.2500000000000003E-2</v>
      </c>
      <c r="E238" s="2">
        <v>0.12495000000000001</v>
      </c>
      <c r="F238" s="2">
        <v>0.91349999999999998</v>
      </c>
      <c r="I238" s="114">
        <v>0.94500000000000006</v>
      </c>
      <c r="K238" s="20">
        <f t="shared" si="7"/>
        <v>3.7859500000000001</v>
      </c>
    </row>
    <row r="239" spans="1:15" x14ac:dyDescent="0.25">
      <c r="A239" s="10" t="s">
        <v>800</v>
      </c>
      <c r="C239" s="2">
        <v>2.09</v>
      </c>
      <c r="D239" s="2">
        <v>7.9687499999999994E-2</v>
      </c>
      <c r="E239" s="2">
        <v>0.23428125</v>
      </c>
      <c r="F239" s="2">
        <v>0.91349999999999998</v>
      </c>
      <c r="I239" s="114">
        <v>1.1339999999999999</v>
      </c>
      <c r="K239" s="20">
        <f t="shared" si="7"/>
        <v>4.4514687500000001</v>
      </c>
    </row>
    <row r="240" spans="1:15" x14ac:dyDescent="0.25">
      <c r="A240" s="10" t="s">
        <v>801</v>
      </c>
      <c r="C240" s="2">
        <v>2.4750000000000001</v>
      </c>
      <c r="D240" s="2">
        <v>0.11475</v>
      </c>
      <c r="E240" s="2">
        <v>0.33736500000000003</v>
      </c>
      <c r="F240" s="2">
        <v>0.91349999999999998</v>
      </c>
      <c r="I240" s="114">
        <v>1.1339999999999999</v>
      </c>
      <c r="K240" s="20">
        <f t="shared" si="7"/>
        <v>4.974615</v>
      </c>
    </row>
    <row r="241" spans="1:11" x14ac:dyDescent="0.25">
      <c r="A241" s="10" t="s">
        <v>802</v>
      </c>
      <c r="C241" s="2">
        <v>2.9700000000000006</v>
      </c>
      <c r="D241" s="2">
        <v>0.14796799999999999</v>
      </c>
      <c r="E241" s="2">
        <v>0.2193408</v>
      </c>
      <c r="F241" s="2">
        <v>1.47</v>
      </c>
      <c r="I241" s="114">
        <v>1.2096</v>
      </c>
      <c r="K241" s="20">
        <f t="shared" si="7"/>
        <v>6.0169088000000004</v>
      </c>
    </row>
    <row r="242" spans="1:11" x14ac:dyDescent="0.25">
      <c r="A242" s="10" t="s">
        <v>803</v>
      </c>
      <c r="C242" s="2">
        <v>3.7950000000000004</v>
      </c>
      <c r="D242" s="2">
        <v>0.23119999999999999</v>
      </c>
      <c r="E242" s="2">
        <v>0.34272000000000002</v>
      </c>
      <c r="F242" s="2">
        <v>1.47</v>
      </c>
      <c r="I242" s="114">
        <v>0</v>
      </c>
      <c r="K242" s="20">
        <f t="shared" si="7"/>
        <v>5.8389199999999999</v>
      </c>
    </row>
    <row r="243" spans="1:11" x14ac:dyDescent="0.25">
      <c r="A243" s="10" t="s">
        <v>804</v>
      </c>
      <c r="C243" s="2">
        <v>5.2250000000000005</v>
      </c>
      <c r="D243" s="2">
        <v>0.42656399999999994</v>
      </c>
      <c r="E243" s="2">
        <v>0.26346600000000003</v>
      </c>
      <c r="F243" s="2">
        <v>1.8900000000000001</v>
      </c>
      <c r="I243" s="114">
        <v>0</v>
      </c>
      <c r="K243" s="20">
        <f t="shared" si="7"/>
        <v>7.8050300000000004</v>
      </c>
    </row>
    <row r="244" spans="1:11" x14ac:dyDescent="0.25">
      <c r="A244" s="10" t="s">
        <v>805</v>
      </c>
      <c r="C244" s="2">
        <v>5.7750000000000004</v>
      </c>
      <c r="D244" s="2">
        <v>0.47858399999999995</v>
      </c>
      <c r="E244" s="2">
        <v>0.29559599999999997</v>
      </c>
      <c r="F244" s="2">
        <v>3.8115000000000001</v>
      </c>
      <c r="I244" s="114">
        <v>0</v>
      </c>
      <c r="K244" s="20">
        <f t="shared" si="7"/>
        <v>10.36068</v>
      </c>
    </row>
    <row r="245" spans="1:11" x14ac:dyDescent="0.25">
      <c r="A245" s="10" t="s">
        <v>806</v>
      </c>
      <c r="C245" s="2">
        <v>10.175000000000001</v>
      </c>
      <c r="D245" s="2">
        <v>0.906304</v>
      </c>
      <c r="E245" s="2">
        <v>0.55977599999999994</v>
      </c>
      <c r="F245" s="2">
        <v>3.0870000000000002</v>
      </c>
      <c r="I245" s="114">
        <v>1.8522000000000001</v>
      </c>
      <c r="K245" s="20">
        <f t="shared" si="7"/>
        <v>16.580280000000002</v>
      </c>
    </row>
    <row r="246" spans="1:11" x14ac:dyDescent="0.25">
      <c r="A246" s="10" t="s">
        <v>807</v>
      </c>
      <c r="C246" s="2">
        <v>17.05</v>
      </c>
      <c r="D246" s="2">
        <v>1.6415199999999996</v>
      </c>
      <c r="E246" s="2">
        <v>1.0138799999999999</v>
      </c>
      <c r="F246" s="2">
        <v>2.415</v>
      </c>
      <c r="I246" s="114">
        <v>2.1470400000000001</v>
      </c>
      <c r="K246" s="20">
        <f t="shared" si="7"/>
        <v>24.267440000000001</v>
      </c>
    </row>
    <row r="247" spans="1:11" x14ac:dyDescent="0.25">
      <c r="A247" s="10" t="s">
        <v>952</v>
      </c>
      <c r="C247" s="2">
        <v>1.9800000000000002</v>
      </c>
      <c r="D247" s="2">
        <v>4.2500000000000003E-2</v>
      </c>
      <c r="E247" s="2">
        <v>0.12495000000000001</v>
      </c>
      <c r="F247" s="2">
        <v>0.91349999999999998</v>
      </c>
      <c r="I247" s="114">
        <v>0.94500000000000006</v>
      </c>
      <c r="K247" s="20">
        <f t="shared" si="7"/>
        <v>4.0059500000000003</v>
      </c>
    </row>
    <row r="248" spans="1:11" x14ac:dyDescent="0.25">
      <c r="A248" s="10" t="s">
        <v>817</v>
      </c>
      <c r="C248" s="2">
        <v>2.4200000000000004</v>
      </c>
      <c r="D248" s="2">
        <v>7.9687499999999994E-2</v>
      </c>
      <c r="E248" s="2">
        <v>0.23428125</v>
      </c>
      <c r="F248" s="2">
        <v>0.91349999999999998</v>
      </c>
      <c r="I248" s="114">
        <v>1.1339999999999999</v>
      </c>
      <c r="K248" s="20">
        <f t="shared" si="7"/>
        <v>4.7814687500000002</v>
      </c>
    </row>
    <row r="249" spans="1:11" x14ac:dyDescent="0.25">
      <c r="A249" s="10" t="s">
        <v>818</v>
      </c>
      <c r="C249" s="2">
        <v>2.6950000000000003</v>
      </c>
      <c r="D249" s="2">
        <v>0.11475</v>
      </c>
      <c r="E249" s="2">
        <v>0.33736500000000003</v>
      </c>
      <c r="F249" s="2">
        <v>0.91349999999999998</v>
      </c>
      <c r="I249" s="114">
        <v>1.1339999999999999</v>
      </c>
      <c r="K249" s="20">
        <f t="shared" si="7"/>
        <v>5.1946150000000006</v>
      </c>
    </row>
    <row r="250" spans="1:11" x14ac:dyDescent="0.25">
      <c r="A250" s="10" t="s">
        <v>819</v>
      </c>
      <c r="C250" s="2">
        <v>3.08</v>
      </c>
      <c r="D250" s="2">
        <v>0.14796799999999999</v>
      </c>
      <c r="E250" s="2">
        <v>0.2193408</v>
      </c>
      <c r="F250" s="2">
        <v>1.47</v>
      </c>
      <c r="I250" s="114">
        <v>1.2096</v>
      </c>
      <c r="K250" s="20">
        <f t="shared" si="7"/>
        <v>6.1269087999999998</v>
      </c>
    </row>
    <row r="251" spans="1:11" x14ac:dyDescent="0.25">
      <c r="A251" s="10" t="s">
        <v>820</v>
      </c>
      <c r="C251" s="2">
        <v>3.9050000000000002</v>
      </c>
      <c r="D251" s="2">
        <v>0.23119999999999999</v>
      </c>
      <c r="E251" s="2">
        <v>0.34272000000000002</v>
      </c>
      <c r="F251" s="2">
        <v>1.47</v>
      </c>
      <c r="I251" s="114">
        <v>1.2096</v>
      </c>
      <c r="K251" s="20">
        <f t="shared" si="7"/>
        <v>7.1585199999999993</v>
      </c>
    </row>
    <row r="252" spans="1:11" x14ac:dyDescent="0.25">
      <c r="A252" s="10" t="s">
        <v>821</v>
      </c>
      <c r="C252" s="2">
        <v>5.4450000000000003</v>
      </c>
      <c r="D252" s="2">
        <v>0.42656399999999994</v>
      </c>
      <c r="E252" s="2">
        <v>0.26346600000000003</v>
      </c>
      <c r="F252" s="2">
        <v>1.8900000000000001</v>
      </c>
      <c r="I252" s="114">
        <v>0</v>
      </c>
      <c r="K252" s="20">
        <f t="shared" si="7"/>
        <v>8.025030000000001</v>
      </c>
    </row>
    <row r="253" spans="1:11" x14ac:dyDescent="0.25">
      <c r="A253" s="10" t="s">
        <v>822</v>
      </c>
      <c r="C253" s="2">
        <v>5.9400000000000013</v>
      </c>
      <c r="D253" s="2">
        <v>0.47858399999999995</v>
      </c>
      <c r="E253" s="2">
        <v>0.29559599999999997</v>
      </c>
      <c r="F253" s="2">
        <v>1.8900000000000001</v>
      </c>
      <c r="I253" s="114">
        <v>0</v>
      </c>
      <c r="K253" s="20">
        <f t="shared" si="7"/>
        <v>8.6041800000000013</v>
      </c>
    </row>
    <row r="254" spans="1:11" x14ac:dyDescent="0.25">
      <c r="A254" s="10" t="s">
        <v>823</v>
      </c>
      <c r="C254" s="2">
        <v>10.505000000000001</v>
      </c>
      <c r="D254" s="2">
        <v>0.906304</v>
      </c>
      <c r="E254" s="2">
        <v>0.55977599999999994</v>
      </c>
      <c r="F254" s="2">
        <v>3.0870000000000002</v>
      </c>
      <c r="I254" s="114">
        <v>1.8522000000000001</v>
      </c>
      <c r="K254" s="20">
        <f t="shared" si="7"/>
        <v>16.91028</v>
      </c>
    </row>
    <row r="255" spans="1:11" x14ac:dyDescent="0.25">
      <c r="A255" s="10" t="s">
        <v>824</v>
      </c>
      <c r="C255" s="2">
        <v>16.61</v>
      </c>
      <c r="D255" s="2">
        <v>1.6415199999999996</v>
      </c>
      <c r="E255" s="2">
        <v>1.0138799999999999</v>
      </c>
      <c r="F255" s="2">
        <v>2.415</v>
      </c>
      <c r="I255" s="114">
        <v>2.1470400000000001</v>
      </c>
      <c r="K255" s="20">
        <f t="shared" si="7"/>
        <v>23.827439999999999</v>
      </c>
    </row>
    <row r="260" spans="1:24" x14ac:dyDescent="0.25">
      <c r="A260" t="s">
        <v>953</v>
      </c>
      <c r="X260"/>
    </row>
    <row r="261" spans="1:24" x14ac:dyDescent="0.25">
      <c r="A261" t="s">
        <v>1</v>
      </c>
      <c r="B261" s="2" t="s">
        <v>2</v>
      </c>
      <c r="C261" s="2" t="s">
        <v>3</v>
      </c>
      <c r="D261" s="2" t="s">
        <v>4</v>
      </c>
      <c r="E261" s="2" t="s">
        <v>5</v>
      </c>
      <c r="F261" s="2" t="s">
        <v>7</v>
      </c>
      <c r="G261" s="2" t="s">
        <v>8</v>
      </c>
      <c r="H261" s="2" t="s">
        <v>9</v>
      </c>
      <c r="I261" s="2" t="s">
        <v>954</v>
      </c>
      <c r="J261" s="85" t="s">
        <v>955</v>
      </c>
      <c r="X261"/>
    </row>
    <row r="262" spans="1:24" x14ac:dyDescent="0.25">
      <c r="A262" s="86" t="s">
        <v>12</v>
      </c>
      <c r="B262" s="3">
        <v>0.61360650000000005</v>
      </c>
      <c r="C262" s="3">
        <v>0.9</v>
      </c>
      <c r="D262" s="3">
        <v>9.0236250000000018E-2</v>
      </c>
      <c r="E262" s="3">
        <v>0.25266150000000004</v>
      </c>
      <c r="F262" s="3">
        <v>0.2</v>
      </c>
      <c r="G262" s="3">
        <v>0.20500000000000002</v>
      </c>
      <c r="H262" s="3">
        <v>0.78</v>
      </c>
      <c r="I262" s="2">
        <v>2.5</v>
      </c>
      <c r="J262" s="20">
        <f>I262+H262+G262+F262+E262+D262+C262+B262</f>
        <v>5.5415042500000009</v>
      </c>
      <c r="X262"/>
    </row>
    <row r="263" spans="1:24" x14ac:dyDescent="0.25">
      <c r="A263" s="86" t="s">
        <v>28</v>
      </c>
      <c r="B263" s="3">
        <v>1.527075</v>
      </c>
      <c r="C263" s="3">
        <v>0.9</v>
      </c>
      <c r="D263" s="3">
        <v>0.19666874999999998</v>
      </c>
      <c r="E263" s="3">
        <v>0.27764999999999995</v>
      </c>
      <c r="F263" s="3">
        <v>0.231375</v>
      </c>
      <c r="G263" s="3">
        <v>0.28000000000000003</v>
      </c>
      <c r="H263" s="3">
        <v>0</v>
      </c>
      <c r="I263" s="2">
        <v>2.5</v>
      </c>
      <c r="J263" s="20">
        <f t="shared" ref="J263:J270" si="10">I263+H263+G263+F263+E263+D263+C263+B263</f>
        <v>5.9127687500000006</v>
      </c>
      <c r="X263"/>
    </row>
    <row r="264" spans="1:24" x14ac:dyDescent="0.25">
      <c r="A264" s="86" t="s">
        <v>52</v>
      </c>
      <c r="B264" s="3">
        <v>2.1945456000000005</v>
      </c>
      <c r="C264" s="3">
        <v>0.9</v>
      </c>
      <c r="D264" s="3">
        <v>0.35872380000000004</v>
      </c>
      <c r="E264" s="3">
        <v>0.21101400000000001</v>
      </c>
      <c r="F264" s="3">
        <v>0.37982520000000003</v>
      </c>
      <c r="G264" s="3">
        <v>0.30000000000000004</v>
      </c>
      <c r="H264" s="3">
        <v>0</v>
      </c>
      <c r="I264" s="2">
        <v>2.5</v>
      </c>
      <c r="J264" s="20">
        <f t="shared" si="10"/>
        <v>6.8441086000000002</v>
      </c>
      <c r="X264"/>
    </row>
    <row r="265" spans="1:24" x14ac:dyDescent="0.25">
      <c r="A265" s="86" t="s">
        <v>76</v>
      </c>
      <c r="B265" s="3">
        <v>5.3387776000000002</v>
      </c>
      <c r="C265" s="3">
        <v>1.8</v>
      </c>
      <c r="D265" s="3">
        <v>0.87268480000000004</v>
      </c>
      <c r="E265" s="3">
        <v>0.51334400000000002</v>
      </c>
      <c r="F265" s="3">
        <v>0.92401920000000004</v>
      </c>
      <c r="G265" s="3">
        <v>0.32</v>
      </c>
      <c r="H265" s="3">
        <v>1.56</v>
      </c>
      <c r="I265" s="2">
        <v>2.5</v>
      </c>
      <c r="J265" s="20">
        <f t="shared" si="10"/>
        <v>13.828825600000002</v>
      </c>
      <c r="X265"/>
    </row>
    <row r="266" spans="1:24" x14ac:dyDescent="0.25">
      <c r="A266" s="86" t="s">
        <v>188</v>
      </c>
      <c r="B266" s="3">
        <v>0.75</v>
      </c>
      <c r="C266" s="3">
        <v>1.45</v>
      </c>
      <c r="D266" s="3">
        <v>0.15</v>
      </c>
      <c r="E266" s="3">
        <v>0.28181475</v>
      </c>
      <c r="F266" s="3">
        <v>1.6103700000000001E-3</v>
      </c>
      <c r="G266" s="3">
        <v>0.22499999999999998</v>
      </c>
      <c r="H266" s="3">
        <v>0.87</v>
      </c>
      <c r="I266" s="2">
        <v>2.5</v>
      </c>
      <c r="J266" s="20">
        <f t="shared" si="10"/>
        <v>6.2284251200000007</v>
      </c>
      <c r="X266"/>
    </row>
    <row r="267" spans="1:24" x14ac:dyDescent="0.25">
      <c r="A267" s="86" t="s">
        <v>204</v>
      </c>
      <c r="B267" s="3">
        <v>1.3425919999999998</v>
      </c>
      <c r="C267" s="3">
        <v>1.4</v>
      </c>
      <c r="D267" s="3">
        <v>0.14265039999999998</v>
      </c>
      <c r="E267" s="3">
        <v>0.20138880000000001</v>
      </c>
      <c r="F267" s="3">
        <v>0.16782399999999997</v>
      </c>
      <c r="G267" s="3">
        <v>0.22499999999999998</v>
      </c>
      <c r="H267" s="3">
        <v>1.02</v>
      </c>
      <c r="I267" s="2">
        <v>2.5</v>
      </c>
      <c r="J267" s="20">
        <f t="shared" si="10"/>
        <v>6.9994551999999999</v>
      </c>
      <c r="X267"/>
    </row>
    <row r="268" spans="1:24" x14ac:dyDescent="0.25">
      <c r="A268" s="86" t="s">
        <v>226</v>
      </c>
      <c r="B268" s="3">
        <v>1.9851974999999999</v>
      </c>
      <c r="C268" s="3">
        <v>1.5</v>
      </c>
      <c r="D268" s="3">
        <v>0.25566937499999998</v>
      </c>
      <c r="E268" s="3">
        <v>0.36094500000000002</v>
      </c>
      <c r="F268" s="3">
        <v>0.30078750000000004</v>
      </c>
      <c r="G268" s="3">
        <v>0.28000000000000003</v>
      </c>
      <c r="H268" s="3">
        <v>0</v>
      </c>
      <c r="I268" s="2">
        <v>2.5</v>
      </c>
      <c r="J268" s="20">
        <f t="shared" si="10"/>
        <v>7.1825993750000006</v>
      </c>
      <c r="X268"/>
    </row>
    <row r="269" spans="1:24" x14ac:dyDescent="0.25">
      <c r="A269" s="86" t="s">
        <v>246</v>
      </c>
      <c r="B269" s="3">
        <v>2.7720576000000001</v>
      </c>
      <c r="C269" s="3">
        <v>1.4</v>
      </c>
      <c r="D269" s="3">
        <v>0.45312479999999999</v>
      </c>
      <c r="E269" s="3">
        <v>0.266544</v>
      </c>
      <c r="F269" s="3">
        <v>0.47977920000000002</v>
      </c>
      <c r="G269" s="3">
        <v>0.28000000000000003</v>
      </c>
      <c r="H269" s="3">
        <v>0</v>
      </c>
      <c r="I269" s="2">
        <v>2.5</v>
      </c>
      <c r="J269" s="20">
        <f t="shared" si="10"/>
        <v>8.1515056000000001</v>
      </c>
      <c r="X269"/>
    </row>
    <row r="270" spans="1:24" x14ac:dyDescent="0.25">
      <c r="A270" s="86" t="s">
        <v>264</v>
      </c>
      <c r="B270" s="3">
        <v>4.4805305999999998</v>
      </c>
      <c r="C270" s="3">
        <v>1.6</v>
      </c>
      <c r="D270" s="3">
        <v>0.73239442500000007</v>
      </c>
      <c r="E270" s="3">
        <v>0.43082024999999996</v>
      </c>
      <c r="F270" s="3">
        <v>0.77547644999999998</v>
      </c>
      <c r="G270" s="3">
        <v>0.3</v>
      </c>
      <c r="H270" s="3">
        <v>1.71</v>
      </c>
      <c r="I270" s="2">
        <v>2.5</v>
      </c>
      <c r="J270" s="20">
        <f t="shared" si="10"/>
        <v>12.529221724999999</v>
      </c>
      <c r="X270"/>
    </row>
    <row r="271" spans="1:24" x14ac:dyDescent="0.25">
      <c r="X271"/>
    </row>
    <row r="272" spans="1:24" ht="21" x14ac:dyDescent="0.25">
      <c r="A272" s="25" t="s">
        <v>959</v>
      </c>
      <c r="W272"/>
      <c r="X272"/>
    </row>
    <row r="273" spans="1:24" x14ac:dyDescent="0.25">
      <c r="A273" s="4" t="s">
        <v>0</v>
      </c>
      <c r="J273" s="2" t="s">
        <v>1090</v>
      </c>
      <c r="W273"/>
      <c r="X273"/>
    </row>
    <row r="274" spans="1:24" x14ac:dyDescent="0.25">
      <c r="A274" s="4" t="s">
        <v>834</v>
      </c>
      <c r="B274" s="88">
        <v>1.8759839999999997</v>
      </c>
      <c r="C274" s="88">
        <v>0.7</v>
      </c>
      <c r="D274" s="88">
        <v>0.34333199999999992</v>
      </c>
      <c r="E274" s="88">
        <v>0.35343000000000002</v>
      </c>
      <c r="F274" s="89">
        <v>1.8900000000000001</v>
      </c>
      <c r="G274" s="88"/>
      <c r="H274" s="88"/>
      <c r="I274" s="3"/>
      <c r="J274" s="26">
        <v>8.5260000000000016</v>
      </c>
      <c r="K274" s="88">
        <f>J274+I274+H274+G274+F274+E274+D274+C274+B274</f>
        <v>13.688746</v>
      </c>
      <c r="L274" s="88"/>
      <c r="M274" s="88"/>
      <c r="N274" s="88"/>
      <c r="W274"/>
      <c r="X274"/>
    </row>
    <row r="275" spans="1:24" x14ac:dyDescent="0.25">
      <c r="A275" s="4" t="s">
        <v>836</v>
      </c>
      <c r="B275" s="88">
        <v>2.1602239999999999</v>
      </c>
      <c r="C275" s="88">
        <v>0.7</v>
      </c>
      <c r="D275" s="88">
        <v>0.39535199999999993</v>
      </c>
      <c r="E275" s="88">
        <v>0.40698000000000001</v>
      </c>
      <c r="F275" s="89">
        <v>1.8900000000000001</v>
      </c>
      <c r="G275" s="88"/>
      <c r="H275" s="88"/>
      <c r="I275" s="3"/>
      <c r="J275" s="26">
        <v>8.5260000000000016</v>
      </c>
      <c r="K275" s="88">
        <f t="shared" ref="K275:K352" si="11">J275+I275+H275+G275+F275+E275+D275+C275+B275</f>
        <v>14.078556000000003</v>
      </c>
      <c r="L275" s="88"/>
      <c r="M275" s="88"/>
      <c r="N275" s="88"/>
      <c r="W275"/>
      <c r="X275"/>
    </row>
    <row r="276" spans="1:24" x14ac:dyDescent="0.25">
      <c r="A276" s="4" t="s">
        <v>838</v>
      </c>
      <c r="B276" s="88">
        <v>2.7287039999999996</v>
      </c>
      <c r="C276" s="88">
        <v>0.85</v>
      </c>
      <c r="D276" s="88">
        <v>0.49939199999999989</v>
      </c>
      <c r="E276" s="88">
        <v>0.51408000000000009</v>
      </c>
      <c r="F276" s="89">
        <v>2.2050000000000001</v>
      </c>
      <c r="G276" s="88"/>
      <c r="H276" s="88"/>
      <c r="I276" s="3">
        <v>2.5344000000000002</v>
      </c>
      <c r="J276" s="26">
        <v>8.5260000000000016</v>
      </c>
      <c r="K276" s="88">
        <f t="shared" si="11"/>
        <v>17.857576000000002</v>
      </c>
      <c r="L276" s="88"/>
      <c r="M276" s="88"/>
      <c r="N276" s="88"/>
      <c r="W276"/>
      <c r="X276"/>
    </row>
    <row r="277" spans="1:24" x14ac:dyDescent="0.25">
      <c r="A277" s="4" t="s">
        <v>840</v>
      </c>
      <c r="B277" s="88">
        <v>3.2971839999999997</v>
      </c>
      <c r="C277" s="88">
        <v>0.85</v>
      </c>
      <c r="D277" s="88">
        <v>0.60343199999999986</v>
      </c>
      <c r="E277" s="88">
        <v>0.62118000000000007</v>
      </c>
      <c r="F277" s="89">
        <v>3.6750000000000003</v>
      </c>
      <c r="G277" s="88"/>
      <c r="H277" s="88"/>
      <c r="I277" s="3">
        <v>3.0624000000000002</v>
      </c>
      <c r="J277" s="26">
        <v>8.5260000000000016</v>
      </c>
      <c r="K277" s="88">
        <f t="shared" si="11"/>
        <v>20.635196000000008</v>
      </c>
      <c r="L277" s="88"/>
      <c r="M277" s="88"/>
      <c r="N277" s="88"/>
      <c r="W277"/>
      <c r="X277"/>
    </row>
    <row r="278" spans="1:24" x14ac:dyDescent="0.25">
      <c r="A278" s="4" t="s">
        <v>842</v>
      </c>
      <c r="B278" s="88">
        <v>3.8656639999999998</v>
      </c>
      <c r="C278" s="88">
        <v>1.05</v>
      </c>
      <c r="D278" s="88">
        <v>0.70747199999999988</v>
      </c>
      <c r="E278" s="88">
        <v>0.72828000000000004</v>
      </c>
      <c r="F278" s="89">
        <v>5.04</v>
      </c>
      <c r="G278" s="88"/>
      <c r="H278" s="88"/>
      <c r="I278" s="3">
        <v>4.4880000000000004</v>
      </c>
      <c r="J278" s="26">
        <v>8.5260000000000016</v>
      </c>
      <c r="K278" s="88">
        <f t="shared" si="11"/>
        <v>24.405416000000002</v>
      </c>
      <c r="L278" s="88"/>
      <c r="M278" s="88"/>
      <c r="N278" s="88"/>
      <c r="W278"/>
      <c r="X278"/>
    </row>
    <row r="279" spans="1:24" x14ac:dyDescent="0.25">
      <c r="A279" s="4" t="s">
        <v>844</v>
      </c>
      <c r="B279" s="88">
        <v>4.434143999999999</v>
      </c>
      <c r="C279" s="88">
        <v>1.75</v>
      </c>
      <c r="D279" s="88">
        <v>0.81151199999999979</v>
      </c>
      <c r="E279" s="88">
        <v>0.83538000000000012</v>
      </c>
      <c r="F279" s="89">
        <v>5.04</v>
      </c>
      <c r="G279" s="88"/>
      <c r="H279" s="88"/>
      <c r="I279" s="3">
        <v>5.1479999999999997</v>
      </c>
      <c r="J279" s="26">
        <v>8.5260000000000016</v>
      </c>
      <c r="K279" s="88">
        <f t="shared" si="11"/>
        <v>26.545036000000003</v>
      </c>
      <c r="L279" s="88"/>
      <c r="M279" s="88"/>
      <c r="N279" s="88"/>
      <c r="W279"/>
      <c r="X279"/>
    </row>
    <row r="280" spans="1:24" x14ac:dyDescent="0.25">
      <c r="A280" s="4" t="s">
        <v>846</v>
      </c>
      <c r="B280" s="88">
        <v>3.5512646399999994</v>
      </c>
      <c r="C280" s="88">
        <v>0.85</v>
      </c>
      <c r="D280" s="88">
        <v>0.62923391999999989</v>
      </c>
      <c r="E280" s="88">
        <v>0.26989200000000002</v>
      </c>
      <c r="F280" s="89">
        <v>1.8900000000000001</v>
      </c>
      <c r="G280" s="88"/>
      <c r="H280" s="88"/>
      <c r="I280" s="3"/>
      <c r="J280" s="26">
        <v>12.495000000000001</v>
      </c>
      <c r="K280" s="88">
        <f t="shared" si="11"/>
        <v>19.685390560000002</v>
      </c>
      <c r="L280" s="88"/>
      <c r="M280" s="88"/>
      <c r="N280" s="88"/>
      <c r="W280"/>
      <c r="X280"/>
    </row>
    <row r="281" spans="1:24" x14ac:dyDescent="0.25">
      <c r="A281" s="4" t="s">
        <v>848</v>
      </c>
      <c r="B281" s="88">
        <v>3.9740342399999999</v>
      </c>
      <c r="C281" s="88">
        <v>0.85</v>
      </c>
      <c r="D281" s="88">
        <v>0.70414271999999989</v>
      </c>
      <c r="E281" s="88">
        <v>0.30202200000000001</v>
      </c>
      <c r="F281" s="89">
        <v>2.2050000000000001</v>
      </c>
      <c r="G281" s="88"/>
      <c r="H281" s="88"/>
      <c r="I281" s="3"/>
      <c r="J281" s="26">
        <v>12.495000000000001</v>
      </c>
      <c r="K281" s="88">
        <f t="shared" si="11"/>
        <v>20.53019896</v>
      </c>
      <c r="L281" s="88"/>
      <c r="M281" s="88"/>
      <c r="N281" s="88"/>
      <c r="W281"/>
      <c r="X281"/>
    </row>
    <row r="282" spans="1:24" x14ac:dyDescent="0.25">
      <c r="A282" s="4" t="s">
        <v>850</v>
      </c>
      <c r="B282" s="88">
        <v>4.3968038399999996</v>
      </c>
      <c r="C282" s="88">
        <v>0.85</v>
      </c>
      <c r="D282" s="88">
        <v>0.77905151999999989</v>
      </c>
      <c r="E282" s="88">
        <v>0.334152</v>
      </c>
      <c r="F282" s="89">
        <v>3.6750000000000003</v>
      </c>
      <c r="G282" s="88"/>
      <c r="H282" s="88"/>
      <c r="I282" s="3">
        <v>2.0592000000000001</v>
      </c>
      <c r="J282" s="26">
        <v>12.495000000000001</v>
      </c>
      <c r="K282" s="88">
        <f t="shared" si="11"/>
        <v>24.589207360000003</v>
      </c>
      <c r="L282" s="88"/>
      <c r="M282" s="88"/>
      <c r="N282" s="88"/>
      <c r="W282"/>
      <c r="X282"/>
    </row>
    <row r="283" spans="1:24" x14ac:dyDescent="0.25">
      <c r="A283" s="4" t="s">
        <v>852</v>
      </c>
      <c r="B283" s="88">
        <v>5.2423430399999988</v>
      </c>
      <c r="C283" s="88">
        <v>0.85</v>
      </c>
      <c r="D283" s="88">
        <v>0.92886911999999977</v>
      </c>
      <c r="E283" s="88">
        <v>0.79682399999999998</v>
      </c>
      <c r="F283" s="89">
        <v>5.04</v>
      </c>
      <c r="G283" s="88"/>
      <c r="H283" s="88"/>
      <c r="I283" s="3">
        <v>4.0920000000000005</v>
      </c>
      <c r="J283" s="26">
        <v>12.495000000000001</v>
      </c>
      <c r="K283" s="88">
        <f t="shared" si="11"/>
        <v>29.445036160000001</v>
      </c>
      <c r="L283" s="88"/>
      <c r="M283" s="88"/>
      <c r="N283" s="88"/>
      <c r="W283"/>
      <c r="X283"/>
    </row>
    <row r="284" spans="1:24" x14ac:dyDescent="0.25">
      <c r="A284" s="4" t="s">
        <v>854</v>
      </c>
      <c r="B284" s="88">
        <v>6.0878822399999999</v>
      </c>
      <c r="C284" s="88">
        <v>1.75</v>
      </c>
      <c r="D284" s="88">
        <v>1.0786867199999999</v>
      </c>
      <c r="E284" s="88">
        <v>0.92534400000000006</v>
      </c>
      <c r="F284" s="89">
        <v>5.04</v>
      </c>
      <c r="G284" s="88"/>
      <c r="H284" s="88"/>
      <c r="I284" s="3">
        <v>4.7520000000000007</v>
      </c>
      <c r="J284" s="26">
        <v>12.495000000000001</v>
      </c>
      <c r="K284" s="88">
        <f t="shared" si="11"/>
        <v>32.128912960000001</v>
      </c>
      <c r="L284" s="88"/>
      <c r="M284" s="88"/>
      <c r="N284" s="88"/>
      <c r="W284"/>
      <c r="X284"/>
    </row>
    <row r="285" spans="1:24" x14ac:dyDescent="0.25">
      <c r="A285" s="4" t="s">
        <v>856</v>
      </c>
      <c r="B285" s="88">
        <v>6.9334214399999992</v>
      </c>
      <c r="C285" s="88">
        <v>1.75</v>
      </c>
      <c r="D285" s="88">
        <v>1.2285043199999999</v>
      </c>
      <c r="E285" s="88">
        <v>1.0538640000000001</v>
      </c>
      <c r="F285" s="89">
        <v>6.7200000000000006</v>
      </c>
      <c r="G285" s="88"/>
      <c r="H285" s="88"/>
      <c r="I285" s="3">
        <v>5.4119999999999999</v>
      </c>
      <c r="J285" s="26">
        <v>12.495000000000001</v>
      </c>
      <c r="K285" s="88">
        <f t="shared" si="11"/>
        <v>35.592789760000002</v>
      </c>
      <c r="L285" s="88"/>
      <c r="M285" s="88"/>
      <c r="N285" s="26"/>
      <c r="W285"/>
      <c r="X285"/>
    </row>
    <row r="286" spans="1:24" x14ac:dyDescent="0.25">
      <c r="A286" s="4" t="s">
        <v>858</v>
      </c>
      <c r="B286" s="88">
        <v>7.7789606399999993</v>
      </c>
      <c r="C286" s="88">
        <v>2.2999999999999998</v>
      </c>
      <c r="D286" s="88">
        <v>1.3783219199999996</v>
      </c>
      <c r="E286" s="88">
        <v>1.1823839999999999</v>
      </c>
      <c r="F286" s="89">
        <v>6.7200000000000006</v>
      </c>
      <c r="G286" s="88"/>
      <c r="H286" s="88"/>
      <c r="I286" s="3">
        <v>6.6000000000000005</v>
      </c>
      <c r="J286" s="26">
        <v>12.495000000000001</v>
      </c>
      <c r="K286" s="88">
        <f t="shared" si="11"/>
        <v>38.454666560000007</v>
      </c>
      <c r="L286" s="88"/>
      <c r="M286" s="88"/>
      <c r="N286" s="26"/>
      <c r="W286"/>
      <c r="X286"/>
    </row>
    <row r="287" spans="1:24" x14ac:dyDescent="0.25">
      <c r="A287" s="4" t="s">
        <v>860</v>
      </c>
      <c r="B287" s="88">
        <v>8.6244998400000004</v>
      </c>
      <c r="C287" s="88">
        <v>2.2999999999999998</v>
      </c>
      <c r="D287" s="88">
        <v>4.6743091200000002</v>
      </c>
      <c r="E287" s="88">
        <v>1.5730848000000002</v>
      </c>
      <c r="F287" s="89">
        <v>6.7200000000000006</v>
      </c>
      <c r="G287" s="88"/>
      <c r="H287" s="88"/>
      <c r="I287" s="3">
        <v>6.6000000000000005</v>
      </c>
      <c r="J287" s="26">
        <v>12.495000000000001</v>
      </c>
      <c r="K287" s="88">
        <f t="shared" si="11"/>
        <v>42.986893760000001</v>
      </c>
      <c r="L287" s="88"/>
      <c r="M287" s="88"/>
      <c r="N287" s="26"/>
      <c r="W287"/>
      <c r="X287"/>
    </row>
    <row r="288" spans="1:24" x14ac:dyDescent="0.25">
      <c r="A288" s="4" t="s">
        <v>862</v>
      </c>
      <c r="B288" s="88">
        <v>7.5159039999999999</v>
      </c>
      <c r="C288" s="88">
        <v>1.56</v>
      </c>
      <c r="D288" s="88">
        <v>1.3317119999999998</v>
      </c>
      <c r="E288" s="88">
        <v>0.57119999999999993</v>
      </c>
      <c r="F288" s="89">
        <v>4.2</v>
      </c>
      <c r="G288" s="88"/>
      <c r="H288" s="88"/>
      <c r="I288" s="3">
        <v>1.98</v>
      </c>
      <c r="J288" s="26">
        <v>13.419000000000002</v>
      </c>
      <c r="K288" s="88">
        <f t="shared" si="11"/>
        <v>30.577816000000002</v>
      </c>
      <c r="L288" s="88"/>
      <c r="M288" s="88"/>
      <c r="N288" s="26"/>
      <c r="W288"/>
      <c r="X288"/>
    </row>
    <row r="289" spans="1:24" x14ac:dyDescent="0.25">
      <c r="A289" s="4" t="s">
        <v>864</v>
      </c>
      <c r="B289" s="88">
        <v>8.2674944000000004</v>
      </c>
      <c r="C289" s="88">
        <v>1.56</v>
      </c>
      <c r="D289" s="88">
        <v>1.4648831999999998</v>
      </c>
      <c r="E289" s="88">
        <v>0.62831999999999999</v>
      </c>
      <c r="F289" s="89">
        <v>4.2</v>
      </c>
      <c r="G289" s="88"/>
      <c r="H289" s="88"/>
      <c r="I289" s="3">
        <v>2.1779999999999999</v>
      </c>
      <c r="J289" s="26">
        <v>13.419000000000002</v>
      </c>
      <c r="K289" s="88">
        <f t="shared" si="11"/>
        <v>31.717697599999997</v>
      </c>
      <c r="L289" s="88"/>
      <c r="M289" s="88"/>
      <c r="N289" s="26"/>
      <c r="W289"/>
      <c r="X289"/>
    </row>
    <row r="290" spans="1:24" x14ac:dyDescent="0.25">
      <c r="A290" s="4" t="s">
        <v>866</v>
      </c>
      <c r="B290" s="88">
        <v>9.7706751999999994</v>
      </c>
      <c r="C290" s="88">
        <v>3</v>
      </c>
      <c r="D290" s="88">
        <v>1.7312255999999997</v>
      </c>
      <c r="E290" s="88">
        <v>1.48512</v>
      </c>
      <c r="F290" s="89">
        <v>5.88</v>
      </c>
      <c r="G290" s="88"/>
      <c r="H290" s="88"/>
      <c r="I290" s="3">
        <v>4.29</v>
      </c>
      <c r="J290" s="26">
        <v>13.419000000000002</v>
      </c>
      <c r="K290" s="88">
        <f t="shared" si="11"/>
        <v>39.576020799999995</v>
      </c>
      <c r="L290" s="88"/>
      <c r="M290" s="88"/>
      <c r="N290" s="88"/>
      <c r="W290"/>
      <c r="X290"/>
    </row>
    <row r="291" spans="1:24" x14ac:dyDescent="0.25">
      <c r="A291" s="4" t="s">
        <v>868</v>
      </c>
      <c r="B291" s="88">
        <v>11.273856</v>
      </c>
      <c r="C291" s="88">
        <v>3.5</v>
      </c>
      <c r="D291" s="88">
        <v>1.9975679999999996</v>
      </c>
      <c r="E291" s="88">
        <v>1.7136</v>
      </c>
      <c r="F291" s="89">
        <v>5.88</v>
      </c>
      <c r="G291" s="88"/>
      <c r="H291" s="88"/>
      <c r="I291" s="3">
        <v>4.95</v>
      </c>
      <c r="J291" s="26">
        <v>13.419000000000002</v>
      </c>
      <c r="K291" s="88">
        <f t="shared" si="11"/>
        <v>42.734024000000005</v>
      </c>
      <c r="L291" s="88"/>
      <c r="M291" s="88"/>
      <c r="N291" s="88"/>
      <c r="W291"/>
      <c r="X291"/>
    </row>
    <row r="292" spans="1:24" x14ac:dyDescent="0.25">
      <c r="A292" s="4" t="s">
        <v>870</v>
      </c>
      <c r="B292" s="88">
        <v>12.777036799999998</v>
      </c>
      <c r="C292" s="88">
        <v>4</v>
      </c>
      <c r="D292" s="88">
        <v>2.2639103999999994</v>
      </c>
      <c r="E292" s="88">
        <v>1.9420799999999998</v>
      </c>
      <c r="F292" s="89">
        <v>8.4</v>
      </c>
      <c r="G292" s="88"/>
      <c r="H292" s="88"/>
      <c r="I292" s="3">
        <v>5.61</v>
      </c>
      <c r="J292" s="26">
        <v>13.419000000000002</v>
      </c>
      <c r="K292" s="88">
        <f t="shared" si="11"/>
        <v>48.412027200000004</v>
      </c>
      <c r="L292" s="88"/>
      <c r="M292" s="88"/>
      <c r="N292" s="88"/>
      <c r="W292"/>
      <c r="X292"/>
    </row>
    <row r="293" spans="1:24" x14ac:dyDescent="0.25">
      <c r="A293" s="4" t="s">
        <v>872</v>
      </c>
      <c r="B293" s="88">
        <v>14.2802176</v>
      </c>
      <c r="C293" s="88">
        <v>5</v>
      </c>
      <c r="D293" s="88">
        <v>2.5302528</v>
      </c>
      <c r="E293" s="88">
        <v>2.17056</v>
      </c>
      <c r="F293" s="89">
        <v>8.4</v>
      </c>
      <c r="G293" s="88"/>
      <c r="H293" s="88"/>
      <c r="I293" s="3">
        <v>6.6000000000000005</v>
      </c>
      <c r="J293" s="26">
        <v>13.419000000000002</v>
      </c>
      <c r="K293" s="88">
        <f t="shared" si="11"/>
        <v>52.400030400000006</v>
      </c>
      <c r="L293" s="88"/>
      <c r="M293" s="88"/>
      <c r="N293" s="88"/>
      <c r="W293"/>
      <c r="X293"/>
    </row>
    <row r="294" spans="1:24" x14ac:dyDescent="0.25">
      <c r="A294" s="4" t="s">
        <v>874</v>
      </c>
      <c r="B294" s="88">
        <v>15.783398399999998</v>
      </c>
      <c r="C294" s="88">
        <v>5</v>
      </c>
      <c r="D294" s="88">
        <v>8.5542911999999998</v>
      </c>
      <c r="E294" s="88">
        <v>2.8788480000000005</v>
      </c>
      <c r="F294" s="89">
        <v>8.4</v>
      </c>
      <c r="G294" s="88"/>
      <c r="H294" s="88"/>
      <c r="I294" s="3">
        <v>6.6000000000000005</v>
      </c>
      <c r="J294" s="26">
        <v>13.419000000000002</v>
      </c>
      <c r="K294" s="88">
        <f t="shared" si="11"/>
        <v>60.635537599999999</v>
      </c>
      <c r="L294" s="88"/>
      <c r="M294" s="88"/>
      <c r="N294" s="88"/>
      <c r="W294"/>
      <c r="X294"/>
    </row>
    <row r="295" spans="1:24" x14ac:dyDescent="0.25">
      <c r="A295" s="4" t="s">
        <v>876</v>
      </c>
      <c r="B295" s="88">
        <v>17.286579199999995</v>
      </c>
      <c r="C295" s="88">
        <v>5</v>
      </c>
      <c r="D295" s="88">
        <v>9.3689855999999985</v>
      </c>
      <c r="E295" s="88">
        <v>3.1530239999999998</v>
      </c>
      <c r="F295" s="89">
        <v>8.4</v>
      </c>
      <c r="G295" s="88"/>
      <c r="H295" s="88"/>
      <c r="I295" s="3">
        <v>6.6000000000000005</v>
      </c>
      <c r="J295" s="26">
        <v>13.419000000000002</v>
      </c>
      <c r="K295" s="88">
        <f t="shared" si="11"/>
        <v>63.227588799999992</v>
      </c>
      <c r="L295" s="88"/>
      <c r="M295" s="88"/>
      <c r="N295" s="88"/>
      <c r="W295"/>
      <c r="X295"/>
    </row>
    <row r="296" spans="1:24" x14ac:dyDescent="0.25">
      <c r="A296" s="4" t="s">
        <v>878</v>
      </c>
      <c r="B296" s="88">
        <v>18.789759999999998</v>
      </c>
      <c r="C296" s="88">
        <v>5</v>
      </c>
      <c r="D296" s="88">
        <v>10.183680000000001</v>
      </c>
      <c r="E296" s="88">
        <v>4.2839999999999998</v>
      </c>
      <c r="F296" s="89">
        <v>8.4</v>
      </c>
      <c r="G296" s="88"/>
      <c r="H296" s="88"/>
      <c r="I296" s="3">
        <v>6.6000000000000005</v>
      </c>
      <c r="J296" s="26">
        <v>13.419000000000002</v>
      </c>
      <c r="K296" s="88">
        <f t="shared" si="11"/>
        <v>66.676439999999999</v>
      </c>
      <c r="L296" s="88"/>
      <c r="M296" s="88"/>
      <c r="N296" s="88"/>
      <c r="W296"/>
      <c r="X296"/>
    </row>
    <row r="297" spans="1:24" x14ac:dyDescent="0.25">
      <c r="A297" s="111" t="s">
        <v>1050</v>
      </c>
      <c r="B297" s="112">
        <v>1.8759839999999997</v>
      </c>
      <c r="C297" s="112">
        <v>0.7</v>
      </c>
      <c r="D297" s="112">
        <v>0.34333199999999992</v>
      </c>
      <c r="E297" s="112">
        <v>0.35343000000000002</v>
      </c>
      <c r="F297" s="89">
        <v>1.8900000000000001</v>
      </c>
      <c r="G297" s="112"/>
      <c r="H297" s="112"/>
      <c r="I297" s="110"/>
      <c r="J297" s="26">
        <v>8.5260000000000016</v>
      </c>
      <c r="K297" s="110">
        <f>J297+I297+H297+G297+F297+E297+D297+C297+B297</f>
        <v>13.688746</v>
      </c>
      <c r="L297" s="88"/>
      <c r="M297" s="88"/>
      <c r="N297" s="88"/>
      <c r="W297"/>
      <c r="X297"/>
    </row>
    <row r="298" spans="1:24" x14ac:dyDescent="0.25">
      <c r="A298" s="111" t="s">
        <v>109</v>
      </c>
      <c r="B298" s="112">
        <v>2.1602239999999999</v>
      </c>
      <c r="C298" s="112">
        <v>0.7</v>
      </c>
      <c r="D298" s="112">
        <v>0.39535199999999993</v>
      </c>
      <c r="E298" s="112">
        <v>0.40698000000000001</v>
      </c>
      <c r="F298" s="89">
        <v>1.8900000000000001</v>
      </c>
      <c r="G298" s="112"/>
      <c r="H298" s="112"/>
      <c r="I298" s="110">
        <v>1.5047999999999999</v>
      </c>
      <c r="J298" s="26">
        <v>8.5260000000000016</v>
      </c>
      <c r="K298" s="110">
        <f t="shared" ref="K298:K319" si="12">J298+I298+H298+G298+F298+E298+D298+C298+B298</f>
        <v>15.583356000000002</v>
      </c>
      <c r="L298" s="88"/>
      <c r="M298" s="88"/>
      <c r="N298" s="88"/>
      <c r="W298"/>
      <c r="X298"/>
    </row>
    <row r="299" spans="1:24" x14ac:dyDescent="0.25">
      <c r="A299" s="111" t="s">
        <v>111</v>
      </c>
      <c r="B299" s="112">
        <v>2.7287039999999996</v>
      </c>
      <c r="C299" s="112">
        <v>0.85</v>
      </c>
      <c r="D299" s="112">
        <v>0.49939199999999989</v>
      </c>
      <c r="E299" s="112">
        <v>0.51408000000000009</v>
      </c>
      <c r="F299" s="89">
        <v>2.2050000000000001</v>
      </c>
      <c r="G299" s="112"/>
      <c r="H299" s="112"/>
      <c r="I299" s="110">
        <v>2.5344000000000002</v>
      </c>
      <c r="J299" s="26">
        <v>8.5260000000000016</v>
      </c>
      <c r="K299" s="110">
        <f t="shared" si="12"/>
        <v>17.857576000000002</v>
      </c>
      <c r="L299" s="88"/>
      <c r="M299" s="88"/>
      <c r="N299" s="88"/>
      <c r="W299"/>
      <c r="X299"/>
    </row>
    <row r="300" spans="1:24" x14ac:dyDescent="0.25">
      <c r="A300" s="111" t="s">
        <v>113</v>
      </c>
      <c r="B300" s="112">
        <v>3.2971839999999997</v>
      </c>
      <c r="C300" s="112">
        <v>0.85</v>
      </c>
      <c r="D300" s="112">
        <v>0.60343199999999986</v>
      </c>
      <c r="E300" s="112">
        <v>0.62118000000000007</v>
      </c>
      <c r="F300" s="89">
        <v>3.6750000000000003</v>
      </c>
      <c r="G300" s="112"/>
      <c r="H300" s="112"/>
      <c r="I300" s="110">
        <v>3.0624000000000002</v>
      </c>
      <c r="J300" s="26">
        <v>8.5260000000000016</v>
      </c>
      <c r="K300" s="110">
        <f t="shared" si="12"/>
        <v>20.635196000000008</v>
      </c>
      <c r="L300" s="88"/>
      <c r="M300" s="88"/>
      <c r="N300" s="88"/>
      <c r="W300"/>
      <c r="X300"/>
    </row>
    <row r="301" spans="1:24" x14ac:dyDescent="0.25">
      <c r="A301" s="111" t="s">
        <v>115</v>
      </c>
      <c r="B301" s="112">
        <v>3.8656639999999998</v>
      </c>
      <c r="C301" s="112">
        <v>1.05</v>
      </c>
      <c r="D301" s="112">
        <v>0.70747199999999988</v>
      </c>
      <c r="E301" s="112">
        <v>0.72828000000000004</v>
      </c>
      <c r="F301" s="89">
        <v>5.04</v>
      </c>
      <c r="G301" s="112"/>
      <c r="H301" s="112"/>
      <c r="I301" s="110">
        <v>4.4880000000000004</v>
      </c>
      <c r="J301" s="26">
        <v>8.5260000000000016</v>
      </c>
      <c r="K301" s="110">
        <f t="shared" si="12"/>
        <v>24.405416000000002</v>
      </c>
      <c r="L301" s="88"/>
      <c r="M301" s="88"/>
      <c r="N301" s="88"/>
      <c r="W301"/>
      <c r="X301"/>
    </row>
    <row r="302" spans="1:24" x14ac:dyDescent="0.25">
      <c r="A302" s="111" t="s">
        <v>117</v>
      </c>
      <c r="B302" s="112">
        <v>4.434143999999999</v>
      </c>
      <c r="C302" s="112">
        <v>1.75</v>
      </c>
      <c r="D302" s="112">
        <v>0.81151199999999979</v>
      </c>
      <c r="E302" s="112">
        <v>0.83538000000000012</v>
      </c>
      <c r="F302" s="89">
        <v>5.04</v>
      </c>
      <c r="G302" s="112"/>
      <c r="H302" s="112"/>
      <c r="I302" s="110">
        <v>5.1479999999999997</v>
      </c>
      <c r="J302" s="26">
        <v>8.5260000000000016</v>
      </c>
      <c r="K302" s="110">
        <f t="shared" si="12"/>
        <v>26.545036000000003</v>
      </c>
      <c r="L302" s="88"/>
      <c r="M302" s="88"/>
      <c r="N302" s="88"/>
      <c r="W302"/>
      <c r="X302"/>
    </row>
    <row r="303" spans="1:24" x14ac:dyDescent="0.25">
      <c r="A303" s="111" t="s">
        <v>119</v>
      </c>
      <c r="B303" s="112">
        <v>3.5512646399999994</v>
      </c>
      <c r="C303" s="112">
        <v>0.85</v>
      </c>
      <c r="D303" s="112">
        <v>0.62923391999999989</v>
      </c>
      <c r="E303" s="112">
        <v>0.26989200000000002</v>
      </c>
      <c r="F303" s="89">
        <v>1.8900000000000001</v>
      </c>
      <c r="G303" s="112"/>
      <c r="H303" s="112"/>
      <c r="I303" s="110"/>
      <c r="J303" s="26">
        <v>8.5260000000000016</v>
      </c>
      <c r="K303" s="110">
        <f t="shared" si="12"/>
        <v>15.716390560000002</v>
      </c>
      <c r="L303" s="88"/>
      <c r="M303" s="88"/>
      <c r="N303" s="88"/>
      <c r="W303"/>
      <c r="X303"/>
    </row>
    <row r="304" spans="1:24" x14ac:dyDescent="0.25">
      <c r="A304" s="111" t="s">
        <v>129</v>
      </c>
      <c r="B304" s="112">
        <v>3.9740342399999999</v>
      </c>
      <c r="C304" s="112">
        <v>0.85</v>
      </c>
      <c r="D304" s="112">
        <v>0.70414271999999989</v>
      </c>
      <c r="E304" s="112">
        <v>0.30202200000000001</v>
      </c>
      <c r="F304" s="89">
        <v>2.2050000000000001</v>
      </c>
      <c r="G304" s="112"/>
      <c r="H304" s="112"/>
      <c r="I304" s="110"/>
      <c r="J304" s="26">
        <v>12.495000000000001</v>
      </c>
      <c r="K304" s="110">
        <f t="shared" si="12"/>
        <v>20.53019896</v>
      </c>
      <c r="L304" s="88"/>
      <c r="M304" s="88"/>
      <c r="N304" s="88"/>
      <c r="W304"/>
      <c r="X304"/>
    </row>
    <row r="305" spans="1:24" x14ac:dyDescent="0.25">
      <c r="A305" s="111" t="s">
        <v>131</v>
      </c>
      <c r="B305" s="112">
        <v>4.3968038399999996</v>
      </c>
      <c r="C305" s="112">
        <v>0.85</v>
      </c>
      <c r="D305" s="112">
        <v>0.77905151999999989</v>
      </c>
      <c r="E305" s="112">
        <v>0.334152</v>
      </c>
      <c r="F305" s="89">
        <v>3.6750000000000003</v>
      </c>
      <c r="G305" s="112"/>
      <c r="H305" s="112"/>
      <c r="I305" s="110">
        <v>2.0592000000000001</v>
      </c>
      <c r="J305" s="26">
        <v>12.495000000000001</v>
      </c>
      <c r="K305" s="110">
        <f t="shared" si="12"/>
        <v>24.589207360000003</v>
      </c>
      <c r="L305" s="88"/>
      <c r="M305" s="88"/>
      <c r="N305" s="88"/>
      <c r="W305"/>
      <c r="X305"/>
    </row>
    <row r="306" spans="1:24" x14ac:dyDescent="0.25">
      <c r="A306" s="111" t="s">
        <v>133</v>
      </c>
      <c r="B306" s="112">
        <v>5.2423430399999988</v>
      </c>
      <c r="C306" s="112">
        <v>0.85</v>
      </c>
      <c r="D306" s="112">
        <v>0.92886911999999977</v>
      </c>
      <c r="E306" s="112">
        <v>0.79682399999999998</v>
      </c>
      <c r="F306" s="89">
        <v>5.04</v>
      </c>
      <c r="G306" s="112"/>
      <c r="H306" s="112"/>
      <c r="I306" s="110">
        <v>4.0920000000000005</v>
      </c>
      <c r="J306" s="26">
        <v>12.495000000000001</v>
      </c>
      <c r="K306" s="110">
        <f t="shared" si="12"/>
        <v>29.445036160000001</v>
      </c>
      <c r="L306" s="88"/>
      <c r="M306" s="88"/>
      <c r="N306" s="88"/>
      <c r="W306"/>
      <c r="X306"/>
    </row>
    <row r="307" spans="1:24" x14ac:dyDescent="0.25">
      <c r="A307" s="111" t="s">
        <v>135</v>
      </c>
      <c r="B307" s="112">
        <v>6.0878822399999999</v>
      </c>
      <c r="C307" s="112">
        <v>1.75</v>
      </c>
      <c r="D307" s="112">
        <v>1.0786867199999999</v>
      </c>
      <c r="E307" s="112">
        <v>0.92534400000000006</v>
      </c>
      <c r="F307" s="89">
        <v>5.04</v>
      </c>
      <c r="G307" s="112"/>
      <c r="H307" s="112"/>
      <c r="I307" s="110">
        <v>4.7520000000000007</v>
      </c>
      <c r="J307" s="26">
        <v>12.495000000000001</v>
      </c>
      <c r="K307" s="110">
        <f t="shared" si="12"/>
        <v>32.128912960000001</v>
      </c>
      <c r="L307" s="88"/>
      <c r="M307" s="88"/>
      <c r="N307" s="88"/>
      <c r="W307"/>
      <c r="X307"/>
    </row>
    <row r="308" spans="1:24" x14ac:dyDescent="0.25">
      <c r="A308" s="111" t="s">
        <v>137</v>
      </c>
      <c r="B308" s="112">
        <v>6.9334214399999992</v>
      </c>
      <c r="C308" s="112">
        <v>1.75</v>
      </c>
      <c r="D308" s="112">
        <v>1.2285043199999999</v>
      </c>
      <c r="E308" s="112">
        <v>1.0538640000000001</v>
      </c>
      <c r="F308" s="89">
        <v>6.7200000000000006</v>
      </c>
      <c r="G308" s="112"/>
      <c r="H308" s="112"/>
      <c r="I308" s="110">
        <v>5.4119999999999999</v>
      </c>
      <c r="J308" s="26">
        <v>12.495000000000001</v>
      </c>
      <c r="K308" s="110">
        <f t="shared" si="12"/>
        <v>35.592789760000002</v>
      </c>
      <c r="L308" s="88"/>
      <c r="M308" s="88"/>
      <c r="N308" s="88"/>
      <c r="W308"/>
      <c r="X308"/>
    </row>
    <row r="309" spans="1:24" x14ac:dyDescent="0.25">
      <c r="A309" s="111" t="s">
        <v>139</v>
      </c>
      <c r="B309" s="112">
        <v>7.7789606399999993</v>
      </c>
      <c r="C309" s="112">
        <v>2.2999999999999998</v>
      </c>
      <c r="D309" s="112">
        <v>1.3783219199999996</v>
      </c>
      <c r="E309" s="112">
        <v>1.1823839999999999</v>
      </c>
      <c r="F309" s="89">
        <v>6.7200000000000006</v>
      </c>
      <c r="G309" s="112"/>
      <c r="H309" s="112"/>
      <c r="I309" s="110">
        <v>6.6000000000000005</v>
      </c>
      <c r="J309" s="26">
        <v>12.495000000000001</v>
      </c>
      <c r="K309" s="110">
        <f t="shared" si="12"/>
        <v>38.454666560000007</v>
      </c>
      <c r="L309" s="88"/>
      <c r="M309" s="88"/>
      <c r="N309" s="88"/>
      <c r="W309"/>
      <c r="X309"/>
    </row>
    <row r="310" spans="1:24" x14ac:dyDescent="0.25">
      <c r="A310" s="111" t="s">
        <v>141</v>
      </c>
      <c r="B310" s="112">
        <v>8.6244998400000004</v>
      </c>
      <c r="C310" s="112">
        <v>2.2999999999999998</v>
      </c>
      <c r="D310" s="112">
        <v>1.5281395199999996</v>
      </c>
      <c r="E310" s="112">
        <v>1.5730848000000002</v>
      </c>
      <c r="F310" s="89">
        <v>6.7200000000000006</v>
      </c>
      <c r="G310" s="112"/>
      <c r="H310" s="112"/>
      <c r="I310" s="110">
        <v>6.6000000000000005</v>
      </c>
      <c r="J310" s="26">
        <v>12.495000000000001</v>
      </c>
      <c r="K310" s="110">
        <f t="shared" si="12"/>
        <v>39.840724160000008</v>
      </c>
      <c r="L310" s="88"/>
      <c r="M310" s="88"/>
      <c r="N310" s="88"/>
      <c r="W310"/>
      <c r="X310"/>
    </row>
    <row r="311" spans="1:24" x14ac:dyDescent="0.25">
      <c r="A311" s="111" t="s">
        <v>143</v>
      </c>
      <c r="B311" s="112">
        <v>7.5159039999999999</v>
      </c>
      <c r="C311" s="112">
        <v>1.56</v>
      </c>
      <c r="D311" s="112">
        <v>1.3317119999999998</v>
      </c>
      <c r="E311" s="112">
        <v>0.57119999999999993</v>
      </c>
      <c r="F311" s="89">
        <v>4.2</v>
      </c>
      <c r="G311" s="112"/>
      <c r="H311" s="112"/>
      <c r="I311" s="110">
        <v>1.98</v>
      </c>
      <c r="J311" s="26">
        <v>12.495000000000001</v>
      </c>
      <c r="K311" s="110">
        <f t="shared" si="12"/>
        <v>29.653815999999999</v>
      </c>
      <c r="L311" s="88"/>
      <c r="M311" s="88"/>
      <c r="N311" s="88"/>
      <c r="W311"/>
      <c r="X311"/>
    </row>
    <row r="312" spans="1:24" x14ac:dyDescent="0.25">
      <c r="A312" s="111" t="s">
        <v>149</v>
      </c>
      <c r="B312" s="112">
        <v>8.2674944000000004</v>
      </c>
      <c r="C312" s="112">
        <v>1.56</v>
      </c>
      <c r="D312" s="112">
        <v>1.4648831999999998</v>
      </c>
      <c r="E312" s="112">
        <v>0.62831999999999999</v>
      </c>
      <c r="F312" s="89">
        <v>5.88</v>
      </c>
      <c r="G312" s="112"/>
      <c r="H312" s="112"/>
      <c r="I312" s="110">
        <v>2.1779999999999999</v>
      </c>
      <c r="J312" s="26">
        <v>13.419000000000002</v>
      </c>
      <c r="K312" s="110">
        <f t="shared" si="12"/>
        <v>33.397697600000001</v>
      </c>
      <c r="L312" s="88"/>
      <c r="M312" s="88"/>
      <c r="N312" s="88"/>
      <c r="W312"/>
      <c r="X312"/>
    </row>
    <row r="313" spans="1:24" x14ac:dyDescent="0.25">
      <c r="A313" s="111" t="s">
        <v>151</v>
      </c>
      <c r="B313" s="112">
        <v>9.7706751999999994</v>
      </c>
      <c r="C313" s="112">
        <v>3</v>
      </c>
      <c r="D313" s="112">
        <v>1.7312255999999997</v>
      </c>
      <c r="E313" s="112">
        <v>1.48512</v>
      </c>
      <c r="F313" s="89">
        <v>5.88</v>
      </c>
      <c r="G313" s="112"/>
      <c r="H313" s="112"/>
      <c r="I313" s="110">
        <v>4.29</v>
      </c>
      <c r="J313" s="26">
        <v>13.419000000000002</v>
      </c>
      <c r="K313" s="110">
        <f t="shared" si="12"/>
        <v>39.576020799999995</v>
      </c>
      <c r="L313" s="88"/>
      <c r="M313" s="88"/>
      <c r="N313" s="88"/>
      <c r="W313"/>
      <c r="X313"/>
    </row>
    <row r="314" spans="1:24" x14ac:dyDescent="0.25">
      <c r="A314" s="111" t="s">
        <v>155</v>
      </c>
      <c r="B314" s="112">
        <v>11.273856</v>
      </c>
      <c r="C314" s="112">
        <v>3.5</v>
      </c>
      <c r="D314" s="112">
        <v>1.9975679999999996</v>
      </c>
      <c r="E314" s="112">
        <v>1.7136</v>
      </c>
      <c r="F314" s="89">
        <v>5.88</v>
      </c>
      <c r="G314" s="112"/>
      <c r="H314" s="112"/>
      <c r="I314" s="110">
        <v>4.95</v>
      </c>
      <c r="J314" s="26">
        <v>13.419000000000002</v>
      </c>
      <c r="K314" s="110">
        <f t="shared" si="12"/>
        <v>42.734024000000005</v>
      </c>
      <c r="L314" s="88"/>
      <c r="M314" s="88"/>
      <c r="N314" s="88"/>
      <c r="W314"/>
      <c r="X314"/>
    </row>
    <row r="315" spans="1:24" x14ac:dyDescent="0.25">
      <c r="A315" s="111" t="s">
        <v>157</v>
      </c>
      <c r="B315" s="112">
        <v>12.777036799999998</v>
      </c>
      <c r="C315" s="112">
        <v>4</v>
      </c>
      <c r="D315" s="112">
        <v>2.2639103999999994</v>
      </c>
      <c r="E315" s="112">
        <v>1.9420799999999998</v>
      </c>
      <c r="F315" s="89">
        <v>8.4</v>
      </c>
      <c r="G315" s="112"/>
      <c r="H315" s="112"/>
      <c r="I315" s="110">
        <v>5.61</v>
      </c>
      <c r="J315" s="26">
        <v>13.419000000000002</v>
      </c>
      <c r="K315" s="110">
        <f t="shared" si="12"/>
        <v>48.412027200000004</v>
      </c>
      <c r="L315" s="88"/>
      <c r="M315" s="88"/>
      <c r="N315" s="88"/>
      <c r="W315"/>
      <c r="X315"/>
    </row>
    <row r="316" spans="1:24" x14ac:dyDescent="0.25">
      <c r="A316" s="111" t="s">
        <v>159</v>
      </c>
      <c r="B316" s="112">
        <v>14.2802176</v>
      </c>
      <c r="C316" s="112">
        <v>5</v>
      </c>
      <c r="D316" s="112">
        <v>2.5302528</v>
      </c>
      <c r="E316" s="112">
        <v>2.17056</v>
      </c>
      <c r="F316" s="89">
        <v>8.4</v>
      </c>
      <c r="G316" s="112"/>
      <c r="H316" s="112"/>
      <c r="I316" s="110">
        <v>6.6000000000000005</v>
      </c>
      <c r="J316" s="26">
        <v>13.419000000000002</v>
      </c>
      <c r="K316" s="110">
        <f t="shared" si="12"/>
        <v>52.400030400000006</v>
      </c>
      <c r="L316" s="88"/>
      <c r="M316" s="88"/>
      <c r="N316" s="88"/>
      <c r="W316"/>
      <c r="X316"/>
    </row>
    <row r="317" spans="1:24" x14ac:dyDescent="0.25">
      <c r="A317" s="111" t="s">
        <v>161</v>
      </c>
      <c r="B317" s="112">
        <v>15.783398399999998</v>
      </c>
      <c r="C317" s="112">
        <v>5</v>
      </c>
      <c r="D317" s="112">
        <v>8.5542911999999998</v>
      </c>
      <c r="E317" s="112">
        <v>2.8788480000000005</v>
      </c>
      <c r="F317" s="89">
        <v>8.4</v>
      </c>
      <c r="G317" s="112"/>
      <c r="H317" s="112"/>
      <c r="I317" s="110">
        <v>6.6000000000000005</v>
      </c>
      <c r="J317" s="26">
        <v>13.419000000000002</v>
      </c>
      <c r="K317" s="110">
        <f t="shared" si="12"/>
        <v>60.635537599999999</v>
      </c>
      <c r="L317" s="88"/>
      <c r="M317" s="88"/>
      <c r="N317" s="88"/>
      <c r="W317"/>
      <c r="X317"/>
    </row>
    <row r="318" spans="1:24" x14ac:dyDescent="0.25">
      <c r="A318" s="111" t="s">
        <v>163</v>
      </c>
      <c r="B318" s="112">
        <v>17.286579199999995</v>
      </c>
      <c r="C318" s="112">
        <v>5</v>
      </c>
      <c r="D318" s="112">
        <v>9.3689855999999985</v>
      </c>
      <c r="E318" s="112">
        <v>3.1530239999999998</v>
      </c>
      <c r="F318" s="89">
        <v>8.4</v>
      </c>
      <c r="G318" s="112"/>
      <c r="H318" s="112"/>
      <c r="I318" s="110">
        <v>6.6000000000000005</v>
      </c>
      <c r="J318" s="26">
        <v>13.419000000000002</v>
      </c>
      <c r="K318" s="110">
        <f t="shared" si="12"/>
        <v>63.227588799999992</v>
      </c>
      <c r="L318" s="88"/>
      <c r="M318" s="88"/>
      <c r="N318" s="88"/>
      <c r="W318"/>
      <c r="X318"/>
    </row>
    <row r="319" spans="1:24" x14ac:dyDescent="0.25">
      <c r="A319" s="111" t="s">
        <v>165</v>
      </c>
      <c r="B319" s="112">
        <v>18.789759999999998</v>
      </c>
      <c r="C319" s="112">
        <v>5</v>
      </c>
      <c r="D319" s="112">
        <v>10.183680000000001</v>
      </c>
      <c r="E319" s="112">
        <v>3.4272000000000005</v>
      </c>
      <c r="F319" s="89">
        <v>8.4</v>
      </c>
      <c r="G319" s="112"/>
      <c r="H319" s="112"/>
      <c r="I319" s="110">
        <v>6.6000000000000005</v>
      </c>
      <c r="J319" s="26">
        <v>13.419000000000002</v>
      </c>
      <c r="K319" s="110">
        <f t="shared" si="12"/>
        <v>65.819640000000007</v>
      </c>
      <c r="L319" s="88"/>
      <c r="M319" s="88"/>
      <c r="N319" s="88"/>
      <c r="W319"/>
      <c r="X319"/>
    </row>
    <row r="320" spans="1:24" x14ac:dyDescent="0.25">
      <c r="A320" s="4" t="s">
        <v>880</v>
      </c>
      <c r="B320" s="88">
        <v>1.383069952</v>
      </c>
      <c r="C320" s="88">
        <v>1.35</v>
      </c>
      <c r="D320" s="88">
        <v>0.23038617599999994</v>
      </c>
      <c r="E320" s="88">
        <v>0.23716224</v>
      </c>
      <c r="F320" s="89">
        <v>1.8900000000000001</v>
      </c>
      <c r="G320" s="88"/>
      <c r="H320" s="88"/>
      <c r="I320" s="3">
        <v>1.37016</v>
      </c>
      <c r="J320" s="26">
        <v>8.5260000000000016</v>
      </c>
      <c r="K320" s="110">
        <f t="shared" si="11"/>
        <v>14.986778368000001</v>
      </c>
      <c r="L320" s="88"/>
      <c r="M320" s="88"/>
      <c r="N320" s="88"/>
      <c r="W320"/>
      <c r="X320"/>
    </row>
    <row r="321" spans="1:24" x14ac:dyDescent="0.25">
      <c r="A321" s="4" t="s">
        <v>882</v>
      </c>
      <c r="B321" s="88">
        <v>1.5829355519999999</v>
      </c>
      <c r="C321" s="88">
        <v>1.35</v>
      </c>
      <c r="D321" s="88">
        <v>0.2636789759999999</v>
      </c>
      <c r="E321" s="88">
        <v>0.27143423999999999</v>
      </c>
      <c r="F321" s="89">
        <v>1.8900000000000001</v>
      </c>
      <c r="G321" s="88"/>
      <c r="H321" s="88"/>
      <c r="I321" s="3">
        <v>1.56816</v>
      </c>
      <c r="J321" s="26">
        <v>8.5260000000000016</v>
      </c>
      <c r="K321" s="110">
        <f t="shared" si="11"/>
        <v>15.452208768000002</v>
      </c>
      <c r="L321" s="88"/>
      <c r="M321" s="88"/>
      <c r="N321" s="88"/>
      <c r="W321"/>
      <c r="X321"/>
    </row>
    <row r="322" spans="1:24" x14ac:dyDescent="0.25">
      <c r="A322" s="4" t="s">
        <v>884</v>
      </c>
      <c r="B322" s="88">
        <v>2.2511807999999998</v>
      </c>
      <c r="C322" s="88">
        <v>1.35</v>
      </c>
      <c r="D322" s="88">
        <v>0.41199839999999988</v>
      </c>
      <c r="E322" s="88">
        <v>0.42411599999999999</v>
      </c>
      <c r="F322" s="89">
        <v>1.8900000000000001</v>
      </c>
      <c r="G322" s="88"/>
      <c r="H322" s="88"/>
      <c r="I322" s="3">
        <v>1.56816</v>
      </c>
      <c r="J322" s="26">
        <v>8.5260000000000016</v>
      </c>
      <c r="K322" s="110">
        <f t="shared" si="11"/>
        <v>16.4214552</v>
      </c>
      <c r="L322" s="88"/>
      <c r="M322" s="88"/>
      <c r="N322" s="88"/>
      <c r="W322"/>
      <c r="X322"/>
    </row>
    <row r="323" spans="1:24" x14ac:dyDescent="0.25">
      <c r="A323" s="4" t="s">
        <v>886</v>
      </c>
      <c r="B323" s="88">
        <v>2.5354207999999994</v>
      </c>
      <c r="C323" s="88">
        <v>1.35</v>
      </c>
      <c r="D323" s="88">
        <v>0.46401839999999989</v>
      </c>
      <c r="E323" s="88">
        <v>0.47766599999999998</v>
      </c>
      <c r="F323" s="89">
        <v>1.8900000000000001</v>
      </c>
      <c r="G323" s="88"/>
      <c r="H323" s="88"/>
      <c r="I323" s="3">
        <v>2.3548800000000001</v>
      </c>
      <c r="J323" s="26">
        <v>8.5260000000000016</v>
      </c>
      <c r="K323" s="110">
        <f t="shared" si="11"/>
        <v>17.5979852</v>
      </c>
      <c r="L323" s="88"/>
      <c r="M323" s="88"/>
      <c r="N323" s="88"/>
      <c r="W323"/>
      <c r="X323"/>
    </row>
    <row r="324" spans="1:24" x14ac:dyDescent="0.25">
      <c r="A324" s="4" t="s">
        <v>888</v>
      </c>
      <c r="B324" s="88">
        <v>2.8196607999999999</v>
      </c>
      <c r="C324" s="88">
        <v>1.35</v>
      </c>
      <c r="D324" s="88">
        <v>0.5160383999999999</v>
      </c>
      <c r="E324" s="88">
        <v>0.53121600000000002</v>
      </c>
      <c r="F324" s="89">
        <v>2.2050000000000001</v>
      </c>
      <c r="G324" s="88"/>
      <c r="H324" s="88"/>
      <c r="I324" s="3">
        <v>2.6188800000000003</v>
      </c>
      <c r="J324" s="26">
        <v>8.5260000000000016</v>
      </c>
      <c r="K324" s="110">
        <f t="shared" si="11"/>
        <v>18.566795200000001</v>
      </c>
      <c r="L324" s="88"/>
      <c r="M324" s="88"/>
      <c r="N324" s="88"/>
      <c r="W324"/>
      <c r="X324"/>
    </row>
    <row r="325" spans="1:24" x14ac:dyDescent="0.25">
      <c r="A325" s="4" t="s">
        <v>890</v>
      </c>
      <c r="B325" s="88">
        <v>3.3881407999999995</v>
      </c>
      <c r="C325" s="88">
        <v>2</v>
      </c>
      <c r="D325" s="88">
        <v>0.62007839999999992</v>
      </c>
      <c r="E325" s="88">
        <v>0.63831599999999999</v>
      </c>
      <c r="F325" s="89">
        <v>3.6750000000000003</v>
      </c>
      <c r="G325" s="88"/>
      <c r="H325" s="88"/>
      <c r="I325" s="3">
        <v>3.1468800000000003</v>
      </c>
      <c r="J325" s="26">
        <v>8.5260000000000016</v>
      </c>
      <c r="K325" s="110">
        <f t="shared" si="11"/>
        <v>21.994415200000002</v>
      </c>
      <c r="L325" s="88"/>
      <c r="M325" s="88"/>
      <c r="N325" s="88"/>
      <c r="W325"/>
      <c r="X325"/>
    </row>
    <row r="326" spans="1:24" x14ac:dyDescent="0.25">
      <c r="A326" s="4" t="s">
        <v>892</v>
      </c>
      <c r="B326" s="88">
        <v>3.9566207999999996</v>
      </c>
      <c r="C326" s="88">
        <v>2</v>
      </c>
      <c r="D326" s="88">
        <v>0.72411839999999983</v>
      </c>
      <c r="E326" s="88">
        <v>0.74541600000000008</v>
      </c>
      <c r="F326" s="89">
        <v>5.04</v>
      </c>
      <c r="G326" s="88"/>
      <c r="H326" s="88"/>
      <c r="I326" s="3">
        <v>4.5936000000000003</v>
      </c>
      <c r="J326" s="26">
        <v>8.5260000000000016</v>
      </c>
      <c r="K326" s="110">
        <f t="shared" si="11"/>
        <v>25.585755199999998</v>
      </c>
      <c r="L326" s="88"/>
      <c r="M326" s="88"/>
      <c r="N326" s="88"/>
      <c r="W326"/>
      <c r="X326"/>
    </row>
    <row r="327" spans="1:24" x14ac:dyDescent="0.25">
      <c r="A327" s="4" t="s">
        <v>894</v>
      </c>
      <c r="B327" s="88">
        <v>4.5251007999999988</v>
      </c>
      <c r="C327" s="88">
        <v>2</v>
      </c>
      <c r="D327" s="88">
        <v>0.82815839999999985</v>
      </c>
      <c r="E327" s="88">
        <v>0.85251600000000005</v>
      </c>
      <c r="F327" s="89">
        <v>5.04</v>
      </c>
      <c r="G327" s="88"/>
      <c r="H327" s="88"/>
      <c r="I327" s="3">
        <v>5.2536000000000005</v>
      </c>
      <c r="J327" s="26">
        <v>8.5260000000000016</v>
      </c>
      <c r="K327" s="110">
        <f t="shared" si="11"/>
        <v>27.025375199999999</v>
      </c>
      <c r="L327" s="88"/>
      <c r="M327" s="88"/>
      <c r="N327" s="88"/>
      <c r="W327"/>
      <c r="X327"/>
    </row>
    <row r="328" spans="1:24" x14ac:dyDescent="0.25">
      <c r="A328" s="4" t="s">
        <v>896</v>
      </c>
      <c r="B328" s="88">
        <v>3.7034616959999997</v>
      </c>
      <c r="C328" s="88">
        <v>1.35</v>
      </c>
      <c r="D328" s="88">
        <v>0.65620108799999988</v>
      </c>
      <c r="E328" s="88">
        <v>0.28145880000000001</v>
      </c>
      <c r="F328" s="89">
        <v>1.8900000000000001</v>
      </c>
      <c r="G328" s="88"/>
      <c r="H328" s="88"/>
      <c r="I328" s="3"/>
      <c r="J328" s="26">
        <v>12.495000000000001</v>
      </c>
      <c r="K328" s="110">
        <f t="shared" si="11"/>
        <v>20.376121584000003</v>
      </c>
      <c r="L328" s="88"/>
      <c r="M328" s="88"/>
      <c r="N328" s="88"/>
      <c r="W328"/>
      <c r="X328"/>
    </row>
    <row r="329" spans="1:24" x14ac:dyDescent="0.25">
      <c r="A329" s="4" t="s">
        <v>898</v>
      </c>
      <c r="B329" s="88">
        <v>4.1262312960000003</v>
      </c>
      <c r="C329" s="88">
        <v>1.35</v>
      </c>
      <c r="D329" s="88">
        <v>0.73110988799999987</v>
      </c>
      <c r="E329" s="88">
        <v>0.3135888</v>
      </c>
      <c r="F329" s="89">
        <v>2.2050000000000001</v>
      </c>
      <c r="G329" s="88"/>
      <c r="H329" s="88"/>
      <c r="I329" s="3">
        <v>3.2208000000000001</v>
      </c>
      <c r="J329" s="26">
        <v>12.495000000000001</v>
      </c>
      <c r="K329" s="110">
        <f t="shared" si="11"/>
        <v>24.441729984000002</v>
      </c>
      <c r="L329" s="88"/>
      <c r="M329" s="88"/>
      <c r="N329" s="88"/>
      <c r="W329"/>
      <c r="X329"/>
    </row>
    <row r="330" spans="1:24" x14ac:dyDescent="0.25">
      <c r="A330" s="4" t="s">
        <v>900</v>
      </c>
      <c r="B330" s="88">
        <v>4.5490008959999999</v>
      </c>
      <c r="C330" s="88">
        <v>1.35</v>
      </c>
      <c r="D330" s="88">
        <v>0.80601868799999976</v>
      </c>
      <c r="E330" s="88">
        <v>0.34571879999999994</v>
      </c>
      <c r="F330" s="89">
        <v>3.6750000000000003</v>
      </c>
      <c r="G330" s="88"/>
      <c r="H330" s="88"/>
      <c r="I330" s="3">
        <v>3.5508000000000002</v>
      </c>
      <c r="J330" s="26">
        <v>12.495000000000001</v>
      </c>
      <c r="K330" s="110">
        <f t="shared" si="11"/>
        <v>26.771538383999999</v>
      </c>
      <c r="L330" s="88"/>
      <c r="M330" s="88"/>
      <c r="N330" s="88"/>
      <c r="W330"/>
      <c r="X330"/>
    </row>
    <row r="331" spans="1:24" x14ac:dyDescent="0.25">
      <c r="A331" s="4" t="s">
        <v>902</v>
      </c>
      <c r="B331" s="88">
        <v>5.3945400960000001</v>
      </c>
      <c r="C331" s="88">
        <v>2.5</v>
      </c>
      <c r="D331" s="88">
        <v>0.95583628799999987</v>
      </c>
      <c r="E331" s="88">
        <v>0.81995759999999995</v>
      </c>
      <c r="F331" s="89">
        <v>5.04</v>
      </c>
      <c r="G331" s="88"/>
      <c r="H331" s="88"/>
      <c r="I331" s="3">
        <v>4.2107999999999999</v>
      </c>
      <c r="J331" s="26">
        <v>12.495000000000001</v>
      </c>
      <c r="K331" s="110">
        <f t="shared" si="11"/>
        <v>31.416133983999998</v>
      </c>
      <c r="L331" s="88"/>
      <c r="M331" s="88"/>
      <c r="N331" s="88"/>
      <c r="W331"/>
      <c r="X331"/>
    </row>
    <row r="332" spans="1:24" x14ac:dyDescent="0.25">
      <c r="A332" s="4" t="s">
        <v>904</v>
      </c>
      <c r="B332" s="88">
        <v>6.2400792960000002</v>
      </c>
      <c r="C332" s="88">
        <v>2.5</v>
      </c>
      <c r="D332" s="88">
        <v>1.1056538879999998</v>
      </c>
      <c r="E332" s="88">
        <v>0.94847759999999992</v>
      </c>
      <c r="F332" s="89">
        <v>5.04</v>
      </c>
      <c r="G332" s="88"/>
      <c r="H332" s="88"/>
      <c r="I332" s="3">
        <v>4.8708</v>
      </c>
      <c r="J332" s="26">
        <v>12.495000000000001</v>
      </c>
      <c r="K332" s="110">
        <f t="shared" si="11"/>
        <v>33.200010784</v>
      </c>
      <c r="L332" s="88"/>
      <c r="M332" s="88"/>
      <c r="N332" s="88"/>
      <c r="W332"/>
      <c r="X332"/>
    </row>
    <row r="333" spans="1:24" x14ac:dyDescent="0.25">
      <c r="A333" s="4" t="s">
        <v>906</v>
      </c>
      <c r="B333" s="88">
        <v>7.0856184959999995</v>
      </c>
      <c r="C333" s="88">
        <v>2.5</v>
      </c>
      <c r="D333" s="88">
        <v>1.2554714879999997</v>
      </c>
      <c r="E333" s="88">
        <v>1.0769975999999999</v>
      </c>
      <c r="F333" s="89">
        <v>6.7200000000000006</v>
      </c>
      <c r="G333" s="88"/>
      <c r="H333" s="88"/>
      <c r="I333" s="3">
        <v>5.530800000000001</v>
      </c>
      <c r="J333" s="26">
        <v>12.495000000000001</v>
      </c>
      <c r="K333" s="110">
        <f t="shared" si="11"/>
        <v>36.663887584000001</v>
      </c>
      <c r="L333" s="88"/>
      <c r="M333" s="88"/>
      <c r="N333" s="88"/>
      <c r="W333"/>
      <c r="X333"/>
    </row>
    <row r="334" spans="1:24" x14ac:dyDescent="0.25">
      <c r="A334" s="4" t="s">
        <v>908</v>
      </c>
      <c r="B334" s="88">
        <v>7.9311576960000005</v>
      </c>
      <c r="C334" s="88">
        <v>4</v>
      </c>
      <c r="D334" s="88">
        <v>1.4052890879999997</v>
      </c>
      <c r="E334" s="88">
        <v>1.2055175999999999</v>
      </c>
      <c r="F334" s="89">
        <v>6.7200000000000006</v>
      </c>
      <c r="G334" s="88"/>
      <c r="H334" s="88"/>
      <c r="I334" s="3">
        <v>6.6000000000000005</v>
      </c>
      <c r="J334" s="26">
        <v>12.495000000000001</v>
      </c>
      <c r="K334" s="110">
        <f t="shared" si="11"/>
        <v>40.356964384000008</v>
      </c>
      <c r="L334" s="88"/>
      <c r="M334" s="88"/>
      <c r="N334" s="88"/>
      <c r="W334"/>
      <c r="X334"/>
    </row>
    <row r="335" spans="1:24" x14ac:dyDescent="0.25">
      <c r="A335" s="4" t="s">
        <v>910</v>
      </c>
      <c r="B335" s="88">
        <v>8.7766968959999989</v>
      </c>
      <c r="C335" s="88">
        <v>4</v>
      </c>
      <c r="D335" s="88">
        <v>4.756796928</v>
      </c>
      <c r="E335" s="88">
        <v>1.6008451200000002</v>
      </c>
      <c r="F335" s="89">
        <v>6.7200000000000006</v>
      </c>
      <c r="G335" s="88"/>
      <c r="H335" s="88"/>
      <c r="I335" s="3">
        <v>6.6000000000000005</v>
      </c>
      <c r="J335" s="26">
        <v>12.495000000000001</v>
      </c>
      <c r="K335" s="110">
        <f t="shared" si="11"/>
        <v>44.949338943999997</v>
      </c>
      <c r="L335" s="88"/>
      <c r="M335" s="88"/>
      <c r="N335" s="88"/>
      <c r="W335"/>
      <c r="X335"/>
    </row>
    <row r="336" spans="1:24" x14ac:dyDescent="0.25">
      <c r="A336" s="4" t="s">
        <v>912</v>
      </c>
      <c r="B336" s="88">
        <v>6.5369575040000001</v>
      </c>
      <c r="C336" s="88">
        <v>2.1</v>
      </c>
      <c r="D336" s="88">
        <v>1.1582565119999999</v>
      </c>
      <c r="E336" s="88">
        <v>0.9936024</v>
      </c>
      <c r="F336" s="89">
        <v>4.2</v>
      </c>
      <c r="G336" s="88"/>
      <c r="H336" s="88"/>
      <c r="I336" s="3">
        <v>2.2492800000000002</v>
      </c>
      <c r="J336" s="26">
        <v>13.419000000000002</v>
      </c>
      <c r="K336" s="110">
        <f t="shared" si="11"/>
        <v>30.657096416000005</v>
      </c>
      <c r="L336" s="88"/>
      <c r="M336" s="88"/>
      <c r="N336" s="88"/>
      <c r="W336"/>
      <c r="X336"/>
    </row>
    <row r="337" spans="1:24" x14ac:dyDescent="0.25">
      <c r="A337" s="4" t="s">
        <v>914</v>
      </c>
      <c r="B337" s="88">
        <v>7.1123939039999993</v>
      </c>
      <c r="C337" s="88">
        <v>2.1</v>
      </c>
      <c r="D337" s="88">
        <v>1.2602157119999997</v>
      </c>
      <c r="E337" s="88">
        <v>1.0810674</v>
      </c>
      <c r="F337" s="89">
        <v>5.88</v>
      </c>
      <c r="G337" s="88"/>
      <c r="H337" s="88"/>
      <c r="I337" s="3">
        <v>4.0788000000000002</v>
      </c>
      <c r="J337" s="26">
        <v>13.419000000000002</v>
      </c>
      <c r="K337" s="110">
        <f t="shared" si="11"/>
        <v>34.931477016000002</v>
      </c>
      <c r="L337" s="88"/>
      <c r="M337" s="88"/>
      <c r="N337" s="88"/>
      <c r="W337"/>
      <c r="X337"/>
    </row>
    <row r="338" spans="1:24" x14ac:dyDescent="0.25">
      <c r="A338" s="4" t="s">
        <v>916</v>
      </c>
      <c r="B338" s="88">
        <v>7.6878303039999993</v>
      </c>
      <c r="C338" s="88">
        <v>3.5</v>
      </c>
      <c r="D338" s="88">
        <v>1.3621749119999997</v>
      </c>
      <c r="E338" s="88">
        <v>1.1685324000000001</v>
      </c>
      <c r="F338" s="89">
        <v>5.88</v>
      </c>
      <c r="G338" s="88"/>
      <c r="H338" s="88"/>
      <c r="I338" s="3">
        <v>4.4088000000000003</v>
      </c>
      <c r="J338" s="26">
        <v>13.419000000000002</v>
      </c>
      <c r="K338" s="110">
        <f t="shared" si="11"/>
        <v>37.426337616000005</v>
      </c>
      <c r="L338" s="88"/>
      <c r="M338" s="88"/>
      <c r="N338" s="88"/>
      <c r="W338"/>
      <c r="X338"/>
    </row>
    <row r="339" spans="1:24" x14ac:dyDescent="0.25">
      <c r="A339" s="4" t="s">
        <v>918</v>
      </c>
      <c r="B339" s="88">
        <v>8.8387031039999986</v>
      </c>
      <c r="C339" s="88">
        <v>4.5</v>
      </c>
      <c r="D339" s="88">
        <v>1.5660933119999998</v>
      </c>
      <c r="E339" s="88">
        <v>1.3434623999999999</v>
      </c>
      <c r="F339" s="89">
        <v>5.88</v>
      </c>
      <c r="G339" s="88"/>
      <c r="H339" s="88"/>
      <c r="I339" s="3">
        <v>5.0688000000000004</v>
      </c>
      <c r="J339" s="26">
        <v>13.419000000000002</v>
      </c>
      <c r="K339" s="110">
        <f t="shared" si="11"/>
        <v>40.616058815999999</v>
      </c>
      <c r="L339" s="88"/>
      <c r="M339" s="88"/>
      <c r="N339" s="88"/>
      <c r="W339"/>
      <c r="X339"/>
    </row>
    <row r="340" spans="1:24" x14ac:dyDescent="0.25">
      <c r="A340" s="4" t="s">
        <v>920</v>
      </c>
      <c r="B340" s="88">
        <v>9.9895759039999987</v>
      </c>
      <c r="C340" s="88">
        <v>4.5</v>
      </c>
      <c r="D340" s="88">
        <v>1.7700117119999998</v>
      </c>
      <c r="E340" s="88">
        <v>1.5183924</v>
      </c>
      <c r="F340" s="89">
        <v>8.4</v>
      </c>
      <c r="G340" s="88"/>
      <c r="H340" s="88"/>
      <c r="I340" s="3">
        <v>5.7287999999999997</v>
      </c>
      <c r="J340" s="26">
        <v>13.419000000000002</v>
      </c>
      <c r="K340" s="110">
        <f t="shared" si="11"/>
        <v>45.325780016000003</v>
      </c>
      <c r="L340" s="88"/>
      <c r="M340" s="88"/>
      <c r="N340" s="88"/>
      <c r="W340"/>
      <c r="X340"/>
    </row>
    <row r="341" spans="1:24" x14ac:dyDescent="0.25">
      <c r="A341" s="4" t="s">
        <v>922</v>
      </c>
      <c r="B341" s="88">
        <v>11.140448704000001</v>
      </c>
      <c r="C341" s="88">
        <v>4.5</v>
      </c>
      <c r="D341" s="88">
        <v>1.9739301119999997</v>
      </c>
      <c r="E341" s="88">
        <v>1.6933224</v>
      </c>
      <c r="F341" s="89">
        <v>8.4</v>
      </c>
      <c r="G341" s="88"/>
      <c r="H341" s="88"/>
      <c r="I341" s="3">
        <v>6.6000000000000005</v>
      </c>
      <c r="J341" s="26">
        <v>13.419000000000002</v>
      </c>
      <c r="K341" s="110">
        <f t="shared" si="11"/>
        <v>47.726701216000002</v>
      </c>
      <c r="L341" s="88"/>
      <c r="M341" s="88"/>
      <c r="N341" s="88"/>
      <c r="W341"/>
      <c r="X341"/>
    </row>
    <row r="342" spans="1:24" x14ac:dyDescent="0.25">
      <c r="A342" s="4" t="s">
        <v>924</v>
      </c>
      <c r="B342" s="88">
        <v>12.291321503999999</v>
      </c>
      <c r="C342" s="88">
        <v>4.5</v>
      </c>
      <c r="D342" s="88">
        <v>6.6616542719999998</v>
      </c>
      <c r="E342" s="88">
        <v>2.24190288</v>
      </c>
      <c r="F342" s="89">
        <v>8.4</v>
      </c>
      <c r="G342" s="88"/>
      <c r="H342" s="88"/>
      <c r="I342" s="3">
        <v>6.6000000000000005</v>
      </c>
      <c r="J342" s="26">
        <v>13.419000000000002</v>
      </c>
      <c r="K342" s="110">
        <f t="shared" si="11"/>
        <v>54.113878655999997</v>
      </c>
      <c r="L342" s="88"/>
      <c r="M342" s="88"/>
      <c r="N342" s="88"/>
      <c r="W342"/>
      <c r="X342"/>
    </row>
    <row r="343" spans="1:24" x14ac:dyDescent="0.25">
      <c r="A343" s="4" t="s">
        <v>926</v>
      </c>
      <c r="B343" s="88">
        <v>13.442194303999999</v>
      </c>
      <c r="C343" s="88">
        <v>4.5</v>
      </c>
      <c r="D343" s="88">
        <v>7.2854046719999994</v>
      </c>
      <c r="E343" s="88">
        <v>2.4518188800000003</v>
      </c>
      <c r="F343" s="89">
        <v>8.4</v>
      </c>
      <c r="G343" s="88"/>
      <c r="H343" s="88"/>
      <c r="I343" s="3">
        <v>6.6000000000000005</v>
      </c>
      <c r="J343" s="26">
        <v>13.419000000000002</v>
      </c>
      <c r="K343" s="110">
        <f t="shared" si="11"/>
        <v>56.098417856000005</v>
      </c>
      <c r="L343" s="88"/>
      <c r="M343" s="88"/>
      <c r="N343" s="88"/>
      <c r="W343"/>
      <c r="X343"/>
    </row>
    <row r="344" spans="1:24" x14ac:dyDescent="0.25">
      <c r="A344" s="4" t="s">
        <v>928</v>
      </c>
      <c r="B344" s="88">
        <v>14.593067103999999</v>
      </c>
      <c r="C344" s="88">
        <v>4.5</v>
      </c>
      <c r="D344" s="88">
        <v>7.909155071999999</v>
      </c>
      <c r="E344" s="88">
        <v>3.3271685999999998</v>
      </c>
      <c r="F344" s="89">
        <v>8.4</v>
      </c>
      <c r="G344" s="88"/>
      <c r="H344" s="88"/>
      <c r="I344" s="3">
        <v>6.6000000000000005</v>
      </c>
      <c r="J344" s="26">
        <v>13.419000000000002</v>
      </c>
      <c r="K344" s="110">
        <f t="shared" si="11"/>
        <v>58.748390776000001</v>
      </c>
      <c r="L344" s="88"/>
      <c r="M344" s="88"/>
      <c r="N344" s="88"/>
      <c r="W344"/>
      <c r="X344"/>
    </row>
    <row r="345" spans="1:24" x14ac:dyDescent="0.25">
      <c r="A345" s="4" t="s">
        <v>930</v>
      </c>
      <c r="B345" s="88">
        <v>9.2896573440000001</v>
      </c>
      <c r="C345" s="88">
        <v>3</v>
      </c>
      <c r="D345" s="88">
        <v>1.6459960319999998</v>
      </c>
      <c r="E345" s="88">
        <v>1.4120063999999999</v>
      </c>
      <c r="F345" s="89">
        <v>5.88</v>
      </c>
      <c r="G345" s="88"/>
      <c r="H345" s="88"/>
      <c r="I345" s="3">
        <v>4.0788000000000002</v>
      </c>
      <c r="J345" s="26">
        <v>13.419000000000002</v>
      </c>
      <c r="K345" s="110">
        <f t="shared" si="11"/>
        <v>38.725459776000001</v>
      </c>
      <c r="L345" s="88"/>
      <c r="M345" s="88"/>
      <c r="N345" s="88"/>
      <c r="W345"/>
      <c r="X345"/>
    </row>
    <row r="346" spans="1:24" x14ac:dyDescent="0.25">
      <c r="A346" s="4" t="s">
        <v>932</v>
      </c>
      <c r="B346" s="88">
        <v>10.041247743999998</v>
      </c>
      <c r="C346" s="88">
        <v>4</v>
      </c>
      <c r="D346" s="88">
        <v>1.7791672319999998</v>
      </c>
      <c r="E346" s="88">
        <v>1.5262464</v>
      </c>
      <c r="F346" s="89">
        <v>5.88</v>
      </c>
      <c r="G346" s="88"/>
      <c r="H346" s="88"/>
      <c r="I346" s="3">
        <v>4.4088000000000003</v>
      </c>
      <c r="J346" s="26">
        <v>13.419000000000002</v>
      </c>
      <c r="K346" s="110">
        <f t="shared" si="11"/>
        <v>41.054461375999999</v>
      </c>
      <c r="L346" s="88"/>
      <c r="M346" s="88"/>
      <c r="N346" s="88"/>
      <c r="W346"/>
      <c r="X346"/>
    </row>
    <row r="347" spans="1:24" x14ac:dyDescent="0.25">
      <c r="A347" s="4" t="s">
        <v>934</v>
      </c>
      <c r="B347" s="88">
        <v>11.544428543999999</v>
      </c>
      <c r="C347" s="88">
        <v>4</v>
      </c>
      <c r="D347" s="88">
        <v>2.0455096319999995</v>
      </c>
      <c r="E347" s="88">
        <v>1.7547263999999998</v>
      </c>
      <c r="F347" s="89">
        <v>5.88</v>
      </c>
      <c r="G347" s="88"/>
      <c r="H347" s="88"/>
      <c r="I347" s="3">
        <v>5.0688000000000004</v>
      </c>
      <c r="J347" s="26">
        <v>13.419000000000002</v>
      </c>
      <c r="K347" s="110">
        <f t="shared" si="11"/>
        <v>43.712464576000002</v>
      </c>
      <c r="L347" s="88"/>
      <c r="M347" s="88"/>
      <c r="N347" s="88"/>
      <c r="W347"/>
      <c r="X347"/>
    </row>
    <row r="348" spans="1:24" x14ac:dyDescent="0.25">
      <c r="A348" s="4" t="s">
        <v>936</v>
      </c>
      <c r="B348" s="88">
        <v>13.047609344</v>
      </c>
      <c r="C348" s="88">
        <v>5.5</v>
      </c>
      <c r="D348" s="88">
        <v>2.311852032</v>
      </c>
      <c r="E348" s="88">
        <v>1.9832064</v>
      </c>
      <c r="F348" s="89">
        <v>8.4</v>
      </c>
      <c r="G348" s="88"/>
      <c r="H348" s="88"/>
      <c r="I348" s="3">
        <v>5.7287999999999997</v>
      </c>
      <c r="J348" s="26">
        <v>13.419000000000002</v>
      </c>
      <c r="K348" s="110">
        <f t="shared" si="11"/>
        <v>50.390467776000001</v>
      </c>
      <c r="L348" s="88"/>
      <c r="M348" s="88"/>
      <c r="N348" s="88"/>
      <c r="W348"/>
      <c r="X348"/>
    </row>
    <row r="349" spans="1:24" x14ac:dyDescent="0.25">
      <c r="A349" s="4" t="s">
        <v>938</v>
      </c>
      <c r="B349" s="88">
        <v>14.550790143999999</v>
      </c>
      <c r="C349" s="88">
        <v>5.5</v>
      </c>
      <c r="D349" s="88">
        <v>2.5781944319999996</v>
      </c>
      <c r="E349" s="88">
        <v>2.2116864000000001</v>
      </c>
      <c r="F349" s="89">
        <v>8.4</v>
      </c>
      <c r="G349" s="88"/>
      <c r="H349" s="88"/>
      <c r="I349" s="3">
        <v>6.6000000000000005</v>
      </c>
      <c r="J349" s="26">
        <v>13.419000000000002</v>
      </c>
      <c r="K349" s="110">
        <f t="shared" si="11"/>
        <v>53.259670976000002</v>
      </c>
      <c r="L349" s="88"/>
      <c r="M349" s="88"/>
      <c r="N349" s="88"/>
      <c r="W349"/>
      <c r="X349"/>
    </row>
    <row r="350" spans="1:24" x14ac:dyDescent="0.25">
      <c r="A350" s="4" t="s">
        <v>940</v>
      </c>
      <c r="B350" s="88">
        <v>16.053970944</v>
      </c>
      <c r="C350" s="88">
        <v>5.5</v>
      </c>
      <c r="D350" s="88">
        <v>8.7009361919999986</v>
      </c>
      <c r="E350" s="88">
        <v>2.9281996800000001</v>
      </c>
      <c r="F350" s="89">
        <v>8.4</v>
      </c>
      <c r="G350" s="88"/>
      <c r="H350" s="88"/>
      <c r="I350" s="3">
        <v>6.6000000000000005</v>
      </c>
      <c r="J350" s="26">
        <v>13.419000000000002</v>
      </c>
      <c r="K350" s="110">
        <f t="shared" si="11"/>
        <v>61.602106816000003</v>
      </c>
      <c r="L350" s="88"/>
      <c r="M350" s="88"/>
      <c r="N350" s="88"/>
      <c r="W350"/>
      <c r="X350"/>
    </row>
    <row r="351" spans="1:24" x14ac:dyDescent="0.25">
      <c r="A351" s="4" t="s">
        <v>942</v>
      </c>
      <c r="B351" s="88">
        <v>17.557151743999999</v>
      </c>
      <c r="C351" s="88">
        <v>5.5</v>
      </c>
      <c r="D351" s="88">
        <v>9.5156305919999973</v>
      </c>
      <c r="E351" s="88">
        <v>3.2023756800000003</v>
      </c>
      <c r="F351" s="89">
        <v>8.4</v>
      </c>
      <c r="G351" s="88"/>
      <c r="H351" s="88"/>
      <c r="I351" s="3">
        <v>6.6000000000000005</v>
      </c>
      <c r="J351" s="26">
        <v>13.419000000000002</v>
      </c>
      <c r="K351" s="110">
        <f t="shared" si="11"/>
        <v>64.194158016000003</v>
      </c>
      <c r="L351" s="88"/>
      <c r="M351" s="88"/>
      <c r="N351" s="88"/>
      <c r="W351"/>
      <c r="X351"/>
    </row>
    <row r="352" spans="1:24" x14ac:dyDescent="0.25">
      <c r="A352" s="4" t="s">
        <v>944</v>
      </c>
      <c r="B352" s="88">
        <v>16.692966399999996</v>
      </c>
      <c r="C352" s="88">
        <v>5.5</v>
      </c>
      <c r="D352" s="88">
        <v>10.330324991999998</v>
      </c>
      <c r="E352" s="88">
        <v>4.3456896</v>
      </c>
      <c r="F352" s="89">
        <v>8.4</v>
      </c>
      <c r="G352" s="88"/>
      <c r="H352" s="88"/>
      <c r="I352" s="3">
        <v>6.6000000000000005</v>
      </c>
      <c r="J352" s="112">
        <v>13.4</v>
      </c>
      <c r="K352" s="88">
        <f t="shared" si="11"/>
        <v>65.268980991999996</v>
      </c>
      <c r="L352" s="88"/>
      <c r="M352" s="88"/>
      <c r="N352" s="88"/>
      <c r="W352"/>
      <c r="X352"/>
    </row>
    <row r="353" spans="1:24" x14ac:dyDescent="0.25">
      <c r="W353"/>
      <c r="X353"/>
    </row>
    <row r="354" spans="1:24" x14ac:dyDescent="0.25">
      <c r="W354"/>
      <c r="X354"/>
    </row>
    <row r="355" spans="1:24" ht="19.5" x14ac:dyDescent="0.25">
      <c r="A355" s="80" t="s">
        <v>957</v>
      </c>
    </row>
    <row r="356" spans="1:24" x14ac:dyDescent="0.25">
      <c r="A356" s="4" t="s">
        <v>0</v>
      </c>
      <c r="N356" s="2" t="s">
        <v>1091</v>
      </c>
    </row>
    <row r="357" spans="1:24" x14ac:dyDescent="0.25">
      <c r="A357" s="4" t="s">
        <v>834</v>
      </c>
      <c r="B357" s="3">
        <v>2.1656579999999996</v>
      </c>
      <c r="C357" s="3">
        <v>0.77</v>
      </c>
      <c r="D357" s="3">
        <v>0.39634649999999988</v>
      </c>
      <c r="E357" s="3">
        <v>0.40800374999999994</v>
      </c>
      <c r="F357" s="3">
        <v>1.8900000000000001</v>
      </c>
      <c r="G357" s="3">
        <v>0</v>
      </c>
      <c r="H357" s="3">
        <v>0</v>
      </c>
      <c r="I357" s="3"/>
      <c r="J357" s="3"/>
      <c r="K357" s="3">
        <f>J357+I357+H357+G357+F357+E357+D357+C357+B357</f>
        <v>5.6300082499999995</v>
      </c>
      <c r="L357" s="3"/>
      <c r="M357" s="3"/>
      <c r="N357" s="3">
        <v>7.7280000000000006</v>
      </c>
    </row>
    <row r="358" spans="1:24" x14ac:dyDescent="0.25">
      <c r="A358" s="4" t="s">
        <v>836</v>
      </c>
      <c r="B358" s="3">
        <v>2.4937879999999994</v>
      </c>
      <c r="C358" s="3">
        <v>0.77</v>
      </c>
      <c r="D358" s="3">
        <v>0.45639899999999989</v>
      </c>
      <c r="E358" s="3">
        <v>0.46982249999999998</v>
      </c>
      <c r="F358" s="3">
        <v>1.8900000000000001</v>
      </c>
      <c r="G358" s="110">
        <v>0</v>
      </c>
      <c r="H358" s="110">
        <v>0</v>
      </c>
      <c r="I358" s="3"/>
      <c r="J358" s="3"/>
      <c r="K358" s="3">
        <f t="shared" ref="K358:K412" si="13">J358+I358+H358+G358+F358+E358+D358+C358+B358</f>
        <v>6.0800094999999992</v>
      </c>
      <c r="L358" s="3"/>
      <c r="M358" s="3"/>
      <c r="N358" s="3">
        <v>7.7280000000000006</v>
      </c>
    </row>
    <row r="359" spans="1:24" x14ac:dyDescent="0.25">
      <c r="A359" s="4" t="s">
        <v>838</v>
      </c>
      <c r="B359" s="3">
        <v>3.1500479999999995</v>
      </c>
      <c r="C359" s="3">
        <v>0.93500000000000005</v>
      </c>
      <c r="D359" s="3">
        <v>0.57650399999999991</v>
      </c>
      <c r="E359" s="3">
        <v>0.59345999999999999</v>
      </c>
      <c r="F359" s="3">
        <v>2.2050000000000001</v>
      </c>
      <c r="G359" s="110">
        <v>0</v>
      </c>
      <c r="H359" s="110">
        <v>0</v>
      </c>
      <c r="I359" s="3">
        <v>2.5344000000000002</v>
      </c>
      <c r="J359" s="3"/>
      <c r="K359" s="3">
        <f t="shared" si="13"/>
        <v>9.9944120000000005</v>
      </c>
      <c r="L359" s="3"/>
      <c r="M359" s="3"/>
      <c r="N359" s="3">
        <v>7.7280000000000006</v>
      </c>
    </row>
    <row r="360" spans="1:24" x14ac:dyDescent="0.25">
      <c r="A360" s="4" t="s">
        <v>840</v>
      </c>
      <c r="B360" s="3">
        <v>3.8063079999999996</v>
      </c>
      <c r="C360" s="3">
        <v>0.93500000000000005</v>
      </c>
      <c r="D360" s="3">
        <v>0.69660899999999992</v>
      </c>
      <c r="E360" s="3">
        <v>0.71709749999999994</v>
      </c>
      <c r="F360" s="3">
        <v>3.6750000000000003</v>
      </c>
      <c r="G360" s="110">
        <v>0</v>
      </c>
      <c r="H360" s="110">
        <v>0</v>
      </c>
      <c r="I360" s="3">
        <v>3.0624000000000002</v>
      </c>
      <c r="J360" s="3"/>
      <c r="K360" s="3">
        <f t="shared" si="13"/>
        <v>12.892414500000001</v>
      </c>
      <c r="L360" s="3"/>
      <c r="M360" s="3"/>
      <c r="N360" s="3">
        <v>7.7280000000000006</v>
      </c>
    </row>
    <row r="361" spans="1:24" x14ac:dyDescent="0.25">
      <c r="A361" s="4" t="s">
        <v>842</v>
      </c>
      <c r="B361" s="3">
        <v>4.4625679999999992</v>
      </c>
      <c r="C361" s="3">
        <v>1.1550000000000002</v>
      </c>
      <c r="D361" s="3">
        <v>0.81671399999999983</v>
      </c>
      <c r="E361" s="3">
        <v>0.84073500000000001</v>
      </c>
      <c r="F361" s="3">
        <v>5.04</v>
      </c>
      <c r="G361" s="110">
        <v>0</v>
      </c>
      <c r="H361" s="110">
        <v>0</v>
      </c>
      <c r="I361" s="3">
        <v>4.4880000000000004</v>
      </c>
      <c r="J361" s="3"/>
      <c r="K361" s="3">
        <f t="shared" si="13"/>
        <v>16.803016999999997</v>
      </c>
      <c r="L361" s="3"/>
      <c r="M361" s="3"/>
      <c r="N361" s="3">
        <v>7.7280000000000006</v>
      </c>
    </row>
    <row r="362" spans="1:24" x14ac:dyDescent="0.25">
      <c r="A362" s="4" t="s">
        <v>844</v>
      </c>
      <c r="B362" s="3">
        <v>5.1188279999999997</v>
      </c>
      <c r="C362" s="3">
        <v>1.9250000000000003</v>
      </c>
      <c r="D362" s="3">
        <v>0.93681899999999985</v>
      </c>
      <c r="E362" s="3">
        <v>0.96437250000000008</v>
      </c>
      <c r="F362" s="3">
        <v>5.04</v>
      </c>
      <c r="G362" s="110">
        <v>0</v>
      </c>
      <c r="H362" s="110">
        <v>0</v>
      </c>
      <c r="I362" s="3">
        <v>5.1479999999999997</v>
      </c>
      <c r="J362" s="3"/>
      <c r="K362" s="3">
        <f t="shared" si="13"/>
        <v>19.1330195</v>
      </c>
      <c r="L362" s="3"/>
      <c r="M362" s="3"/>
      <c r="N362" s="3">
        <v>7.7280000000000006</v>
      </c>
    </row>
    <row r="363" spans="1:24" x14ac:dyDescent="0.25">
      <c r="A363" s="4" t="s">
        <v>846</v>
      </c>
      <c r="B363" s="3">
        <v>4.0996216799999994</v>
      </c>
      <c r="C363" s="3">
        <v>0.93500000000000005</v>
      </c>
      <c r="D363" s="3">
        <v>0.72639503999999977</v>
      </c>
      <c r="E363" s="3">
        <v>0.31156649999999997</v>
      </c>
      <c r="F363" s="3">
        <v>1.8900000000000001</v>
      </c>
      <c r="G363" s="110">
        <v>0</v>
      </c>
      <c r="H363" s="110">
        <v>0</v>
      </c>
      <c r="I363" s="3"/>
      <c r="J363" s="114"/>
      <c r="K363" s="3">
        <f t="shared" si="13"/>
        <v>7.9625832199999991</v>
      </c>
      <c r="L363" s="3"/>
      <c r="M363" s="3"/>
      <c r="N363" s="3">
        <v>9.7545000000000002</v>
      </c>
    </row>
    <row r="364" spans="1:24" x14ac:dyDescent="0.25">
      <c r="A364" s="4" t="s">
        <v>848</v>
      </c>
      <c r="B364" s="3">
        <v>4.5876718800000003</v>
      </c>
      <c r="C364" s="3">
        <v>0.93500000000000005</v>
      </c>
      <c r="D364" s="3">
        <v>0.81287063999999987</v>
      </c>
      <c r="E364" s="3">
        <v>0.34865775000000004</v>
      </c>
      <c r="F364" s="3">
        <v>2.2050000000000001</v>
      </c>
      <c r="G364" s="110">
        <v>0</v>
      </c>
      <c r="H364" s="110">
        <v>0</v>
      </c>
      <c r="I364" s="3">
        <v>1.8612000000000002</v>
      </c>
      <c r="J364" s="114"/>
      <c r="K364" s="3">
        <f t="shared" si="13"/>
        <v>10.75040027</v>
      </c>
      <c r="L364" s="3"/>
      <c r="M364" s="3"/>
      <c r="N364" s="3">
        <v>9.7545000000000002</v>
      </c>
    </row>
    <row r="365" spans="1:24" x14ac:dyDescent="0.25">
      <c r="A365" s="4" t="s">
        <v>850</v>
      </c>
      <c r="B365" s="3">
        <v>5.0757220799999994</v>
      </c>
      <c r="C365" s="3">
        <v>0.93500000000000005</v>
      </c>
      <c r="D365" s="3">
        <v>0.89934623999999985</v>
      </c>
      <c r="E365" s="3">
        <v>0.38574900000000001</v>
      </c>
      <c r="F365" s="3">
        <v>3.6750000000000003</v>
      </c>
      <c r="G365" s="110">
        <v>0</v>
      </c>
      <c r="H365" s="110">
        <v>0</v>
      </c>
      <c r="I365" s="3">
        <v>2.0592000000000001</v>
      </c>
      <c r="J365" s="114"/>
      <c r="K365" s="3">
        <f t="shared" si="13"/>
        <v>13.030017319999999</v>
      </c>
      <c r="L365" s="3"/>
      <c r="M365" s="3"/>
      <c r="N365" s="3">
        <v>9.7545000000000002</v>
      </c>
    </row>
    <row r="366" spans="1:24" x14ac:dyDescent="0.25">
      <c r="A366" s="4" t="s">
        <v>852</v>
      </c>
      <c r="B366" s="3">
        <v>6.0518224800000002</v>
      </c>
      <c r="C366" s="3">
        <v>0.93500000000000005</v>
      </c>
      <c r="D366" s="3">
        <v>1.0722974399999998</v>
      </c>
      <c r="E366" s="3">
        <v>0.91986299999999999</v>
      </c>
      <c r="F366" s="3">
        <v>5.04</v>
      </c>
      <c r="G366" s="110">
        <v>0</v>
      </c>
      <c r="H366" s="110">
        <v>0</v>
      </c>
      <c r="I366" s="3">
        <v>4.0920000000000005</v>
      </c>
      <c r="J366" s="114"/>
      <c r="K366" s="3">
        <f t="shared" si="13"/>
        <v>18.110982920000001</v>
      </c>
      <c r="L366" s="3"/>
      <c r="M366" s="3"/>
      <c r="N366" s="3">
        <v>9.7545000000000002</v>
      </c>
    </row>
    <row r="367" spans="1:24" x14ac:dyDescent="0.25">
      <c r="A367" s="4" t="s">
        <v>854</v>
      </c>
      <c r="B367" s="3">
        <v>7.0279228799999993</v>
      </c>
      <c r="C367" s="3">
        <v>1.9250000000000003</v>
      </c>
      <c r="D367" s="3">
        <v>1.2452486399999996</v>
      </c>
      <c r="E367" s="3">
        <v>1.0682279999999997</v>
      </c>
      <c r="F367" s="3">
        <v>5.04</v>
      </c>
      <c r="G367" s="110">
        <v>0</v>
      </c>
      <c r="H367" s="110">
        <v>0</v>
      </c>
      <c r="I367" s="3">
        <v>4.7520000000000007</v>
      </c>
      <c r="J367" s="114"/>
      <c r="K367" s="3">
        <f t="shared" si="13"/>
        <v>21.058399520000002</v>
      </c>
      <c r="L367" s="3"/>
      <c r="M367" s="3"/>
      <c r="N367" s="3">
        <v>9.7545000000000002</v>
      </c>
    </row>
    <row r="368" spans="1:24" x14ac:dyDescent="0.25">
      <c r="A368" s="4" t="s">
        <v>856</v>
      </c>
      <c r="B368" s="3">
        <v>8.0040232799999984</v>
      </c>
      <c r="C368" s="3">
        <v>1.9250000000000003</v>
      </c>
      <c r="D368" s="3">
        <v>1.4181998399999998</v>
      </c>
      <c r="E368" s="3">
        <v>1.2165929999999998</v>
      </c>
      <c r="F368" s="3">
        <v>6.7200000000000006</v>
      </c>
      <c r="G368" s="110">
        <v>0</v>
      </c>
      <c r="H368" s="110">
        <v>0</v>
      </c>
      <c r="I368" s="3">
        <v>5.4119999999999999</v>
      </c>
      <c r="J368" s="114"/>
      <c r="K368" s="3">
        <f t="shared" si="13"/>
        <v>24.69581612</v>
      </c>
      <c r="L368" s="3"/>
      <c r="M368" s="3"/>
      <c r="N368" s="3">
        <v>9.7545000000000002</v>
      </c>
    </row>
    <row r="369" spans="1:14" x14ac:dyDescent="0.25">
      <c r="A369" s="4" t="s">
        <v>858</v>
      </c>
      <c r="B369" s="3">
        <v>8.9801236799999984</v>
      </c>
      <c r="C369" s="3">
        <v>2.5299999999999998</v>
      </c>
      <c r="D369" s="3">
        <v>1.5911510399999995</v>
      </c>
      <c r="E369" s="3">
        <v>1.3649579999999999</v>
      </c>
      <c r="F369" s="3">
        <v>6.7200000000000006</v>
      </c>
      <c r="G369" s="110">
        <v>0</v>
      </c>
      <c r="H369" s="110">
        <v>0</v>
      </c>
      <c r="I369" s="3">
        <v>6.6000000000000005</v>
      </c>
      <c r="J369" s="114"/>
      <c r="K369" s="3">
        <f t="shared" si="13"/>
        <v>27.786232719999997</v>
      </c>
      <c r="L369" s="3"/>
      <c r="M369" s="3"/>
      <c r="N369" s="3">
        <v>9.7545000000000002</v>
      </c>
    </row>
    <row r="370" spans="1:14" x14ac:dyDescent="0.25">
      <c r="A370" s="4" t="s">
        <v>860</v>
      </c>
      <c r="B370" s="3">
        <v>9.9562240799999984</v>
      </c>
      <c r="C370" s="3">
        <v>2.5299999999999998</v>
      </c>
      <c r="D370" s="3">
        <v>5.39607744</v>
      </c>
      <c r="E370" s="3">
        <v>1.8159875999999999</v>
      </c>
      <c r="F370" s="3">
        <v>6.7200000000000006</v>
      </c>
      <c r="G370" s="110">
        <v>0</v>
      </c>
      <c r="H370" s="110">
        <v>0</v>
      </c>
      <c r="I370" s="3">
        <v>6.6000000000000005</v>
      </c>
      <c r="J370" s="114"/>
      <c r="K370" s="3">
        <f t="shared" si="13"/>
        <v>33.018289119999999</v>
      </c>
      <c r="L370" s="3"/>
      <c r="M370" s="3"/>
      <c r="N370" s="3">
        <v>9.7545000000000002</v>
      </c>
    </row>
    <row r="371" spans="1:14" x14ac:dyDescent="0.25">
      <c r="A371" s="4" t="s">
        <v>862</v>
      </c>
      <c r="B371" s="3">
        <v>8.6764479999999988</v>
      </c>
      <c r="C371" s="3">
        <v>1.7160000000000002</v>
      </c>
      <c r="D371" s="3">
        <v>1.5373439999999998</v>
      </c>
      <c r="E371" s="3">
        <v>0.65939999999999999</v>
      </c>
      <c r="F371" s="3">
        <v>4.2</v>
      </c>
      <c r="G371" s="110">
        <v>0</v>
      </c>
      <c r="H371" s="110">
        <v>0</v>
      </c>
      <c r="I371" s="3">
        <v>1.98</v>
      </c>
      <c r="J371" s="114"/>
      <c r="K371" s="3">
        <f t="shared" si="13"/>
        <v>18.769191999999997</v>
      </c>
      <c r="L371" s="3"/>
      <c r="M371" s="3"/>
      <c r="N371" s="3">
        <v>13.7865</v>
      </c>
    </row>
    <row r="372" spans="1:14" x14ac:dyDescent="0.25">
      <c r="A372" s="4" t="s">
        <v>864</v>
      </c>
      <c r="B372" s="3">
        <v>9.5440927999999996</v>
      </c>
      <c r="C372" s="3">
        <v>1.7160000000000002</v>
      </c>
      <c r="D372" s="3">
        <v>1.6910783999999996</v>
      </c>
      <c r="E372" s="3">
        <v>0.72533999999999998</v>
      </c>
      <c r="F372" s="3">
        <v>4.2</v>
      </c>
      <c r="G372" s="110">
        <v>0</v>
      </c>
      <c r="H372" s="110">
        <v>0</v>
      </c>
      <c r="I372" s="3">
        <v>2.1779999999999999</v>
      </c>
      <c r="J372" s="114"/>
      <c r="K372" s="3">
        <f t="shared" si="13"/>
        <v>20.0545112</v>
      </c>
      <c r="L372" s="3"/>
      <c r="M372" s="3"/>
      <c r="N372" s="3">
        <v>13.7865</v>
      </c>
    </row>
    <row r="373" spans="1:14" x14ac:dyDescent="0.25">
      <c r="A373" s="4" t="s">
        <v>866</v>
      </c>
      <c r="B373" s="3">
        <v>11.279382399999999</v>
      </c>
      <c r="C373" s="3">
        <v>3.3000000000000003</v>
      </c>
      <c r="D373" s="3">
        <v>1.9985471999999995</v>
      </c>
      <c r="E373" s="3">
        <v>1.7144399999999995</v>
      </c>
      <c r="F373" s="3">
        <v>5.88</v>
      </c>
      <c r="G373" s="110">
        <v>0</v>
      </c>
      <c r="H373" s="110">
        <v>0</v>
      </c>
      <c r="I373" s="3">
        <v>4.29</v>
      </c>
      <c r="J373" s="114"/>
      <c r="K373" s="3">
        <f t="shared" si="13"/>
        <v>28.462369599999999</v>
      </c>
      <c r="L373" s="3"/>
      <c r="M373" s="3"/>
      <c r="N373" s="3">
        <v>13.7865</v>
      </c>
    </row>
    <row r="374" spans="1:14" x14ac:dyDescent="0.25">
      <c r="A374" s="4" t="s">
        <v>868</v>
      </c>
      <c r="B374" s="3">
        <v>13.014671999999999</v>
      </c>
      <c r="C374" s="3">
        <v>3.8500000000000005</v>
      </c>
      <c r="D374" s="3">
        <v>2.3060159999999996</v>
      </c>
      <c r="E374" s="3">
        <v>1.9781999999999997</v>
      </c>
      <c r="F374" s="3">
        <v>5.88</v>
      </c>
      <c r="G374" s="110">
        <v>0</v>
      </c>
      <c r="H374" s="110">
        <v>0</v>
      </c>
      <c r="I374" s="3">
        <v>4.95</v>
      </c>
      <c r="J374" s="114"/>
      <c r="K374" s="3">
        <f t="shared" si="13"/>
        <v>31.978887999999998</v>
      </c>
      <c r="L374" s="3"/>
      <c r="M374" s="3"/>
      <c r="N374" s="3">
        <v>13.7865</v>
      </c>
    </row>
    <row r="375" spans="1:14" x14ac:dyDescent="0.25">
      <c r="A375" s="4" t="s">
        <v>870</v>
      </c>
      <c r="B375" s="3">
        <v>14.749961599999999</v>
      </c>
      <c r="C375" s="3">
        <v>4.4000000000000004</v>
      </c>
      <c r="D375" s="3">
        <v>2.6134847999999993</v>
      </c>
      <c r="E375" s="3">
        <v>2.2419600000000002</v>
      </c>
      <c r="F375" s="3">
        <v>8.4</v>
      </c>
      <c r="G375" s="110">
        <v>0</v>
      </c>
      <c r="H375" s="110">
        <v>0</v>
      </c>
      <c r="I375" s="3">
        <v>5.61</v>
      </c>
      <c r="J375" s="114"/>
      <c r="K375" s="3">
        <f t="shared" si="13"/>
        <v>38.015406399999996</v>
      </c>
      <c r="L375" s="3"/>
      <c r="M375" s="3"/>
      <c r="N375" s="3">
        <v>13.7865</v>
      </c>
    </row>
    <row r="376" spans="1:14" x14ac:dyDescent="0.25">
      <c r="A376" s="4" t="s">
        <v>872</v>
      </c>
      <c r="B376" s="3">
        <v>16.4852512</v>
      </c>
      <c r="C376" s="3">
        <v>5.5</v>
      </c>
      <c r="D376" s="3">
        <v>2.9209535999999994</v>
      </c>
      <c r="E376" s="3">
        <v>2.5057199999999997</v>
      </c>
      <c r="F376" s="3">
        <v>8.4</v>
      </c>
      <c r="G376" s="110">
        <v>0</v>
      </c>
      <c r="H376" s="110">
        <v>0</v>
      </c>
      <c r="I376" s="3">
        <v>6.6000000000000005</v>
      </c>
      <c r="J376" s="114"/>
      <c r="K376" s="3">
        <f t="shared" si="13"/>
        <v>42.411924800000001</v>
      </c>
      <c r="L376" s="3"/>
      <c r="M376" s="3"/>
      <c r="N376" s="3">
        <v>13.7865</v>
      </c>
    </row>
    <row r="377" spans="1:14" x14ac:dyDescent="0.25">
      <c r="A377" s="4" t="s">
        <v>874</v>
      </c>
      <c r="B377" s="3">
        <v>18.220540799999998</v>
      </c>
      <c r="C377" s="3">
        <v>5.5</v>
      </c>
      <c r="D377" s="3">
        <v>9.8751744000000006</v>
      </c>
      <c r="E377" s="3">
        <v>3.3233760000000001</v>
      </c>
      <c r="F377" s="3">
        <v>8.4</v>
      </c>
      <c r="G377" s="110">
        <v>0</v>
      </c>
      <c r="H377" s="110">
        <v>0</v>
      </c>
      <c r="I377" s="3">
        <v>6.6000000000000005</v>
      </c>
      <c r="J377" s="114"/>
      <c r="K377" s="3">
        <f t="shared" si="13"/>
        <v>51.919091199999997</v>
      </c>
      <c r="L377" s="3"/>
      <c r="M377" s="3"/>
      <c r="N377" s="3">
        <v>13.7865</v>
      </c>
    </row>
    <row r="378" spans="1:14" x14ac:dyDescent="0.25">
      <c r="A378" s="4" t="s">
        <v>876</v>
      </c>
      <c r="B378" s="3">
        <v>19.9558304</v>
      </c>
      <c r="C378" s="3">
        <v>5.5</v>
      </c>
      <c r="D378" s="3">
        <v>10.8156672</v>
      </c>
      <c r="E378" s="3">
        <v>3.6398880000000005</v>
      </c>
      <c r="F378" s="3">
        <v>8.4</v>
      </c>
      <c r="G378" s="110">
        <v>0</v>
      </c>
      <c r="H378" s="110">
        <v>0</v>
      </c>
      <c r="I378" s="3">
        <v>6.6000000000000005</v>
      </c>
      <c r="J378" s="114"/>
      <c r="K378" s="3">
        <f t="shared" si="13"/>
        <v>54.911385600000003</v>
      </c>
      <c r="L378" s="3"/>
      <c r="M378" s="3"/>
      <c r="N378" s="3">
        <v>13.7865</v>
      </c>
    </row>
    <row r="379" spans="1:14" x14ac:dyDescent="0.25">
      <c r="A379" s="115" t="s">
        <v>878</v>
      </c>
      <c r="B379" s="3">
        <v>21.691119999999998</v>
      </c>
      <c r="C379" s="3">
        <v>5.5</v>
      </c>
      <c r="D379" s="3">
        <v>11.756159999999999</v>
      </c>
      <c r="E379" s="3">
        <v>4.9455</v>
      </c>
      <c r="F379" s="3">
        <v>8.4</v>
      </c>
      <c r="G379" s="110">
        <v>0</v>
      </c>
      <c r="H379" s="110">
        <v>0</v>
      </c>
      <c r="I379" s="3">
        <v>6.6000000000000005</v>
      </c>
      <c r="J379" s="114"/>
      <c r="K379" s="3">
        <f t="shared" si="13"/>
        <v>58.892779999999995</v>
      </c>
      <c r="L379" s="3"/>
      <c r="M379" s="3"/>
      <c r="N379" s="3">
        <v>13.7865</v>
      </c>
    </row>
    <row r="380" spans="1:14" x14ac:dyDescent="0.25">
      <c r="A380" s="4" t="s">
        <v>880</v>
      </c>
      <c r="B380" s="3">
        <v>1.501025504</v>
      </c>
      <c r="C380" s="3">
        <v>1.4850000000000003</v>
      </c>
      <c r="D380" s="3">
        <v>0.26596051199999993</v>
      </c>
      <c r="E380" s="3">
        <v>0.27378288000000006</v>
      </c>
      <c r="F380" s="3">
        <v>1.8900000000000001</v>
      </c>
      <c r="G380" s="110">
        <v>0</v>
      </c>
      <c r="H380" s="110">
        <v>0</v>
      </c>
      <c r="I380" s="3">
        <v>1.37016</v>
      </c>
      <c r="J380" s="114"/>
      <c r="K380" s="3">
        <f t="shared" si="13"/>
        <v>6.7859288960000006</v>
      </c>
      <c r="L380" s="3"/>
      <c r="M380" s="3"/>
      <c r="N380" s="3">
        <v>7.7280000000000006</v>
      </c>
    </row>
    <row r="381" spans="1:14" x14ac:dyDescent="0.25">
      <c r="A381" s="4" t="s">
        <v>882</v>
      </c>
      <c r="B381" s="3">
        <v>1.7179367039999998</v>
      </c>
      <c r="C381" s="3">
        <v>1.4850000000000003</v>
      </c>
      <c r="D381" s="3">
        <v>0.30439411199999988</v>
      </c>
      <c r="E381" s="3">
        <v>0.31334687999999999</v>
      </c>
      <c r="F381" s="3">
        <v>1.8900000000000001</v>
      </c>
      <c r="G381" s="110">
        <v>0</v>
      </c>
      <c r="H381" s="110">
        <v>0</v>
      </c>
      <c r="I381" s="3">
        <v>1.56816</v>
      </c>
      <c r="J381" s="114"/>
      <c r="K381" s="3">
        <f t="shared" si="13"/>
        <v>7.2788376960000001</v>
      </c>
      <c r="L381" s="3"/>
      <c r="M381" s="3"/>
      <c r="N381" s="3">
        <v>7.7280000000000006</v>
      </c>
    </row>
    <row r="382" spans="1:14" x14ac:dyDescent="0.25">
      <c r="A382" s="4" t="s">
        <v>884</v>
      </c>
      <c r="B382" s="3">
        <v>2.6842760999999995</v>
      </c>
      <c r="C382" s="3">
        <v>1.4850000000000003</v>
      </c>
      <c r="D382" s="3">
        <v>0.47561579999999987</v>
      </c>
      <c r="E382" s="3">
        <v>0.4896045</v>
      </c>
      <c r="F382" s="3">
        <v>1.8900000000000001</v>
      </c>
      <c r="G382" s="110">
        <v>0</v>
      </c>
      <c r="H382" s="110">
        <v>0</v>
      </c>
      <c r="I382" s="3">
        <v>1.56816</v>
      </c>
      <c r="J382" s="114"/>
      <c r="K382" s="3">
        <f t="shared" si="13"/>
        <v>8.5926563999999992</v>
      </c>
      <c r="L382" s="3"/>
      <c r="M382" s="3"/>
      <c r="N382" s="3">
        <v>7.7280000000000006</v>
      </c>
    </row>
    <row r="383" spans="1:14" x14ac:dyDescent="0.25">
      <c r="A383" s="4" t="s">
        <v>886</v>
      </c>
      <c r="B383" s="3">
        <v>3.0231998499999997</v>
      </c>
      <c r="C383" s="3">
        <v>1.4850000000000003</v>
      </c>
      <c r="D383" s="3">
        <v>0.53566829999999976</v>
      </c>
      <c r="E383" s="3">
        <v>0.55142324999999992</v>
      </c>
      <c r="F383" s="3">
        <v>1.8900000000000001</v>
      </c>
      <c r="G383" s="110">
        <v>0</v>
      </c>
      <c r="H383" s="110">
        <v>0</v>
      </c>
      <c r="I383" s="3">
        <v>2.3548800000000001</v>
      </c>
      <c r="J383" s="114"/>
      <c r="K383" s="3">
        <f t="shared" si="13"/>
        <v>9.8401714000000009</v>
      </c>
      <c r="L383" s="3"/>
      <c r="M383" s="3"/>
      <c r="N383" s="3">
        <v>7.7280000000000006</v>
      </c>
    </row>
    <row r="384" spans="1:14" x14ac:dyDescent="0.25">
      <c r="A384" s="4" t="s">
        <v>888</v>
      </c>
      <c r="B384" s="3">
        <v>3.3621235999999994</v>
      </c>
      <c r="C384" s="3">
        <v>1.4850000000000003</v>
      </c>
      <c r="D384" s="3">
        <v>0.59572079999999994</v>
      </c>
      <c r="E384" s="3">
        <v>0.61324199999999995</v>
      </c>
      <c r="F384" s="3">
        <v>2.2050000000000001</v>
      </c>
      <c r="G384" s="110">
        <v>0</v>
      </c>
      <c r="H384" s="110">
        <v>0</v>
      </c>
      <c r="I384" s="3">
        <v>2.6188800000000003</v>
      </c>
      <c r="J384" s="114"/>
      <c r="K384" s="3">
        <f t="shared" si="13"/>
        <v>10.879966400000001</v>
      </c>
      <c r="L384" s="3"/>
      <c r="M384" s="3"/>
      <c r="N384" s="3">
        <v>7.7280000000000006</v>
      </c>
    </row>
    <row r="385" spans="1:14" x14ac:dyDescent="0.25">
      <c r="A385" s="4" t="s">
        <v>890</v>
      </c>
      <c r="B385" s="3">
        <v>4.0399710999999998</v>
      </c>
      <c r="C385" s="3">
        <v>2.2000000000000002</v>
      </c>
      <c r="D385" s="3">
        <v>0.71582579999999985</v>
      </c>
      <c r="E385" s="3">
        <v>0.73687950000000002</v>
      </c>
      <c r="F385" s="3">
        <v>3.6750000000000003</v>
      </c>
      <c r="G385" s="110">
        <v>0</v>
      </c>
      <c r="H385" s="110">
        <v>0</v>
      </c>
      <c r="I385" s="3">
        <v>3.1468800000000003</v>
      </c>
      <c r="J385" s="114"/>
      <c r="K385" s="3">
        <f t="shared" si="13"/>
        <v>14.5145564</v>
      </c>
      <c r="L385" s="3"/>
      <c r="M385" s="3"/>
      <c r="N385" s="3">
        <v>7.7280000000000006</v>
      </c>
    </row>
    <row r="386" spans="1:14" x14ac:dyDescent="0.25">
      <c r="A386" s="4" t="s">
        <v>892</v>
      </c>
      <c r="B386" s="3">
        <v>4.7178185999999984</v>
      </c>
      <c r="C386" s="3">
        <v>2.2000000000000002</v>
      </c>
      <c r="D386" s="3">
        <v>0.83593079999999975</v>
      </c>
      <c r="E386" s="3">
        <v>0.86051699999999998</v>
      </c>
      <c r="F386" s="3">
        <v>5.04</v>
      </c>
      <c r="G386" s="110">
        <v>0</v>
      </c>
      <c r="H386" s="110">
        <v>0</v>
      </c>
      <c r="I386" s="3">
        <v>4.5936000000000003</v>
      </c>
      <c r="J386" s="114"/>
      <c r="K386" s="3">
        <f t="shared" si="13"/>
        <v>18.247866399999999</v>
      </c>
      <c r="L386" s="3"/>
      <c r="M386" s="3"/>
      <c r="N386" s="3">
        <v>7.7280000000000006</v>
      </c>
    </row>
    <row r="387" spans="1:14" x14ac:dyDescent="0.25">
      <c r="A387" s="4" t="s">
        <v>894</v>
      </c>
      <c r="B387" s="3">
        <v>5.3956660999999988</v>
      </c>
      <c r="C387" s="3">
        <v>2.2000000000000002</v>
      </c>
      <c r="D387" s="3">
        <v>0.95603579999999988</v>
      </c>
      <c r="E387" s="3">
        <v>0.98415449999999993</v>
      </c>
      <c r="F387" s="3">
        <v>5.04</v>
      </c>
      <c r="G387" s="110">
        <v>0</v>
      </c>
      <c r="H387" s="110">
        <v>0</v>
      </c>
      <c r="I387" s="3">
        <v>5.2536000000000005</v>
      </c>
      <c r="J387" s="114"/>
      <c r="K387" s="3">
        <f t="shared" si="13"/>
        <v>19.829456400000002</v>
      </c>
      <c r="L387" s="3"/>
      <c r="M387" s="3"/>
      <c r="N387" s="3">
        <v>7.7280000000000006</v>
      </c>
    </row>
    <row r="388" spans="1:14" x14ac:dyDescent="0.25">
      <c r="A388" s="4" t="s">
        <v>896</v>
      </c>
      <c r="B388" s="3">
        <v>4.2753197519999997</v>
      </c>
      <c r="C388" s="3">
        <v>1.4850000000000003</v>
      </c>
      <c r="D388" s="3">
        <v>0.7575262559999999</v>
      </c>
      <c r="E388" s="3">
        <v>0.32491934999999994</v>
      </c>
      <c r="F388" s="3">
        <v>1.8900000000000001</v>
      </c>
      <c r="G388" s="110">
        <v>0</v>
      </c>
      <c r="H388" s="110">
        <v>0</v>
      </c>
      <c r="I388" s="3"/>
      <c r="J388" s="114"/>
      <c r="K388" s="3">
        <f t="shared" si="13"/>
        <v>8.732765358</v>
      </c>
      <c r="L388" s="3"/>
      <c r="M388" s="3"/>
      <c r="N388" s="3">
        <v>9.7545000000000002</v>
      </c>
    </row>
    <row r="389" spans="1:14" x14ac:dyDescent="0.25">
      <c r="A389" s="4" t="s">
        <v>898</v>
      </c>
      <c r="B389" s="3">
        <v>4.7633699519999988</v>
      </c>
      <c r="C389" s="3">
        <v>1.4850000000000003</v>
      </c>
      <c r="D389" s="3">
        <v>0.84400185599999977</v>
      </c>
      <c r="E389" s="3">
        <v>0.36201059999999996</v>
      </c>
      <c r="F389" s="3">
        <v>2.2050000000000001</v>
      </c>
      <c r="G389" s="110">
        <v>0</v>
      </c>
      <c r="H389" s="110">
        <v>0</v>
      </c>
      <c r="I389" s="3">
        <v>1.93248</v>
      </c>
      <c r="J389" s="114"/>
      <c r="K389" s="3">
        <f t="shared" si="13"/>
        <v>11.591862407999999</v>
      </c>
      <c r="L389" s="3"/>
      <c r="M389" s="3"/>
      <c r="N389" s="3">
        <v>9.7545000000000002</v>
      </c>
    </row>
    <row r="390" spans="1:14" x14ac:dyDescent="0.25">
      <c r="A390" s="4" t="s">
        <v>900</v>
      </c>
      <c r="B390" s="3">
        <v>5.2514201519999988</v>
      </c>
      <c r="C390" s="3">
        <v>1.4850000000000003</v>
      </c>
      <c r="D390" s="3">
        <v>0.93047745599999998</v>
      </c>
      <c r="E390" s="3">
        <v>0.39910184999999998</v>
      </c>
      <c r="F390" s="3">
        <v>3.6750000000000003</v>
      </c>
      <c r="G390" s="110">
        <v>0</v>
      </c>
      <c r="H390" s="110">
        <v>0</v>
      </c>
      <c r="I390" s="3">
        <v>2.1304799999999999</v>
      </c>
      <c r="J390" s="114"/>
      <c r="K390" s="3">
        <f t="shared" si="13"/>
        <v>13.871479458</v>
      </c>
      <c r="L390" s="3"/>
      <c r="M390" s="3"/>
      <c r="N390" s="3">
        <v>9.7545000000000002</v>
      </c>
    </row>
    <row r="391" spans="1:14" x14ac:dyDescent="0.25">
      <c r="A391" s="4" t="s">
        <v>902</v>
      </c>
      <c r="B391" s="3">
        <v>6.2275205519999988</v>
      </c>
      <c r="C391" s="3">
        <v>2.75</v>
      </c>
      <c r="D391" s="3">
        <v>1.1034286559999995</v>
      </c>
      <c r="E391" s="3">
        <v>0.94656869999999982</v>
      </c>
      <c r="F391" s="3">
        <v>5.04</v>
      </c>
      <c r="G391" s="110">
        <v>0</v>
      </c>
      <c r="H391" s="110">
        <v>0</v>
      </c>
      <c r="I391" s="3">
        <v>4.2107999999999999</v>
      </c>
      <c r="J391" s="114"/>
      <c r="K391" s="3">
        <f t="shared" si="13"/>
        <v>20.278317907999998</v>
      </c>
      <c r="L391" s="3"/>
      <c r="M391" s="3"/>
      <c r="N391" s="3">
        <v>9.7545000000000002</v>
      </c>
    </row>
    <row r="392" spans="1:14" x14ac:dyDescent="0.25">
      <c r="A392" s="4" t="s">
        <v>904</v>
      </c>
      <c r="B392" s="3">
        <v>7.2036209519999996</v>
      </c>
      <c r="C392" s="3">
        <v>2.75</v>
      </c>
      <c r="D392" s="3">
        <v>1.2763798559999997</v>
      </c>
      <c r="E392" s="3">
        <v>1.0949337000000001</v>
      </c>
      <c r="F392" s="3">
        <v>5.04</v>
      </c>
      <c r="G392" s="110">
        <v>0</v>
      </c>
      <c r="H392" s="110">
        <v>0</v>
      </c>
      <c r="I392" s="3">
        <v>4.8708</v>
      </c>
      <c r="J392" s="114"/>
      <c r="K392" s="3">
        <f t="shared" si="13"/>
        <v>22.235734508</v>
      </c>
      <c r="L392" s="3"/>
      <c r="M392" s="3"/>
      <c r="N392" s="3">
        <v>9.7545000000000002</v>
      </c>
    </row>
    <row r="393" spans="1:14" x14ac:dyDescent="0.25">
      <c r="A393" s="4" t="s">
        <v>906</v>
      </c>
      <c r="B393" s="3">
        <v>8.1797213519999996</v>
      </c>
      <c r="C393" s="3">
        <v>2.75</v>
      </c>
      <c r="D393" s="3">
        <v>1.4493310559999999</v>
      </c>
      <c r="E393" s="3">
        <v>1.2432986999999998</v>
      </c>
      <c r="F393" s="3">
        <v>6.7200000000000006</v>
      </c>
      <c r="G393" s="110">
        <v>0</v>
      </c>
      <c r="H393" s="110">
        <v>0</v>
      </c>
      <c r="I393" s="3">
        <v>5.530800000000001</v>
      </c>
      <c r="J393" s="114"/>
      <c r="K393" s="3">
        <f t="shared" si="13"/>
        <v>25.873151108000002</v>
      </c>
      <c r="L393" s="3"/>
      <c r="M393" s="3"/>
      <c r="N393" s="3">
        <v>9.7545000000000002</v>
      </c>
    </row>
    <row r="394" spans="1:14" x14ac:dyDescent="0.25">
      <c r="A394" s="4" t="s">
        <v>908</v>
      </c>
      <c r="B394" s="3">
        <v>9.1558217519999996</v>
      </c>
      <c r="C394" s="3">
        <v>4.4000000000000004</v>
      </c>
      <c r="D394" s="3">
        <v>1.6222822559999996</v>
      </c>
      <c r="E394" s="3">
        <v>1.3916637000000001</v>
      </c>
      <c r="F394" s="3">
        <v>6.7200000000000006</v>
      </c>
      <c r="G394" s="110">
        <v>0</v>
      </c>
      <c r="H394" s="110">
        <v>0</v>
      </c>
      <c r="I394" s="3">
        <v>6.6000000000000005</v>
      </c>
      <c r="J394" s="114"/>
      <c r="K394" s="3">
        <f t="shared" si="13"/>
        <v>29.889767708000001</v>
      </c>
      <c r="L394" s="3"/>
      <c r="M394" s="3"/>
      <c r="N394" s="3">
        <v>9.7545000000000002</v>
      </c>
    </row>
    <row r="395" spans="1:14" x14ac:dyDescent="0.25">
      <c r="A395" s="4" t="s">
        <v>910</v>
      </c>
      <c r="B395" s="3">
        <v>10.131922152</v>
      </c>
      <c r="C395" s="3">
        <v>4.4000000000000004</v>
      </c>
      <c r="D395" s="3">
        <v>5.4913023359999995</v>
      </c>
      <c r="E395" s="3">
        <v>1.8480344400000002</v>
      </c>
      <c r="F395" s="3">
        <v>6.7200000000000006</v>
      </c>
      <c r="G395" s="110">
        <v>0</v>
      </c>
      <c r="H395" s="110">
        <v>0</v>
      </c>
      <c r="I395" s="3">
        <v>6.6000000000000005</v>
      </c>
      <c r="J395" s="114"/>
      <c r="K395" s="3">
        <f t="shared" si="13"/>
        <v>35.191258928000003</v>
      </c>
      <c r="L395" s="3"/>
      <c r="M395" s="3"/>
      <c r="N395" s="3">
        <v>9.7545000000000002</v>
      </c>
    </row>
    <row r="396" spans="1:14" x14ac:dyDescent="0.25">
      <c r="A396" s="4" t="s">
        <v>912</v>
      </c>
      <c r="B396" s="3">
        <v>7.5463406479999984</v>
      </c>
      <c r="C396" s="3">
        <v>2.3100000000000005</v>
      </c>
      <c r="D396" s="3">
        <v>1.3371049439999996</v>
      </c>
      <c r="E396" s="3">
        <v>0.57351314999999992</v>
      </c>
      <c r="F396" s="3">
        <v>4.2</v>
      </c>
      <c r="G396" s="110">
        <v>0</v>
      </c>
      <c r="H396" s="110">
        <v>0</v>
      </c>
      <c r="I396" s="3">
        <v>2.2492800000000002</v>
      </c>
      <c r="J396" s="114"/>
      <c r="K396" s="3">
        <f t="shared" si="13"/>
        <v>18.216238741999998</v>
      </c>
      <c r="L396" s="3"/>
      <c r="M396" s="3"/>
      <c r="N396" s="3">
        <v>13.7865</v>
      </c>
    </row>
    <row r="397" spans="1:14" x14ac:dyDescent="0.25">
      <c r="A397" s="4" t="s">
        <v>914</v>
      </c>
      <c r="B397" s="3">
        <v>8.2106311979999997</v>
      </c>
      <c r="C397" s="3">
        <v>2.3100000000000005</v>
      </c>
      <c r="D397" s="3">
        <v>1.4548078439999994</v>
      </c>
      <c r="E397" s="3">
        <v>1.2479969249999998</v>
      </c>
      <c r="F397" s="3">
        <v>5.88</v>
      </c>
      <c r="G397" s="110">
        <v>0</v>
      </c>
      <c r="H397" s="110">
        <v>0</v>
      </c>
      <c r="I397" s="3">
        <v>4.0788000000000002</v>
      </c>
      <c r="J397" s="114"/>
      <c r="K397" s="3">
        <f t="shared" si="13"/>
        <v>23.182235966999997</v>
      </c>
      <c r="L397" s="3"/>
      <c r="M397" s="3"/>
      <c r="N397" s="3">
        <v>13.7865</v>
      </c>
    </row>
    <row r="398" spans="1:14" x14ac:dyDescent="0.25">
      <c r="A398" s="4" t="s">
        <v>916</v>
      </c>
      <c r="B398" s="3">
        <v>8.8749217479999984</v>
      </c>
      <c r="C398" s="3">
        <v>3.8500000000000005</v>
      </c>
      <c r="D398" s="3">
        <v>1.5725107439999997</v>
      </c>
      <c r="E398" s="3">
        <v>1.3489675499999998</v>
      </c>
      <c r="F398" s="3">
        <v>5.88</v>
      </c>
      <c r="G398" s="110">
        <v>0</v>
      </c>
      <c r="H398" s="110">
        <v>0</v>
      </c>
      <c r="I398" s="3">
        <v>4.4088000000000003</v>
      </c>
      <c r="J398" s="114"/>
      <c r="K398" s="3">
        <f t="shared" si="13"/>
        <v>25.935200041999998</v>
      </c>
      <c r="L398" s="3"/>
      <c r="M398" s="3"/>
      <c r="N398" s="3">
        <v>13.7865</v>
      </c>
    </row>
    <row r="399" spans="1:14" x14ac:dyDescent="0.25">
      <c r="A399" s="4" t="s">
        <v>918</v>
      </c>
      <c r="B399" s="3">
        <v>10.203502847999998</v>
      </c>
      <c r="C399" s="3">
        <v>4.95</v>
      </c>
      <c r="D399" s="3">
        <v>1.807916544</v>
      </c>
      <c r="E399" s="3">
        <v>1.5509087999999998</v>
      </c>
      <c r="F399" s="3">
        <v>5.88</v>
      </c>
      <c r="G399" s="110">
        <v>0</v>
      </c>
      <c r="H399" s="110">
        <v>0</v>
      </c>
      <c r="I399" s="3">
        <v>5.0688000000000004</v>
      </c>
      <c r="J399" s="114"/>
      <c r="K399" s="3">
        <f t="shared" si="13"/>
        <v>29.461128191999997</v>
      </c>
      <c r="L399" s="3"/>
      <c r="M399" s="3"/>
      <c r="N399" s="3">
        <v>13.7865</v>
      </c>
    </row>
    <row r="400" spans="1:14" x14ac:dyDescent="0.25">
      <c r="A400" s="4" t="s">
        <v>920</v>
      </c>
      <c r="B400" s="3">
        <v>11.532083948</v>
      </c>
      <c r="C400" s="3">
        <v>4.95</v>
      </c>
      <c r="D400" s="3">
        <v>2.0433223439999999</v>
      </c>
      <c r="E400" s="3">
        <v>1.7528500499999999</v>
      </c>
      <c r="F400" s="3">
        <v>8.4</v>
      </c>
      <c r="G400" s="110">
        <v>0</v>
      </c>
      <c r="H400" s="110">
        <v>0</v>
      </c>
      <c r="I400" s="3">
        <v>5.7287999999999997</v>
      </c>
      <c r="J400" s="114"/>
      <c r="K400" s="3">
        <f t="shared" si="13"/>
        <v>34.407056342000004</v>
      </c>
      <c r="L400" s="3"/>
      <c r="M400" s="3"/>
      <c r="N400" s="3">
        <v>13.7865</v>
      </c>
    </row>
    <row r="401" spans="1:14" x14ac:dyDescent="0.25">
      <c r="A401" s="4" t="s">
        <v>922</v>
      </c>
      <c r="B401" s="3">
        <v>12.860665048</v>
      </c>
      <c r="C401" s="3">
        <v>4.95</v>
      </c>
      <c r="D401" s="3">
        <v>2.2787281439999996</v>
      </c>
      <c r="E401" s="3">
        <v>1.9547912999999999</v>
      </c>
      <c r="F401" s="3">
        <v>5.6</v>
      </c>
      <c r="G401" s="110">
        <v>0</v>
      </c>
      <c r="H401" s="110">
        <v>0</v>
      </c>
      <c r="I401" s="3">
        <v>6.6000000000000005</v>
      </c>
      <c r="J401" s="114"/>
      <c r="K401" s="3">
        <f t="shared" si="13"/>
        <v>34.244184491999995</v>
      </c>
      <c r="L401" s="3"/>
      <c r="M401" s="3"/>
      <c r="N401" s="3">
        <v>13.7865</v>
      </c>
    </row>
    <row r="402" spans="1:14" x14ac:dyDescent="0.25">
      <c r="A402" s="4" t="s">
        <v>924</v>
      </c>
      <c r="B402" s="3">
        <v>14.189246148000001</v>
      </c>
      <c r="C402" s="3">
        <v>4.95</v>
      </c>
      <c r="D402" s="3">
        <v>7.6902920639999985</v>
      </c>
      <c r="E402" s="3">
        <v>2.5880790600000001</v>
      </c>
      <c r="F402" s="3">
        <v>8.4</v>
      </c>
      <c r="G402" s="110">
        <v>0</v>
      </c>
      <c r="H402" s="110">
        <v>0</v>
      </c>
      <c r="I402" s="3">
        <v>6.6000000000000005</v>
      </c>
      <c r="J402" s="114"/>
      <c r="K402" s="3">
        <f t="shared" si="13"/>
        <v>44.417617271999994</v>
      </c>
      <c r="L402" s="3"/>
      <c r="M402" s="3"/>
      <c r="N402" s="3">
        <v>13.7865</v>
      </c>
    </row>
    <row r="403" spans="1:14" x14ac:dyDescent="0.25">
      <c r="A403" s="4" t="s">
        <v>926</v>
      </c>
      <c r="B403" s="3">
        <v>15.517827247999998</v>
      </c>
      <c r="C403" s="3">
        <v>4.95</v>
      </c>
      <c r="D403" s="3">
        <v>8.410356863999997</v>
      </c>
      <c r="E403" s="3">
        <v>2.8304085600000004</v>
      </c>
      <c r="F403" s="3">
        <v>8.4</v>
      </c>
      <c r="G403" s="110">
        <v>0</v>
      </c>
      <c r="H403" s="110">
        <v>0</v>
      </c>
      <c r="I403" s="3">
        <v>6.6000000000000005</v>
      </c>
      <c r="J403" s="114"/>
      <c r="K403" s="3">
        <f t="shared" si="13"/>
        <v>46.708592671999995</v>
      </c>
      <c r="L403" s="3"/>
      <c r="M403" s="3"/>
      <c r="N403" s="3">
        <v>13.7865</v>
      </c>
    </row>
    <row r="404" spans="1:14" x14ac:dyDescent="0.25">
      <c r="A404" s="4" t="s">
        <v>928</v>
      </c>
      <c r="B404" s="3">
        <v>16.846408347999997</v>
      </c>
      <c r="C404" s="3">
        <v>4.95</v>
      </c>
      <c r="D404" s="3">
        <v>9.1304216639999982</v>
      </c>
      <c r="E404" s="3">
        <v>3.8409225749999996</v>
      </c>
      <c r="F404" s="3">
        <v>8.4</v>
      </c>
      <c r="G404" s="110">
        <v>0</v>
      </c>
      <c r="H404" s="110">
        <v>0</v>
      </c>
      <c r="I404" s="3">
        <v>6.6000000000000005</v>
      </c>
      <c r="J404" s="114"/>
      <c r="K404" s="3">
        <f t="shared" si="13"/>
        <v>49.767752586999997</v>
      </c>
      <c r="L404" s="3"/>
      <c r="M404" s="3"/>
      <c r="N404" s="3">
        <v>13.7865</v>
      </c>
    </row>
    <row r="405" spans="1:14" x14ac:dyDescent="0.25">
      <c r="A405" s="4" t="s">
        <v>930</v>
      </c>
      <c r="B405" s="3">
        <v>10.724089727999999</v>
      </c>
      <c r="C405" s="3">
        <v>3.3000000000000003</v>
      </c>
      <c r="D405" s="3">
        <v>1.9001571839999996</v>
      </c>
      <c r="E405" s="3">
        <v>1.6300367999999998</v>
      </c>
      <c r="F405" s="3">
        <v>5.88</v>
      </c>
      <c r="G405" s="110">
        <v>0</v>
      </c>
      <c r="H405" s="110">
        <v>0</v>
      </c>
      <c r="I405" s="3">
        <v>4.0788000000000002</v>
      </c>
      <c r="J405" s="114"/>
      <c r="K405" s="3">
        <f t="shared" si="13"/>
        <v>27.513083711999997</v>
      </c>
      <c r="L405" s="3"/>
      <c r="M405" s="3"/>
      <c r="N405" s="3">
        <v>13.7865</v>
      </c>
    </row>
    <row r="406" spans="1:14" x14ac:dyDescent="0.25">
      <c r="A406" s="4" t="s">
        <v>932</v>
      </c>
      <c r="B406" s="3">
        <v>11.591734528</v>
      </c>
      <c r="C406" s="3">
        <v>4.4000000000000004</v>
      </c>
      <c r="D406" s="3">
        <v>2.0538915839999996</v>
      </c>
      <c r="E406" s="3">
        <v>1.7619167999999998</v>
      </c>
      <c r="F406" s="3">
        <v>5.88</v>
      </c>
      <c r="G406" s="110">
        <v>0</v>
      </c>
      <c r="H406" s="110">
        <v>0</v>
      </c>
      <c r="I406" s="3">
        <v>4.4088000000000003</v>
      </c>
      <c r="J406" s="114"/>
      <c r="K406" s="3">
        <f t="shared" si="13"/>
        <v>30.096342912000001</v>
      </c>
      <c r="L406" s="3"/>
      <c r="M406" s="3"/>
      <c r="N406" s="3">
        <v>13.7865</v>
      </c>
    </row>
    <row r="407" spans="1:14" x14ac:dyDescent="0.25">
      <c r="A407" s="4" t="s">
        <v>934</v>
      </c>
      <c r="B407" s="3">
        <v>13.327024128</v>
      </c>
      <c r="C407" s="3">
        <v>4.4000000000000004</v>
      </c>
      <c r="D407" s="3">
        <v>2.3613603839999997</v>
      </c>
      <c r="E407" s="3">
        <v>2.0256767999999998</v>
      </c>
      <c r="F407" s="3">
        <v>5.88</v>
      </c>
      <c r="G407" s="110">
        <v>0</v>
      </c>
      <c r="H407" s="110">
        <v>0</v>
      </c>
      <c r="I407" s="3">
        <v>5.0688000000000004</v>
      </c>
      <c r="J407" s="114"/>
      <c r="K407" s="3">
        <f t="shared" si="13"/>
        <v>33.062861311999995</v>
      </c>
      <c r="L407" s="3"/>
      <c r="M407" s="3"/>
      <c r="N407" s="3">
        <v>13.7865</v>
      </c>
    </row>
    <row r="408" spans="1:14" x14ac:dyDescent="0.25">
      <c r="A408" s="4" t="s">
        <v>936</v>
      </c>
      <c r="B408" s="3">
        <v>15.062313727999999</v>
      </c>
      <c r="C408" s="3">
        <v>6.0500000000000007</v>
      </c>
      <c r="D408" s="3">
        <v>2.6688291839999998</v>
      </c>
      <c r="E408" s="3">
        <v>2.2894367999999998</v>
      </c>
      <c r="F408" s="3">
        <v>8.4</v>
      </c>
      <c r="G408" s="110">
        <v>0</v>
      </c>
      <c r="H408" s="110">
        <v>0</v>
      </c>
      <c r="I408" s="3">
        <v>5.7287999999999997</v>
      </c>
      <c r="J408" s="114"/>
      <c r="K408" s="3">
        <f t="shared" si="13"/>
        <v>40.199379711999995</v>
      </c>
      <c r="L408" s="3"/>
      <c r="M408" s="3"/>
      <c r="N408" s="3">
        <v>13.7865</v>
      </c>
    </row>
    <row r="409" spans="1:14" x14ac:dyDescent="0.25">
      <c r="A409" s="4" t="s">
        <v>938</v>
      </c>
      <c r="B409" s="3">
        <v>16.797603327999997</v>
      </c>
      <c r="C409" s="3">
        <v>6.0500000000000007</v>
      </c>
      <c r="D409" s="3">
        <v>2.9762979839999995</v>
      </c>
      <c r="E409" s="3">
        <v>2.5531967999999998</v>
      </c>
      <c r="F409" s="3">
        <v>8.4</v>
      </c>
      <c r="G409" s="110">
        <v>0</v>
      </c>
      <c r="H409" s="110">
        <v>0</v>
      </c>
      <c r="I409" s="3">
        <v>6.6000000000000005</v>
      </c>
      <c r="J409" s="114"/>
      <c r="K409" s="3">
        <f t="shared" si="13"/>
        <v>43.377098111999999</v>
      </c>
      <c r="L409" s="3"/>
      <c r="M409" s="3"/>
      <c r="N409" s="3">
        <v>13.7865</v>
      </c>
    </row>
    <row r="410" spans="1:14" x14ac:dyDescent="0.25">
      <c r="A410" s="4" t="s">
        <v>940</v>
      </c>
      <c r="B410" s="3">
        <v>18.532892927999999</v>
      </c>
      <c r="C410" s="3">
        <v>6.0500000000000007</v>
      </c>
      <c r="D410" s="3">
        <v>10.044463103999998</v>
      </c>
      <c r="E410" s="3">
        <v>3.38034816</v>
      </c>
      <c r="F410" s="3">
        <v>8.4</v>
      </c>
      <c r="G410" s="110">
        <v>0</v>
      </c>
      <c r="H410" s="110">
        <v>0</v>
      </c>
      <c r="I410" s="3">
        <v>6.6000000000000005</v>
      </c>
      <c r="J410" s="114"/>
      <c r="K410" s="3">
        <f t="shared" si="13"/>
        <v>53.007704191999991</v>
      </c>
      <c r="L410" s="3"/>
      <c r="M410" s="3"/>
      <c r="N410" s="3">
        <v>13.7865</v>
      </c>
    </row>
    <row r="411" spans="1:14" x14ac:dyDescent="0.25">
      <c r="A411" s="4" t="s">
        <v>942</v>
      </c>
      <c r="B411" s="3">
        <v>20.268182527999997</v>
      </c>
      <c r="C411" s="3">
        <v>6.0500000000000007</v>
      </c>
      <c r="D411" s="3">
        <v>10.984955903999998</v>
      </c>
      <c r="E411" s="3">
        <v>3.6968601600000004</v>
      </c>
      <c r="F411" s="3">
        <v>8.4</v>
      </c>
      <c r="G411" s="110">
        <v>0</v>
      </c>
      <c r="H411" s="110">
        <v>0</v>
      </c>
      <c r="I411" s="3">
        <v>6.6000000000000005</v>
      </c>
      <c r="J411" s="114"/>
      <c r="K411" s="3">
        <f t="shared" si="13"/>
        <v>55.999998591999997</v>
      </c>
      <c r="L411" s="3"/>
      <c r="M411" s="3"/>
      <c r="N411" s="3">
        <v>13.7865</v>
      </c>
    </row>
    <row r="412" spans="1:14" x14ac:dyDescent="0.25">
      <c r="A412" s="4" t="s">
        <v>944</v>
      </c>
      <c r="B412" s="3">
        <v>22.003472127999999</v>
      </c>
      <c r="C412" s="3">
        <v>6.0500000000000007</v>
      </c>
      <c r="D412" s="3">
        <v>11.925448703999999</v>
      </c>
      <c r="E412" s="3">
        <v>5.0167151999999993</v>
      </c>
      <c r="F412" s="3">
        <v>8.4</v>
      </c>
      <c r="G412" s="110">
        <v>0</v>
      </c>
      <c r="H412" s="110">
        <v>0</v>
      </c>
      <c r="I412" s="3">
        <v>6.6000000000000005</v>
      </c>
      <c r="J412" s="114"/>
      <c r="K412" s="3">
        <f t="shared" si="13"/>
        <v>59.995636031999993</v>
      </c>
      <c r="L412" s="3"/>
      <c r="M412" s="3"/>
      <c r="N412" s="3">
        <v>13.7865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72"/>
  <sheetViews>
    <sheetView topLeftCell="A121" zoomScale="80" zoomScaleNormal="80" workbookViewId="0">
      <selection activeCell="G136" sqref="G136"/>
    </sheetView>
  </sheetViews>
  <sheetFormatPr defaultRowHeight="16.5" x14ac:dyDescent="0.25"/>
  <cols>
    <col min="1" max="1" width="15.625" customWidth="1"/>
    <col min="2" max="6" width="10.625" style="2" customWidth="1"/>
    <col min="7" max="7" width="23" style="2" customWidth="1"/>
    <col min="8" max="9" width="10.625" style="2" customWidth="1"/>
    <col min="12" max="19" width="10.625" style="2" customWidth="1"/>
    <col min="20" max="20" width="10.625" customWidth="1"/>
  </cols>
  <sheetData>
    <row r="1" spans="1:17" ht="21" x14ac:dyDescent="0.25">
      <c r="A1" s="25" t="s">
        <v>480</v>
      </c>
      <c r="B1" s="2" t="s">
        <v>443</v>
      </c>
      <c r="C1" s="2" t="s">
        <v>452</v>
      </c>
      <c r="D1" s="2" t="s">
        <v>454</v>
      </c>
      <c r="F1" s="2" t="s">
        <v>450</v>
      </c>
      <c r="G1" s="2" t="s">
        <v>831</v>
      </c>
      <c r="H1" s="2" t="s">
        <v>446</v>
      </c>
      <c r="I1" s="2" t="s">
        <v>448</v>
      </c>
    </row>
    <row r="2" spans="1:17" x14ac:dyDescent="0.25">
      <c r="A2" s="23" t="s">
        <v>441</v>
      </c>
      <c r="B2" s="18" t="s">
        <v>478</v>
      </c>
      <c r="G2" s="2" t="s">
        <v>1008</v>
      </c>
    </row>
    <row r="3" spans="1:17" x14ac:dyDescent="0.25">
      <c r="A3" s="23"/>
      <c r="B3" s="18"/>
    </row>
    <row r="4" spans="1:17" x14ac:dyDescent="0.25">
      <c r="B4" s="18"/>
    </row>
    <row r="5" spans="1:17" x14ac:dyDescent="0.25">
      <c r="A5" s="4" t="s">
        <v>1</v>
      </c>
      <c r="B5" s="48" t="s">
        <v>444</v>
      </c>
      <c r="C5" s="49" t="s">
        <v>453</v>
      </c>
      <c r="D5" s="49" t="s">
        <v>455</v>
      </c>
      <c r="E5" s="49" t="s">
        <v>945</v>
      </c>
      <c r="F5" s="49" t="s">
        <v>451</v>
      </c>
      <c r="G5" s="50" t="s">
        <v>445</v>
      </c>
      <c r="H5" s="19" t="s">
        <v>947</v>
      </c>
      <c r="I5" s="21" t="s">
        <v>449</v>
      </c>
      <c r="L5" s="2" t="s">
        <v>649</v>
      </c>
      <c r="M5" s="2" t="s">
        <v>650</v>
      </c>
      <c r="N5" s="2" t="s">
        <v>444</v>
      </c>
      <c r="O5" s="2" t="s">
        <v>975</v>
      </c>
      <c r="P5" s="2" t="s">
        <v>773</v>
      </c>
      <c r="Q5" s="2" t="s">
        <v>772</v>
      </c>
    </row>
    <row r="6" spans="1:17" x14ac:dyDescent="0.25">
      <c r="A6" s="5" t="s">
        <v>12</v>
      </c>
      <c r="B6" s="48">
        <v>3</v>
      </c>
      <c r="C6" s="49">
        <v>60</v>
      </c>
      <c r="D6" s="49">
        <v>60</v>
      </c>
      <c r="E6" s="49">
        <f>D6+C6</f>
        <v>120</v>
      </c>
      <c r="F6" s="49">
        <v>6.1700000000000001E-3</v>
      </c>
      <c r="G6" s="50">
        <f>B6*B6*(C6+D6)*F6</f>
        <v>6.6635999999999997</v>
      </c>
      <c r="H6" s="19">
        <f>Q17</f>
        <v>102.08</v>
      </c>
      <c r="I6" s="22">
        <f>H6*G6/1000</f>
        <v>0.68022028800000001</v>
      </c>
      <c r="L6" s="2">
        <v>8660</v>
      </c>
      <c r="M6" s="2" t="s">
        <v>651</v>
      </c>
      <c r="N6" s="2" t="s">
        <v>488</v>
      </c>
      <c r="O6" s="2">
        <v>84.8</v>
      </c>
      <c r="P6" s="2">
        <v>1.1000000000000001</v>
      </c>
      <c r="Q6" s="2">
        <f>P6*O6</f>
        <v>93.28</v>
      </c>
    </row>
    <row r="7" spans="1:17" x14ac:dyDescent="0.25">
      <c r="A7" s="5" t="s">
        <v>14</v>
      </c>
      <c r="B7" s="48">
        <v>3</v>
      </c>
      <c r="C7" s="49">
        <v>80</v>
      </c>
      <c r="D7" s="49">
        <v>60</v>
      </c>
      <c r="E7" s="49">
        <f t="shared" ref="E7:E70" si="0">D7+C7</f>
        <v>140</v>
      </c>
      <c r="F7" s="49">
        <v>6.1700000000000001E-3</v>
      </c>
      <c r="G7" s="50">
        <f t="shared" ref="G7:G70" si="1">B7*B7*(C7+D7)*F7</f>
        <v>7.7742000000000004</v>
      </c>
      <c r="H7" s="19">
        <f>Q17</f>
        <v>102.08</v>
      </c>
      <c r="I7" s="22">
        <f t="shared" ref="I7:I70" si="2">H7*G7/1000</f>
        <v>0.79359033599999995</v>
      </c>
      <c r="L7" s="2">
        <v>8660</v>
      </c>
      <c r="M7" s="2" t="s">
        <v>651</v>
      </c>
      <c r="N7" s="2" t="s">
        <v>489</v>
      </c>
      <c r="O7" s="2">
        <v>69.8</v>
      </c>
      <c r="P7" s="113">
        <v>1.1000000000000001</v>
      </c>
      <c r="Q7" s="2">
        <f t="shared" ref="Q7:Q26" si="3">P7*O7</f>
        <v>76.78</v>
      </c>
    </row>
    <row r="8" spans="1:17" x14ac:dyDescent="0.25">
      <c r="A8" s="5" t="s">
        <v>16</v>
      </c>
      <c r="B8" s="48">
        <v>3</v>
      </c>
      <c r="C8" s="49">
        <v>100</v>
      </c>
      <c r="D8" s="49">
        <v>60</v>
      </c>
      <c r="E8" s="49">
        <f t="shared" si="0"/>
        <v>160</v>
      </c>
      <c r="F8" s="49">
        <v>6.1700000000000001E-3</v>
      </c>
      <c r="G8" s="50">
        <f t="shared" si="1"/>
        <v>8.8848000000000003</v>
      </c>
      <c r="H8" s="19">
        <f>Q17</f>
        <v>102.08</v>
      </c>
      <c r="I8" s="22">
        <f t="shared" si="2"/>
        <v>0.90696038400000001</v>
      </c>
      <c r="L8" s="2">
        <v>8660</v>
      </c>
      <c r="M8" s="2" t="s">
        <v>651</v>
      </c>
      <c r="N8" s="2" t="s">
        <v>652</v>
      </c>
      <c r="O8" s="2">
        <v>68.8</v>
      </c>
      <c r="P8" s="113">
        <v>1.1000000000000001</v>
      </c>
      <c r="Q8" s="2">
        <f t="shared" si="3"/>
        <v>75.680000000000007</v>
      </c>
    </row>
    <row r="9" spans="1:17" x14ac:dyDescent="0.25">
      <c r="A9" s="5" t="s">
        <v>18</v>
      </c>
      <c r="B9" s="48">
        <v>3</v>
      </c>
      <c r="C9" s="49">
        <v>125</v>
      </c>
      <c r="D9" s="49">
        <v>60</v>
      </c>
      <c r="E9" s="49">
        <f t="shared" si="0"/>
        <v>185</v>
      </c>
      <c r="F9" s="49">
        <v>6.1700000000000001E-3</v>
      </c>
      <c r="G9" s="50">
        <f t="shared" si="1"/>
        <v>10.27305</v>
      </c>
      <c r="H9" s="19">
        <f>Q17</f>
        <v>102.08</v>
      </c>
      <c r="I9" s="22">
        <f t="shared" si="2"/>
        <v>1.048672944</v>
      </c>
      <c r="L9" s="2">
        <v>8660</v>
      </c>
      <c r="M9" s="2" t="s">
        <v>651</v>
      </c>
      <c r="N9" s="2" t="s">
        <v>653</v>
      </c>
      <c r="O9" s="2">
        <v>58.8</v>
      </c>
      <c r="P9" s="113">
        <v>1.1000000000000001</v>
      </c>
      <c r="Q9" s="2">
        <f t="shared" si="3"/>
        <v>64.680000000000007</v>
      </c>
    </row>
    <row r="10" spans="1:17" x14ac:dyDescent="0.25">
      <c r="A10" s="5" t="s">
        <v>20</v>
      </c>
      <c r="B10" s="48">
        <v>3</v>
      </c>
      <c r="C10" s="49">
        <v>150</v>
      </c>
      <c r="D10" s="49">
        <v>60</v>
      </c>
      <c r="E10" s="49">
        <f t="shared" si="0"/>
        <v>210</v>
      </c>
      <c r="F10" s="49">
        <v>6.1700000000000001E-3</v>
      </c>
      <c r="G10" s="50">
        <f t="shared" si="1"/>
        <v>11.661300000000001</v>
      </c>
      <c r="H10" s="19">
        <f>Q17</f>
        <v>102.08</v>
      </c>
      <c r="I10" s="22">
        <f t="shared" si="2"/>
        <v>1.190385504</v>
      </c>
      <c r="L10" s="2">
        <v>8660</v>
      </c>
      <c r="M10" s="2" t="s">
        <v>651</v>
      </c>
      <c r="N10" s="2" t="s">
        <v>662</v>
      </c>
      <c r="O10" s="2">
        <v>57.8</v>
      </c>
      <c r="P10" s="113">
        <v>1.1000000000000001</v>
      </c>
      <c r="Q10" s="2">
        <f t="shared" si="3"/>
        <v>63.580000000000005</v>
      </c>
    </row>
    <row r="11" spans="1:17" x14ac:dyDescent="0.25">
      <c r="A11" s="5" t="s">
        <v>22</v>
      </c>
      <c r="B11" s="48">
        <v>3</v>
      </c>
      <c r="C11" s="49">
        <v>200</v>
      </c>
      <c r="D11" s="49">
        <v>60</v>
      </c>
      <c r="E11" s="49">
        <f t="shared" si="0"/>
        <v>260</v>
      </c>
      <c r="F11" s="49">
        <v>6.1700000000000001E-3</v>
      </c>
      <c r="G11" s="50">
        <f t="shared" si="1"/>
        <v>14.437800000000001</v>
      </c>
      <c r="H11" s="19">
        <f>Q17</f>
        <v>102.08</v>
      </c>
      <c r="I11" s="22">
        <f t="shared" si="2"/>
        <v>1.4738106240000002</v>
      </c>
      <c r="L11" s="2">
        <v>8660</v>
      </c>
      <c r="M11" s="2" t="s">
        <v>654</v>
      </c>
      <c r="N11" s="2" t="s">
        <v>655</v>
      </c>
      <c r="O11" s="2">
        <v>84.8</v>
      </c>
      <c r="P11" s="113">
        <v>1.1000000000000001</v>
      </c>
      <c r="Q11" s="2">
        <f t="shared" si="3"/>
        <v>93.28</v>
      </c>
    </row>
    <row r="12" spans="1:17" x14ac:dyDescent="0.25">
      <c r="A12" s="5" t="s">
        <v>24</v>
      </c>
      <c r="B12" s="48">
        <v>3</v>
      </c>
      <c r="C12" s="49">
        <v>250</v>
      </c>
      <c r="D12" s="49">
        <v>60</v>
      </c>
      <c r="E12" s="49">
        <f t="shared" si="0"/>
        <v>310</v>
      </c>
      <c r="F12" s="49">
        <v>6.1700000000000001E-3</v>
      </c>
      <c r="G12" s="50">
        <f t="shared" si="1"/>
        <v>17.214300000000001</v>
      </c>
      <c r="H12" s="19">
        <f>Q17</f>
        <v>102.08</v>
      </c>
      <c r="I12" s="22">
        <f t="shared" si="2"/>
        <v>1.7572357440000002</v>
      </c>
      <c r="L12" s="2">
        <v>8660</v>
      </c>
      <c r="M12" s="2" t="s">
        <v>654</v>
      </c>
      <c r="N12" s="2" t="s">
        <v>488</v>
      </c>
      <c r="O12" s="2">
        <v>84.8</v>
      </c>
      <c r="P12" s="113">
        <v>1.1000000000000001</v>
      </c>
      <c r="Q12" s="2">
        <f t="shared" si="3"/>
        <v>93.28</v>
      </c>
    </row>
    <row r="13" spans="1:17" x14ac:dyDescent="0.25">
      <c r="A13" s="5" t="s">
        <v>26</v>
      </c>
      <c r="B13" s="48">
        <v>3</v>
      </c>
      <c r="C13" s="49">
        <v>300</v>
      </c>
      <c r="D13" s="49">
        <v>60</v>
      </c>
      <c r="E13" s="49">
        <f t="shared" si="0"/>
        <v>360</v>
      </c>
      <c r="F13" s="49">
        <v>6.1700000000000001E-3</v>
      </c>
      <c r="G13" s="50">
        <f t="shared" si="1"/>
        <v>19.9908</v>
      </c>
      <c r="H13" s="19">
        <f>Q17</f>
        <v>102.08</v>
      </c>
      <c r="I13" s="22">
        <f t="shared" si="2"/>
        <v>2.0406608639999999</v>
      </c>
      <c r="L13" s="2">
        <v>8660</v>
      </c>
      <c r="M13" s="2" t="s">
        <v>654</v>
      </c>
      <c r="N13" s="2" t="s">
        <v>489</v>
      </c>
      <c r="O13" s="2">
        <v>66.8</v>
      </c>
      <c r="P13" s="113">
        <v>1.1000000000000001</v>
      </c>
      <c r="Q13" s="2">
        <f t="shared" si="3"/>
        <v>73.48</v>
      </c>
    </row>
    <row r="14" spans="1:17" x14ac:dyDescent="0.25">
      <c r="A14" s="6" t="s">
        <v>36</v>
      </c>
      <c r="B14" s="48">
        <v>5</v>
      </c>
      <c r="C14" s="49">
        <v>38</v>
      </c>
      <c r="D14" s="49">
        <v>45</v>
      </c>
      <c r="E14" s="49">
        <f t="shared" si="0"/>
        <v>83</v>
      </c>
      <c r="F14" s="49">
        <v>6.1700000000000001E-3</v>
      </c>
      <c r="G14" s="50">
        <f t="shared" si="1"/>
        <v>12.80275</v>
      </c>
      <c r="H14" s="19">
        <f>Q21</f>
        <v>81.180000000000007</v>
      </c>
      <c r="I14" s="22">
        <f t="shared" si="2"/>
        <v>1.039327245</v>
      </c>
      <c r="L14" s="2">
        <v>8660</v>
      </c>
      <c r="M14" s="2" t="s">
        <v>654</v>
      </c>
      <c r="N14" s="2" t="s">
        <v>656</v>
      </c>
      <c r="O14" s="2">
        <v>60.8</v>
      </c>
      <c r="P14" s="113">
        <v>1.1000000000000001</v>
      </c>
      <c r="Q14" s="2">
        <f t="shared" si="3"/>
        <v>66.88</v>
      </c>
    </row>
    <row r="15" spans="1:17" x14ac:dyDescent="0.25">
      <c r="A15" s="6" t="s">
        <v>28</v>
      </c>
      <c r="B15" s="48">
        <v>5</v>
      </c>
      <c r="C15" s="49">
        <v>80</v>
      </c>
      <c r="D15" s="49">
        <v>60</v>
      </c>
      <c r="E15" s="49">
        <f t="shared" si="0"/>
        <v>140</v>
      </c>
      <c r="F15" s="49">
        <v>6.1700000000000001E-3</v>
      </c>
      <c r="G15" s="50">
        <f t="shared" si="1"/>
        <v>21.594999999999999</v>
      </c>
      <c r="H15" s="19">
        <f>Q21</f>
        <v>81.180000000000007</v>
      </c>
      <c r="I15" s="22">
        <f t="shared" si="2"/>
        <v>1.7530821000000001</v>
      </c>
      <c r="L15" s="2">
        <v>8660</v>
      </c>
      <c r="M15" s="2" t="s">
        <v>654</v>
      </c>
      <c r="N15" s="2" t="s">
        <v>661</v>
      </c>
      <c r="O15" s="2">
        <v>62.8</v>
      </c>
      <c r="P15" s="113">
        <v>1.1000000000000001</v>
      </c>
      <c r="Q15" s="2">
        <f t="shared" si="3"/>
        <v>69.08</v>
      </c>
    </row>
    <row r="16" spans="1:17" x14ac:dyDescent="0.25">
      <c r="A16" s="6" t="s">
        <v>30</v>
      </c>
      <c r="B16" s="48">
        <v>5</v>
      </c>
      <c r="C16" s="49">
        <v>100</v>
      </c>
      <c r="D16" s="49">
        <v>60</v>
      </c>
      <c r="E16" s="49">
        <f t="shared" si="0"/>
        <v>160</v>
      </c>
      <c r="F16" s="49">
        <v>6.1700000000000001E-3</v>
      </c>
      <c r="G16" s="50">
        <f t="shared" si="1"/>
        <v>24.68</v>
      </c>
      <c r="H16" s="19">
        <f>Q21</f>
        <v>81.180000000000007</v>
      </c>
      <c r="I16" s="22">
        <f t="shared" si="2"/>
        <v>2.0035224</v>
      </c>
      <c r="L16" s="2">
        <v>8660</v>
      </c>
      <c r="M16" s="2" t="s">
        <v>657</v>
      </c>
      <c r="N16" s="2" t="s">
        <v>658</v>
      </c>
      <c r="O16" s="2">
        <v>68.8</v>
      </c>
      <c r="P16" s="113">
        <v>1.1000000000000001</v>
      </c>
      <c r="Q16" s="2">
        <f t="shared" si="3"/>
        <v>75.680000000000007</v>
      </c>
    </row>
    <row r="17" spans="1:17" x14ac:dyDescent="0.25">
      <c r="A17" s="6" t="s">
        <v>32</v>
      </c>
      <c r="B17" s="48">
        <v>5</v>
      </c>
      <c r="C17" s="49">
        <v>125</v>
      </c>
      <c r="D17" s="49">
        <v>60</v>
      </c>
      <c r="E17" s="49">
        <f t="shared" si="0"/>
        <v>185</v>
      </c>
      <c r="F17" s="49">
        <v>6.1700000000000001E-3</v>
      </c>
      <c r="G17" s="50">
        <f t="shared" si="1"/>
        <v>28.536249999999999</v>
      </c>
      <c r="H17" s="19">
        <f>Q21</f>
        <v>81.180000000000007</v>
      </c>
      <c r="I17" s="22">
        <f t="shared" si="2"/>
        <v>2.316572775</v>
      </c>
      <c r="L17" s="84" t="s">
        <v>659</v>
      </c>
      <c r="M17" s="84" t="s">
        <v>663</v>
      </c>
      <c r="N17" s="84" t="s">
        <v>488</v>
      </c>
      <c r="O17" s="84">
        <v>92.8</v>
      </c>
      <c r="P17" s="113">
        <v>1.1000000000000001</v>
      </c>
      <c r="Q17" s="84">
        <f>P17*O17</f>
        <v>102.08</v>
      </c>
    </row>
    <row r="18" spans="1:17" x14ac:dyDescent="0.25">
      <c r="A18" s="6" t="s">
        <v>34</v>
      </c>
      <c r="B18" s="48">
        <v>5</v>
      </c>
      <c r="C18" s="49">
        <v>150</v>
      </c>
      <c r="D18" s="49">
        <v>60</v>
      </c>
      <c r="E18" s="49">
        <f t="shared" si="0"/>
        <v>210</v>
      </c>
      <c r="F18" s="49">
        <v>6.1700000000000001E-3</v>
      </c>
      <c r="G18" s="50">
        <f t="shared" si="1"/>
        <v>32.392499999999998</v>
      </c>
      <c r="H18" s="19">
        <f>Q21</f>
        <v>81.180000000000007</v>
      </c>
      <c r="I18" s="22">
        <f t="shared" si="2"/>
        <v>2.62962315</v>
      </c>
      <c r="L18" s="84" t="s">
        <v>659</v>
      </c>
      <c r="M18" s="84" t="s">
        <v>663</v>
      </c>
      <c r="N18" s="84" t="s">
        <v>664</v>
      </c>
      <c r="O18" s="84">
        <v>92.8</v>
      </c>
      <c r="P18" s="113">
        <v>1.1000000000000001</v>
      </c>
      <c r="Q18" s="84">
        <f t="shared" si="3"/>
        <v>102.08</v>
      </c>
    </row>
    <row r="19" spans="1:17" x14ac:dyDescent="0.25">
      <c r="A19" s="6" t="s">
        <v>38</v>
      </c>
      <c r="B19" s="48">
        <v>5</v>
      </c>
      <c r="C19" s="49">
        <v>200</v>
      </c>
      <c r="D19" s="49">
        <v>60</v>
      </c>
      <c r="E19" s="49">
        <f t="shared" si="0"/>
        <v>260</v>
      </c>
      <c r="F19" s="49">
        <v>6.1700000000000001E-3</v>
      </c>
      <c r="G19" s="50">
        <f t="shared" si="1"/>
        <v>40.105000000000004</v>
      </c>
      <c r="H19" s="19">
        <f>Q21</f>
        <v>81.180000000000007</v>
      </c>
      <c r="I19" s="22">
        <f t="shared" si="2"/>
        <v>3.2557239000000004</v>
      </c>
      <c r="L19" s="84" t="s">
        <v>660</v>
      </c>
      <c r="M19" s="84" t="s">
        <v>663</v>
      </c>
      <c r="N19" s="84" t="s">
        <v>489</v>
      </c>
      <c r="O19" s="84">
        <v>87.8</v>
      </c>
      <c r="P19" s="113">
        <v>1.1000000000000001</v>
      </c>
      <c r="Q19" s="84">
        <f t="shared" si="3"/>
        <v>96.58</v>
      </c>
    </row>
    <row r="20" spans="1:17" x14ac:dyDescent="0.25">
      <c r="A20" s="6" t="s">
        <v>40</v>
      </c>
      <c r="B20" s="48">
        <v>5</v>
      </c>
      <c r="C20" s="49">
        <v>250</v>
      </c>
      <c r="D20" s="49">
        <v>60</v>
      </c>
      <c r="E20" s="49">
        <f t="shared" si="0"/>
        <v>310</v>
      </c>
      <c r="F20" s="49">
        <v>6.1700000000000001E-3</v>
      </c>
      <c r="G20" s="50">
        <f t="shared" si="1"/>
        <v>47.817500000000003</v>
      </c>
      <c r="H20" s="19">
        <f>Q21</f>
        <v>81.180000000000007</v>
      </c>
      <c r="I20" s="22">
        <f t="shared" si="2"/>
        <v>3.8818246500000004</v>
      </c>
      <c r="L20" s="84" t="s">
        <v>660</v>
      </c>
      <c r="M20" s="84" t="s">
        <v>663</v>
      </c>
      <c r="N20" s="84" t="s">
        <v>665</v>
      </c>
      <c r="O20" s="84">
        <v>81.8</v>
      </c>
      <c r="P20" s="113">
        <v>1.1000000000000001</v>
      </c>
      <c r="Q20" s="84">
        <f t="shared" si="3"/>
        <v>89.98</v>
      </c>
    </row>
    <row r="21" spans="1:17" x14ac:dyDescent="0.25">
      <c r="A21" s="6" t="s">
        <v>42</v>
      </c>
      <c r="B21" s="48">
        <v>5</v>
      </c>
      <c r="C21" s="49">
        <v>300</v>
      </c>
      <c r="D21" s="49">
        <v>60</v>
      </c>
      <c r="E21" s="49">
        <f t="shared" si="0"/>
        <v>360</v>
      </c>
      <c r="F21" s="49">
        <v>6.1700000000000001E-3</v>
      </c>
      <c r="G21" s="50">
        <f t="shared" si="1"/>
        <v>55.53</v>
      </c>
      <c r="H21" s="19">
        <f>Q21</f>
        <v>81.180000000000007</v>
      </c>
      <c r="I21" s="22">
        <f t="shared" si="2"/>
        <v>4.5079254000000004</v>
      </c>
      <c r="L21" s="84" t="s">
        <v>659</v>
      </c>
      <c r="M21" s="84" t="s">
        <v>663</v>
      </c>
      <c r="N21" s="84" t="s">
        <v>491</v>
      </c>
      <c r="O21" s="84">
        <v>73.8</v>
      </c>
      <c r="P21" s="113">
        <v>1.1000000000000001</v>
      </c>
      <c r="Q21" s="84">
        <f t="shared" si="3"/>
        <v>81.180000000000007</v>
      </c>
    </row>
    <row r="22" spans="1:17" x14ac:dyDescent="0.25">
      <c r="A22" s="6" t="s">
        <v>44</v>
      </c>
      <c r="B22" s="48">
        <v>5</v>
      </c>
      <c r="C22" s="49">
        <v>350</v>
      </c>
      <c r="D22" s="49">
        <v>60</v>
      </c>
      <c r="E22" s="49">
        <f t="shared" si="0"/>
        <v>410</v>
      </c>
      <c r="F22" s="49">
        <v>6.1700000000000001E-3</v>
      </c>
      <c r="G22" s="50">
        <f t="shared" si="1"/>
        <v>63.2425</v>
      </c>
      <c r="H22" s="19">
        <f>Q21</f>
        <v>81.180000000000007</v>
      </c>
      <c r="I22" s="22">
        <f t="shared" si="2"/>
        <v>5.1340261500000004</v>
      </c>
      <c r="L22" s="84" t="s">
        <v>660</v>
      </c>
      <c r="M22" s="84" t="s">
        <v>663</v>
      </c>
      <c r="N22" s="84" t="s">
        <v>662</v>
      </c>
      <c r="O22" s="84">
        <v>59.8</v>
      </c>
      <c r="P22" s="113">
        <v>1.1000000000000001</v>
      </c>
      <c r="Q22" s="84">
        <f t="shared" si="3"/>
        <v>65.78</v>
      </c>
    </row>
    <row r="23" spans="1:17" x14ac:dyDescent="0.25">
      <c r="A23" s="6" t="s">
        <v>46</v>
      </c>
      <c r="B23" s="48">
        <v>5</v>
      </c>
      <c r="C23" s="49">
        <v>400</v>
      </c>
      <c r="D23" s="49">
        <v>60</v>
      </c>
      <c r="E23" s="49">
        <f t="shared" si="0"/>
        <v>460</v>
      </c>
      <c r="F23" s="49">
        <v>6.1700000000000001E-3</v>
      </c>
      <c r="G23" s="50">
        <f t="shared" si="1"/>
        <v>70.954999999999998</v>
      </c>
      <c r="H23" s="19">
        <f>Q21</f>
        <v>81.180000000000007</v>
      </c>
      <c r="I23" s="22">
        <f t="shared" si="2"/>
        <v>5.7601269000000004</v>
      </c>
      <c r="L23" s="2" t="s">
        <v>659</v>
      </c>
      <c r="M23" s="2" t="s">
        <v>657</v>
      </c>
      <c r="N23" s="2" t="s">
        <v>488</v>
      </c>
      <c r="O23" s="2">
        <v>94.5</v>
      </c>
      <c r="P23" s="113">
        <v>1.1000000000000001</v>
      </c>
      <c r="Q23" s="114">
        <f t="shared" si="3"/>
        <v>103.95</v>
      </c>
    </row>
    <row r="24" spans="1:17" x14ac:dyDescent="0.25">
      <c r="A24" s="6" t="s">
        <v>48</v>
      </c>
      <c r="B24" s="48">
        <v>5</v>
      </c>
      <c r="C24" s="49">
        <v>500</v>
      </c>
      <c r="D24" s="49">
        <v>60</v>
      </c>
      <c r="E24" s="49">
        <f t="shared" si="0"/>
        <v>560</v>
      </c>
      <c r="F24" s="49">
        <v>6.1700000000000001E-3</v>
      </c>
      <c r="G24" s="50">
        <f t="shared" si="1"/>
        <v>86.38</v>
      </c>
      <c r="H24" s="19">
        <f>Q21</f>
        <v>81.180000000000007</v>
      </c>
      <c r="I24" s="22">
        <f t="shared" si="2"/>
        <v>7.0123284000000004</v>
      </c>
      <c r="L24" s="2" t="s">
        <v>659</v>
      </c>
      <c r="M24" s="2" t="s">
        <v>657</v>
      </c>
      <c r="N24" s="2" t="s">
        <v>489</v>
      </c>
      <c r="O24" s="2">
        <v>94.5</v>
      </c>
      <c r="P24" s="113">
        <v>1.1000000000000001</v>
      </c>
      <c r="Q24" s="114">
        <f t="shared" si="3"/>
        <v>103.95</v>
      </c>
    </row>
    <row r="25" spans="1:17" x14ac:dyDescent="0.25">
      <c r="A25" s="7" t="s">
        <v>50</v>
      </c>
      <c r="B25" s="48">
        <v>6</v>
      </c>
      <c r="C25" s="49">
        <v>38</v>
      </c>
      <c r="D25" s="49">
        <v>45</v>
      </c>
      <c r="E25" s="49">
        <f t="shared" si="0"/>
        <v>83</v>
      </c>
      <c r="F25" s="49">
        <v>6.1700000000000001E-3</v>
      </c>
      <c r="G25" s="50">
        <f t="shared" si="1"/>
        <v>18.435960000000001</v>
      </c>
      <c r="H25" s="19">
        <f>Q22</f>
        <v>65.78</v>
      </c>
      <c r="I25" s="22">
        <f t="shared" si="2"/>
        <v>1.2127174488000001</v>
      </c>
      <c r="L25" s="2" t="s">
        <v>660</v>
      </c>
      <c r="M25" s="2" t="s">
        <v>657</v>
      </c>
      <c r="N25" s="2" t="s">
        <v>491</v>
      </c>
      <c r="O25" s="2">
        <v>69.5</v>
      </c>
      <c r="P25" s="113">
        <v>1.1000000000000001</v>
      </c>
      <c r="Q25" s="114">
        <f t="shared" si="3"/>
        <v>76.45</v>
      </c>
    </row>
    <row r="26" spans="1:17" x14ac:dyDescent="0.25">
      <c r="A26" s="7" t="s">
        <v>52</v>
      </c>
      <c r="B26" s="48">
        <v>6</v>
      </c>
      <c r="C26" s="49">
        <v>100</v>
      </c>
      <c r="D26" s="49">
        <v>80</v>
      </c>
      <c r="E26" s="49">
        <f t="shared" si="0"/>
        <v>180</v>
      </c>
      <c r="F26" s="49">
        <v>6.1700000000000001E-3</v>
      </c>
      <c r="G26" s="50">
        <f t="shared" si="1"/>
        <v>39.9816</v>
      </c>
      <c r="H26" s="19">
        <f>Q22</f>
        <v>65.78</v>
      </c>
      <c r="I26" s="22">
        <f t="shared" si="2"/>
        <v>2.629989648</v>
      </c>
      <c r="L26" s="2" t="s">
        <v>660</v>
      </c>
      <c r="M26" s="2" t="s">
        <v>657</v>
      </c>
      <c r="N26" s="2" t="s">
        <v>662</v>
      </c>
      <c r="O26" s="2">
        <v>60.5</v>
      </c>
      <c r="P26" s="113">
        <v>1.1000000000000001</v>
      </c>
      <c r="Q26" s="114">
        <f t="shared" si="3"/>
        <v>66.550000000000011</v>
      </c>
    </row>
    <row r="27" spans="1:17" x14ac:dyDescent="0.25">
      <c r="A27" s="7" t="s">
        <v>54</v>
      </c>
      <c r="B27" s="48">
        <v>6</v>
      </c>
      <c r="C27" s="49">
        <v>125</v>
      </c>
      <c r="D27" s="49">
        <v>80</v>
      </c>
      <c r="E27" s="49">
        <f t="shared" si="0"/>
        <v>205</v>
      </c>
      <c r="F27" s="49">
        <v>6.1700000000000001E-3</v>
      </c>
      <c r="G27" s="50">
        <f t="shared" si="1"/>
        <v>45.534599999999998</v>
      </c>
      <c r="H27" s="19">
        <f>Q22</f>
        <v>65.78</v>
      </c>
      <c r="I27" s="22">
        <f t="shared" si="2"/>
        <v>2.9952659880000003</v>
      </c>
    </row>
    <row r="28" spans="1:17" x14ac:dyDescent="0.25">
      <c r="A28" s="7" t="s">
        <v>56</v>
      </c>
      <c r="B28" s="48">
        <v>6</v>
      </c>
      <c r="C28" s="49">
        <v>150</v>
      </c>
      <c r="D28" s="49">
        <v>80</v>
      </c>
      <c r="E28" s="49">
        <f t="shared" si="0"/>
        <v>230</v>
      </c>
      <c r="F28" s="49">
        <v>6.1700000000000001E-3</v>
      </c>
      <c r="G28" s="50">
        <f t="shared" si="1"/>
        <v>51.087600000000002</v>
      </c>
      <c r="H28" s="19">
        <f>Q22</f>
        <v>65.78</v>
      </c>
      <c r="I28" s="22">
        <f t="shared" si="2"/>
        <v>3.3605423280000002</v>
      </c>
    </row>
    <row r="29" spans="1:17" x14ac:dyDescent="0.25">
      <c r="A29" s="7" t="s">
        <v>58</v>
      </c>
      <c r="B29" s="48">
        <v>6</v>
      </c>
      <c r="C29" s="49">
        <v>200</v>
      </c>
      <c r="D29" s="49">
        <v>80</v>
      </c>
      <c r="E29" s="49">
        <f t="shared" si="0"/>
        <v>280</v>
      </c>
      <c r="F29" s="49">
        <v>6.1700000000000001E-3</v>
      </c>
      <c r="G29" s="50">
        <f t="shared" si="1"/>
        <v>62.193600000000004</v>
      </c>
      <c r="H29" s="19">
        <f>Q22</f>
        <v>65.78</v>
      </c>
      <c r="I29" s="22">
        <f t="shared" si="2"/>
        <v>4.0910950079999999</v>
      </c>
    </row>
    <row r="30" spans="1:17" x14ac:dyDescent="0.25">
      <c r="A30" s="7" t="s">
        <v>60</v>
      </c>
      <c r="B30" s="48">
        <v>6</v>
      </c>
      <c r="C30" s="49">
        <v>250</v>
      </c>
      <c r="D30" s="49">
        <v>80</v>
      </c>
      <c r="E30" s="49">
        <f t="shared" si="0"/>
        <v>330</v>
      </c>
      <c r="F30" s="49">
        <v>6.1700000000000001E-3</v>
      </c>
      <c r="G30" s="50">
        <f t="shared" si="1"/>
        <v>73.299599999999998</v>
      </c>
      <c r="H30" s="19">
        <f>Q22</f>
        <v>65.78</v>
      </c>
      <c r="I30" s="22">
        <f t="shared" si="2"/>
        <v>4.8216476879999997</v>
      </c>
    </row>
    <row r="31" spans="1:17" x14ac:dyDescent="0.25">
      <c r="A31" s="7" t="s">
        <v>62</v>
      </c>
      <c r="B31" s="48">
        <v>6</v>
      </c>
      <c r="C31" s="49">
        <v>300</v>
      </c>
      <c r="D31" s="49">
        <v>80</v>
      </c>
      <c r="E31" s="49">
        <f t="shared" si="0"/>
        <v>380</v>
      </c>
      <c r="F31" s="49">
        <v>6.1700000000000001E-3</v>
      </c>
      <c r="G31" s="50">
        <f t="shared" si="1"/>
        <v>84.405600000000007</v>
      </c>
      <c r="H31" s="19">
        <f>Q22</f>
        <v>65.78</v>
      </c>
      <c r="I31" s="22">
        <f t="shared" si="2"/>
        <v>5.5522003680000003</v>
      </c>
    </row>
    <row r="32" spans="1:17" x14ac:dyDescent="0.25">
      <c r="A32" s="7" t="s">
        <v>64</v>
      </c>
      <c r="B32" s="48">
        <v>6</v>
      </c>
      <c r="C32" s="49">
        <v>350</v>
      </c>
      <c r="D32" s="49">
        <v>80</v>
      </c>
      <c r="E32" s="49">
        <f t="shared" si="0"/>
        <v>430</v>
      </c>
      <c r="F32" s="49">
        <v>6.1700000000000001E-3</v>
      </c>
      <c r="G32" s="50">
        <f t="shared" si="1"/>
        <v>95.511600000000001</v>
      </c>
      <c r="H32" s="19">
        <f>Q22</f>
        <v>65.78</v>
      </c>
      <c r="I32" s="22">
        <f t="shared" si="2"/>
        <v>6.2827530480000009</v>
      </c>
    </row>
    <row r="33" spans="1:9" x14ac:dyDescent="0.25">
      <c r="A33" s="7" t="s">
        <v>66</v>
      </c>
      <c r="B33" s="48">
        <v>6</v>
      </c>
      <c r="C33" s="49">
        <v>400</v>
      </c>
      <c r="D33" s="49">
        <v>80</v>
      </c>
      <c r="E33" s="49">
        <f t="shared" si="0"/>
        <v>480</v>
      </c>
      <c r="F33" s="49">
        <v>6.1700000000000001E-3</v>
      </c>
      <c r="G33" s="50">
        <f t="shared" si="1"/>
        <v>106.6176</v>
      </c>
      <c r="H33" s="19">
        <f>Q22</f>
        <v>65.78</v>
      </c>
      <c r="I33" s="22">
        <f t="shared" si="2"/>
        <v>7.0133057280000006</v>
      </c>
    </row>
    <row r="34" spans="1:9" x14ac:dyDescent="0.25">
      <c r="A34" s="7" t="s">
        <v>68</v>
      </c>
      <c r="B34" s="48">
        <v>6</v>
      </c>
      <c r="C34" s="49">
        <v>500</v>
      </c>
      <c r="D34" s="49">
        <v>80</v>
      </c>
      <c r="E34" s="49">
        <f t="shared" si="0"/>
        <v>580</v>
      </c>
      <c r="F34" s="49">
        <v>6.1700000000000001E-3</v>
      </c>
      <c r="G34" s="50">
        <f t="shared" si="1"/>
        <v>128.8296</v>
      </c>
      <c r="H34" s="19">
        <f>Q22</f>
        <v>65.78</v>
      </c>
      <c r="I34" s="22">
        <f t="shared" si="2"/>
        <v>8.4744110880000001</v>
      </c>
    </row>
    <row r="35" spans="1:9" x14ac:dyDescent="0.25">
      <c r="A35" s="8" t="s">
        <v>70</v>
      </c>
      <c r="B35" s="48">
        <v>8</v>
      </c>
      <c r="C35" s="49">
        <v>100</v>
      </c>
      <c r="D35" s="49">
        <v>100</v>
      </c>
      <c r="E35" s="49">
        <f t="shared" si="0"/>
        <v>200</v>
      </c>
      <c r="F35" s="49">
        <v>6.1700000000000001E-3</v>
      </c>
      <c r="G35" s="50">
        <f t="shared" si="1"/>
        <v>78.975999999999999</v>
      </c>
      <c r="H35" s="19">
        <f>Q22</f>
        <v>65.78</v>
      </c>
      <c r="I35" s="22">
        <f t="shared" si="2"/>
        <v>5.1950412800000008</v>
      </c>
    </row>
    <row r="36" spans="1:9" x14ac:dyDescent="0.25">
      <c r="A36" s="8" t="s">
        <v>72</v>
      </c>
      <c r="B36" s="48">
        <v>8</v>
      </c>
      <c r="C36" s="49">
        <v>125</v>
      </c>
      <c r="D36" s="49">
        <v>100</v>
      </c>
      <c r="E36" s="49">
        <f t="shared" si="0"/>
        <v>225</v>
      </c>
      <c r="F36" s="49">
        <v>6.1700000000000001E-3</v>
      </c>
      <c r="G36" s="50">
        <f t="shared" si="1"/>
        <v>88.847999999999999</v>
      </c>
      <c r="H36" s="19">
        <f>Q22</f>
        <v>65.78</v>
      </c>
      <c r="I36" s="22">
        <f t="shared" si="2"/>
        <v>5.8444214399999996</v>
      </c>
    </row>
    <row r="37" spans="1:9" x14ac:dyDescent="0.25">
      <c r="A37" s="8" t="s">
        <v>76</v>
      </c>
      <c r="B37" s="48">
        <v>8</v>
      </c>
      <c r="C37" s="49">
        <v>150</v>
      </c>
      <c r="D37" s="49">
        <v>100</v>
      </c>
      <c r="E37" s="49">
        <f t="shared" si="0"/>
        <v>250</v>
      </c>
      <c r="F37" s="49">
        <v>6.1700000000000001E-3</v>
      </c>
      <c r="G37" s="50">
        <f t="shared" si="1"/>
        <v>98.72</v>
      </c>
      <c r="H37" s="19">
        <f>Q22</f>
        <v>65.78</v>
      </c>
      <c r="I37" s="22">
        <f t="shared" si="2"/>
        <v>6.4938015999999994</v>
      </c>
    </row>
    <row r="38" spans="1:9" x14ac:dyDescent="0.25">
      <c r="A38" s="8" t="s">
        <v>74</v>
      </c>
      <c r="B38" s="48">
        <v>8</v>
      </c>
      <c r="C38" s="49">
        <v>175</v>
      </c>
      <c r="D38" s="49">
        <v>100</v>
      </c>
      <c r="E38" s="49">
        <f t="shared" si="0"/>
        <v>275</v>
      </c>
      <c r="F38" s="49">
        <v>6.1700000000000001E-3</v>
      </c>
      <c r="G38" s="50">
        <f t="shared" si="1"/>
        <v>108.592</v>
      </c>
      <c r="H38" s="19">
        <f>Q22</f>
        <v>65.78</v>
      </c>
      <c r="I38" s="22">
        <f t="shared" si="2"/>
        <v>7.14318176</v>
      </c>
    </row>
    <row r="39" spans="1:9" x14ac:dyDescent="0.25">
      <c r="A39" s="8" t="s">
        <v>78</v>
      </c>
      <c r="B39" s="48">
        <v>8</v>
      </c>
      <c r="C39" s="49">
        <v>200</v>
      </c>
      <c r="D39" s="49">
        <v>100</v>
      </c>
      <c r="E39" s="49">
        <f t="shared" si="0"/>
        <v>300</v>
      </c>
      <c r="F39" s="49">
        <v>6.1700000000000001E-3</v>
      </c>
      <c r="G39" s="50">
        <f t="shared" si="1"/>
        <v>118.464</v>
      </c>
      <c r="H39" s="19">
        <f>Q22</f>
        <v>65.78</v>
      </c>
      <c r="I39" s="22">
        <f t="shared" si="2"/>
        <v>7.7925619199999998</v>
      </c>
    </row>
    <row r="40" spans="1:9" x14ac:dyDescent="0.25">
      <c r="A40" s="8" t="s">
        <v>80</v>
      </c>
      <c r="B40" s="48">
        <v>8</v>
      </c>
      <c r="C40" s="49">
        <v>250</v>
      </c>
      <c r="D40" s="49">
        <v>100</v>
      </c>
      <c r="E40" s="49">
        <f t="shared" si="0"/>
        <v>350</v>
      </c>
      <c r="F40" s="49">
        <v>6.1700000000000001E-3</v>
      </c>
      <c r="G40" s="50">
        <f t="shared" si="1"/>
        <v>138.208</v>
      </c>
      <c r="H40" s="19">
        <f>Q22</f>
        <v>65.78</v>
      </c>
      <c r="I40" s="22">
        <f t="shared" si="2"/>
        <v>9.0913222400000002</v>
      </c>
    </row>
    <row r="41" spans="1:9" x14ac:dyDescent="0.25">
      <c r="A41" s="8" t="s">
        <v>82</v>
      </c>
      <c r="B41" s="48">
        <v>8</v>
      </c>
      <c r="C41" s="49">
        <v>300</v>
      </c>
      <c r="D41" s="49">
        <v>100</v>
      </c>
      <c r="E41" s="49">
        <f t="shared" si="0"/>
        <v>400</v>
      </c>
      <c r="F41" s="49">
        <v>6.1700000000000001E-3</v>
      </c>
      <c r="G41" s="50">
        <f t="shared" si="1"/>
        <v>157.952</v>
      </c>
      <c r="H41" s="19">
        <f>Q22</f>
        <v>65.78</v>
      </c>
      <c r="I41" s="22">
        <f t="shared" si="2"/>
        <v>10.390082560000002</v>
      </c>
    </row>
    <row r="42" spans="1:9" x14ac:dyDescent="0.25">
      <c r="A42" s="8" t="s">
        <v>84</v>
      </c>
      <c r="B42" s="48">
        <v>8</v>
      </c>
      <c r="C42" s="49">
        <v>350</v>
      </c>
      <c r="D42" s="49">
        <v>100</v>
      </c>
      <c r="E42" s="49">
        <f t="shared" si="0"/>
        <v>450</v>
      </c>
      <c r="F42" s="49">
        <v>6.1700000000000001E-3</v>
      </c>
      <c r="G42" s="50">
        <f t="shared" si="1"/>
        <v>177.696</v>
      </c>
      <c r="H42" s="19">
        <f>Q22</f>
        <v>65.78</v>
      </c>
      <c r="I42" s="22">
        <f t="shared" si="2"/>
        <v>11.688842879999999</v>
      </c>
    </row>
    <row r="43" spans="1:9" x14ac:dyDescent="0.25">
      <c r="A43" s="8" t="s">
        <v>86</v>
      </c>
      <c r="B43" s="48">
        <v>8</v>
      </c>
      <c r="C43" s="49">
        <v>400</v>
      </c>
      <c r="D43" s="49">
        <v>100</v>
      </c>
      <c r="E43" s="49">
        <f t="shared" si="0"/>
        <v>500</v>
      </c>
      <c r="F43" s="49">
        <v>6.1700000000000001E-3</v>
      </c>
      <c r="G43" s="50">
        <f t="shared" si="1"/>
        <v>197.44</v>
      </c>
      <c r="H43" s="19">
        <f>Q22</f>
        <v>65.78</v>
      </c>
      <c r="I43" s="22">
        <f t="shared" si="2"/>
        <v>12.987603199999999</v>
      </c>
    </row>
    <row r="44" spans="1:9" x14ac:dyDescent="0.25">
      <c r="A44" s="8" t="s">
        <v>88</v>
      </c>
      <c r="B44" s="48">
        <v>8</v>
      </c>
      <c r="C44" s="49">
        <v>500</v>
      </c>
      <c r="D44" s="49">
        <v>100</v>
      </c>
      <c r="E44" s="49">
        <f t="shared" si="0"/>
        <v>600</v>
      </c>
      <c r="F44" s="49">
        <v>6.1700000000000001E-3</v>
      </c>
      <c r="G44" s="50">
        <f t="shared" si="1"/>
        <v>236.928</v>
      </c>
      <c r="H44" s="19">
        <f>Q22</f>
        <v>65.78</v>
      </c>
      <c r="I44" s="22">
        <f t="shared" si="2"/>
        <v>15.58512384</v>
      </c>
    </row>
    <row r="45" spans="1:9" x14ac:dyDescent="0.25">
      <c r="A45" s="9" t="s">
        <v>168</v>
      </c>
      <c r="B45" s="48">
        <v>10</v>
      </c>
      <c r="C45" s="49">
        <v>200</v>
      </c>
      <c r="D45" s="49">
        <v>100</v>
      </c>
      <c r="E45" s="49">
        <f t="shared" si="0"/>
        <v>300</v>
      </c>
      <c r="F45" s="49">
        <v>6.1700000000000001E-3</v>
      </c>
      <c r="G45" s="50">
        <f t="shared" si="1"/>
        <v>185.1</v>
      </c>
      <c r="H45" s="19">
        <f>Q22</f>
        <v>65.78</v>
      </c>
      <c r="I45" s="22">
        <f t="shared" si="2"/>
        <v>12.175878000000001</v>
      </c>
    </row>
    <row r="46" spans="1:9" x14ac:dyDescent="0.25">
      <c r="A46" s="9" t="s">
        <v>170</v>
      </c>
      <c r="B46" s="48">
        <v>10</v>
      </c>
      <c r="C46" s="49">
        <v>250</v>
      </c>
      <c r="D46" s="49">
        <v>100</v>
      </c>
      <c r="E46" s="49">
        <f t="shared" si="0"/>
        <v>350</v>
      </c>
      <c r="F46" s="49">
        <v>6.1700000000000001E-3</v>
      </c>
      <c r="G46" s="50">
        <f t="shared" si="1"/>
        <v>215.95000000000002</v>
      </c>
      <c r="H46" s="19">
        <f>Q23</f>
        <v>103.95</v>
      </c>
      <c r="I46" s="22">
        <f t="shared" si="2"/>
        <v>22.448002500000001</v>
      </c>
    </row>
    <row r="47" spans="1:9" x14ac:dyDescent="0.25">
      <c r="A47" s="9" t="s">
        <v>172</v>
      </c>
      <c r="B47" s="48">
        <v>10</v>
      </c>
      <c r="C47" s="49">
        <v>300</v>
      </c>
      <c r="D47" s="49">
        <v>100</v>
      </c>
      <c r="E47" s="49">
        <f t="shared" si="0"/>
        <v>400</v>
      </c>
      <c r="F47" s="49">
        <v>6.1700000000000001E-3</v>
      </c>
      <c r="G47" s="50">
        <f t="shared" si="1"/>
        <v>246.8</v>
      </c>
      <c r="H47" s="19">
        <f>Q24</f>
        <v>103.95</v>
      </c>
      <c r="I47" s="22">
        <f t="shared" si="2"/>
        <v>25.654859999999999</v>
      </c>
    </row>
    <row r="48" spans="1:9" x14ac:dyDescent="0.25">
      <c r="A48" s="9" t="s">
        <v>174</v>
      </c>
      <c r="B48" s="48">
        <v>10</v>
      </c>
      <c r="C48" s="49">
        <v>400</v>
      </c>
      <c r="D48" s="49">
        <v>100</v>
      </c>
      <c r="E48" s="49">
        <f t="shared" si="0"/>
        <v>500</v>
      </c>
      <c r="F48" s="49">
        <v>6.1700000000000001E-3</v>
      </c>
      <c r="G48" s="50">
        <f t="shared" si="1"/>
        <v>308.5</v>
      </c>
      <c r="H48" s="19">
        <f>Q25</f>
        <v>76.45</v>
      </c>
      <c r="I48" s="22">
        <f t="shared" si="2"/>
        <v>23.584825000000002</v>
      </c>
    </row>
    <row r="49" spans="1:9" x14ac:dyDescent="0.25">
      <c r="A49" s="9" t="s">
        <v>176</v>
      </c>
      <c r="B49" s="48">
        <v>10</v>
      </c>
      <c r="C49" s="49">
        <v>500</v>
      </c>
      <c r="D49" s="49">
        <v>100</v>
      </c>
      <c r="E49" s="49">
        <f t="shared" si="0"/>
        <v>600</v>
      </c>
      <c r="F49" s="49">
        <v>6.1700000000000001E-3</v>
      </c>
      <c r="G49" s="50">
        <f t="shared" si="1"/>
        <v>370.2</v>
      </c>
      <c r="H49" s="19">
        <f>Q26</f>
        <v>66.550000000000011</v>
      </c>
      <c r="I49" s="22">
        <f t="shared" si="2"/>
        <v>24.636810000000004</v>
      </c>
    </row>
    <row r="50" spans="1:9" x14ac:dyDescent="0.25">
      <c r="A50" s="10" t="s">
        <v>90</v>
      </c>
      <c r="B50" s="48">
        <v>3</v>
      </c>
      <c r="C50" s="49">
        <v>60</v>
      </c>
      <c r="D50" s="49">
        <v>60</v>
      </c>
      <c r="E50" s="49">
        <f t="shared" si="0"/>
        <v>120</v>
      </c>
      <c r="F50" s="49">
        <v>6.1700000000000001E-3</v>
      </c>
      <c r="G50" s="50">
        <f t="shared" si="1"/>
        <v>6.6635999999999997</v>
      </c>
      <c r="H50" s="19">
        <f>Q17</f>
        <v>102.08</v>
      </c>
      <c r="I50" s="22">
        <f t="shared" si="2"/>
        <v>0.68022028800000001</v>
      </c>
    </row>
    <row r="51" spans="1:9" x14ac:dyDescent="0.25">
      <c r="A51" s="10" t="s">
        <v>92</v>
      </c>
      <c r="B51" s="48">
        <v>3</v>
      </c>
      <c r="C51" s="49">
        <v>80</v>
      </c>
      <c r="D51" s="49">
        <v>60</v>
      </c>
      <c r="E51" s="49">
        <f t="shared" si="0"/>
        <v>140</v>
      </c>
      <c r="F51" s="49">
        <v>6.1700000000000001E-3</v>
      </c>
      <c r="G51" s="50">
        <f t="shared" si="1"/>
        <v>7.7742000000000004</v>
      </c>
      <c r="H51" s="19">
        <f>Q17</f>
        <v>102.08</v>
      </c>
      <c r="I51" s="22">
        <f t="shared" si="2"/>
        <v>0.79359033599999995</v>
      </c>
    </row>
    <row r="52" spans="1:9" x14ac:dyDescent="0.25">
      <c r="A52" s="10" t="s">
        <v>94</v>
      </c>
      <c r="B52" s="48">
        <v>3</v>
      </c>
      <c r="C52" s="49">
        <v>100</v>
      </c>
      <c r="D52" s="49">
        <v>60</v>
      </c>
      <c r="E52" s="49">
        <f t="shared" si="0"/>
        <v>160</v>
      </c>
      <c r="F52" s="49">
        <v>6.1700000000000001E-3</v>
      </c>
      <c r="G52" s="50">
        <f t="shared" si="1"/>
        <v>8.8848000000000003</v>
      </c>
      <c r="H52" s="19">
        <f>Q17</f>
        <v>102.08</v>
      </c>
      <c r="I52" s="22">
        <f t="shared" si="2"/>
        <v>0.90696038400000001</v>
      </c>
    </row>
    <row r="53" spans="1:9" x14ac:dyDescent="0.25">
      <c r="A53" s="10" t="s">
        <v>96</v>
      </c>
      <c r="B53" s="48">
        <v>3</v>
      </c>
      <c r="C53" s="49">
        <v>125</v>
      </c>
      <c r="D53" s="49">
        <v>60</v>
      </c>
      <c r="E53" s="49">
        <f t="shared" si="0"/>
        <v>185</v>
      </c>
      <c r="F53" s="49">
        <v>6.1700000000000001E-3</v>
      </c>
      <c r="G53" s="50">
        <f t="shared" si="1"/>
        <v>10.27305</v>
      </c>
      <c r="H53" s="19">
        <f>Q17</f>
        <v>102.08</v>
      </c>
      <c r="I53" s="22">
        <f t="shared" si="2"/>
        <v>1.048672944</v>
      </c>
    </row>
    <row r="54" spans="1:9" x14ac:dyDescent="0.25">
      <c r="A54" s="10" t="s">
        <v>98</v>
      </c>
      <c r="B54" s="48">
        <v>3</v>
      </c>
      <c r="C54" s="49">
        <v>150</v>
      </c>
      <c r="D54" s="49">
        <v>60</v>
      </c>
      <c r="E54" s="49">
        <f t="shared" si="0"/>
        <v>210</v>
      </c>
      <c r="F54" s="49">
        <v>6.1700000000000001E-3</v>
      </c>
      <c r="G54" s="50">
        <f t="shared" si="1"/>
        <v>11.661300000000001</v>
      </c>
      <c r="H54" s="19">
        <f>Q17</f>
        <v>102.08</v>
      </c>
      <c r="I54" s="22">
        <f t="shared" si="2"/>
        <v>1.190385504</v>
      </c>
    </row>
    <row r="55" spans="1:9" x14ac:dyDescent="0.25">
      <c r="A55" s="10" t="s">
        <v>100</v>
      </c>
      <c r="B55" s="48">
        <v>3</v>
      </c>
      <c r="C55" s="49">
        <v>200</v>
      </c>
      <c r="D55" s="49">
        <v>60</v>
      </c>
      <c r="E55" s="49">
        <f t="shared" si="0"/>
        <v>260</v>
      </c>
      <c r="F55" s="49">
        <v>6.1700000000000001E-3</v>
      </c>
      <c r="G55" s="50">
        <f t="shared" si="1"/>
        <v>14.437800000000001</v>
      </c>
      <c r="H55" s="19">
        <f>Q17</f>
        <v>102.08</v>
      </c>
      <c r="I55" s="22">
        <f t="shared" si="2"/>
        <v>1.4738106240000002</v>
      </c>
    </row>
    <row r="56" spans="1:9" x14ac:dyDescent="0.25">
      <c r="A56" s="10" t="s">
        <v>102</v>
      </c>
      <c r="B56" s="48">
        <v>3</v>
      </c>
      <c r="C56" s="49">
        <v>250</v>
      </c>
      <c r="D56" s="49">
        <v>60</v>
      </c>
      <c r="E56" s="49">
        <f t="shared" si="0"/>
        <v>310</v>
      </c>
      <c r="F56" s="49">
        <v>6.1700000000000001E-3</v>
      </c>
      <c r="G56" s="50">
        <f t="shared" si="1"/>
        <v>17.214300000000001</v>
      </c>
      <c r="H56" s="19">
        <f>Q17</f>
        <v>102.08</v>
      </c>
      <c r="I56" s="22">
        <f t="shared" si="2"/>
        <v>1.7572357440000002</v>
      </c>
    </row>
    <row r="57" spans="1:9" x14ac:dyDescent="0.25">
      <c r="A57" s="10" t="s">
        <v>104</v>
      </c>
      <c r="B57" s="48">
        <v>3</v>
      </c>
      <c r="C57" s="49">
        <v>300</v>
      </c>
      <c r="D57" s="49">
        <v>60</v>
      </c>
      <c r="E57" s="49">
        <f t="shared" si="0"/>
        <v>360</v>
      </c>
      <c r="F57" s="49">
        <v>6.1700000000000001E-3</v>
      </c>
      <c r="G57" s="50">
        <f t="shared" si="1"/>
        <v>19.9908</v>
      </c>
      <c r="H57" s="19">
        <f>Q17</f>
        <v>102.08</v>
      </c>
      <c r="I57" s="22">
        <f t="shared" si="2"/>
        <v>2.0406608639999999</v>
      </c>
    </row>
    <row r="58" spans="1:9" x14ac:dyDescent="0.25">
      <c r="A58" s="11" t="s">
        <v>106</v>
      </c>
      <c r="B58" s="48">
        <v>5</v>
      </c>
      <c r="C58" s="49">
        <v>38</v>
      </c>
      <c r="D58" s="49">
        <v>45</v>
      </c>
      <c r="E58" s="49">
        <f t="shared" si="0"/>
        <v>83</v>
      </c>
      <c r="F58" s="49">
        <v>6.1700000000000001E-3</v>
      </c>
      <c r="G58" s="50">
        <f t="shared" si="1"/>
        <v>12.80275</v>
      </c>
      <c r="H58" s="19">
        <f>Q21</f>
        <v>81.180000000000007</v>
      </c>
      <c r="I58" s="22">
        <f t="shared" si="2"/>
        <v>1.039327245</v>
      </c>
    </row>
    <row r="59" spans="1:9" x14ac:dyDescent="0.25">
      <c r="A59" s="11" t="s">
        <v>108</v>
      </c>
      <c r="B59" s="48">
        <v>5</v>
      </c>
      <c r="C59" s="49">
        <v>80</v>
      </c>
      <c r="D59" s="49">
        <v>60</v>
      </c>
      <c r="E59" s="49">
        <f t="shared" si="0"/>
        <v>140</v>
      </c>
      <c r="F59" s="49">
        <v>6.1700000000000001E-3</v>
      </c>
      <c r="G59" s="50">
        <f t="shared" si="1"/>
        <v>21.594999999999999</v>
      </c>
      <c r="H59" s="19">
        <f>Q21</f>
        <v>81.180000000000007</v>
      </c>
      <c r="I59" s="22">
        <f t="shared" si="2"/>
        <v>1.7530821000000001</v>
      </c>
    </row>
    <row r="60" spans="1:9" x14ac:dyDescent="0.25">
      <c r="A60" s="11" t="s">
        <v>110</v>
      </c>
      <c r="B60" s="48">
        <v>5</v>
      </c>
      <c r="C60" s="49">
        <v>100</v>
      </c>
      <c r="D60" s="49">
        <v>60</v>
      </c>
      <c r="E60" s="49">
        <f t="shared" si="0"/>
        <v>160</v>
      </c>
      <c r="F60" s="49">
        <v>6.1700000000000001E-3</v>
      </c>
      <c r="G60" s="50">
        <f t="shared" si="1"/>
        <v>24.68</v>
      </c>
      <c r="H60" s="19">
        <f>Q21</f>
        <v>81.180000000000007</v>
      </c>
      <c r="I60" s="22">
        <f t="shared" si="2"/>
        <v>2.0035224</v>
      </c>
    </row>
    <row r="61" spans="1:9" x14ac:dyDescent="0.25">
      <c r="A61" s="11" t="s">
        <v>112</v>
      </c>
      <c r="B61" s="48">
        <v>5</v>
      </c>
      <c r="C61" s="49">
        <v>125</v>
      </c>
      <c r="D61" s="49">
        <v>60</v>
      </c>
      <c r="E61" s="49">
        <f t="shared" si="0"/>
        <v>185</v>
      </c>
      <c r="F61" s="49">
        <v>6.1700000000000001E-3</v>
      </c>
      <c r="G61" s="50">
        <f t="shared" si="1"/>
        <v>28.536249999999999</v>
      </c>
      <c r="H61" s="19">
        <f>Q21</f>
        <v>81.180000000000007</v>
      </c>
      <c r="I61" s="22">
        <f t="shared" si="2"/>
        <v>2.316572775</v>
      </c>
    </row>
    <row r="62" spans="1:9" x14ac:dyDescent="0.25">
      <c r="A62" s="11" t="s">
        <v>114</v>
      </c>
      <c r="B62" s="48">
        <v>5</v>
      </c>
      <c r="C62" s="49">
        <v>150</v>
      </c>
      <c r="D62" s="49">
        <v>60</v>
      </c>
      <c r="E62" s="49">
        <f t="shared" si="0"/>
        <v>210</v>
      </c>
      <c r="F62" s="49">
        <v>6.1700000000000001E-3</v>
      </c>
      <c r="G62" s="50">
        <f t="shared" si="1"/>
        <v>32.392499999999998</v>
      </c>
      <c r="H62" s="19">
        <f>Q21</f>
        <v>81.180000000000007</v>
      </c>
      <c r="I62" s="22">
        <f t="shared" si="2"/>
        <v>2.62962315</v>
      </c>
    </row>
    <row r="63" spans="1:9" x14ac:dyDescent="0.25">
      <c r="A63" s="11" t="s">
        <v>116</v>
      </c>
      <c r="B63" s="48">
        <v>5</v>
      </c>
      <c r="C63" s="49">
        <v>200</v>
      </c>
      <c r="D63" s="49">
        <v>60</v>
      </c>
      <c r="E63" s="49">
        <f t="shared" si="0"/>
        <v>260</v>
      </c>
      <c r="F63" s="49">
        <v>6.1700000000000001E-3</v>
      </c>
      <c r="G63" s="50">
        <f t="shared" si="1"/>
        <v>40.105000000000004</v>
      </c>
      <c r="H63" s="19">
        <f>Q21</f>
        <v>81.180000000000007</v>
      </c>
      <c r="I63" s="22">
        <f t="shared" si="2"/>
        <v>3.2557239000000004</v>
      </c>
    </row>
    <row r="64" spans="1:9" x14ac:dyDescent="0.25">
      <c r="A64" s="11" t="s">
        <v>118</v>
      </c>
      <c r="B64" s="48">
        <v>5</v>
      </c>
      <c r="C64" s="49">
        <v>250</v>
      </c>
      <c r="D64" s="49">
        <v>60</v>
      </c>
      <c r="E64" s="49">
        <f t="shared" si="0"/>
        <v>310</v>
      </c>
      <c r="F64" s="49">
        <v>6.1700000000000001E-3</v>
      </c>
      <c r="G64" s="50">
        <f t="shared" si="1"/>
        <v>47.817500000000003</v>
      </c>
      <c r="H64" s="19">
        <f>Q21</f>
        <v>81.180000000000007</v>
      </c>
      <c r="I64" s="22">
        <f t="shared" si="2"/>
        <v>3.8818246500000004</v>
      </c>
    </row>
    <row r="65" spans="1:9" x14ac:dyDescent="0.25">
      <c r="A65" s="11" t="s">
        <v>120</v>
      </c>
      <c r="B65" s="48">
        <v>5</v>
      </c>
      <c r="C65" s="49">
        <v>300</v>
      </c>
      <c r="D65" s="49">
        <v>60</v>
      </c>
      <c r="E65" s="49">
        <f t="shared" si="0"/>
        <v>360</v>
      </c>
      <c r="F65" s="49">
        <v>6.1700000000000001E-3</v>
      </c>
      <c r="G65" s="50">
        <f t="shared" si="1"/>
        <v>55.53</v>
      </c>
      <c r="H65" s="19">
        <f>Q21</f>
        <v>81.180000000000007</v>
      </c>
      <c r="I65" s="22">
        <f t="shared" si="2"/>
        <v>4.5079254000000004</v>
      </c>
    </row>
    <row r="66" spans="1:9" x14ac:dyDescent="0.25">
      <c r="A66" s="11" t="s">
        <v>122</v>
      </c>
      <c r="B66" s="48">
        <v>5</v>
      </c>
      <c r="C66" s="49">
        <v>350</v>
      </c>
      <c r="D66" s="49">
        <v>60</v>
      </c>
      <c r="E66" s="49">
        <f t="shared" si="0"/>
        <v>410</v>
      </c>
      <c r="F66" s="49">
        <v>6.1700000000000001E-3</v>
      </c>
      <c r="G66" s="50">
        <f t="shared" si="1"/>
        <v>63.2425</v>
      </c>
      <c r="H66" s="19">
        <f>Q21</f>
        <v>81.180000000000007</v>
      </c>
      <c r="I66" s="22">
        <f t="shared" si="2"/>
        <v>5.1340261500000004</v>
      </c>
    </row>
    <row r="67" spans="1:9" x14ac:dyDescent="0.25">
      <c r="A67" s="11" t="s">
        <v>124</v>
      </c>
      <c r="B67" s="48">
        <v>5</v>
      </c>
      <c r="C67" s="49">
        <v>400</v>
      </c>
      <c r="D67" s="49">
        <v>60</v>
      </c>
      <c r="E67" s="49">
        <f t="shared" si="0"/>
        <v>460</v>
      </c>
      <c r="F67" s="49">
        <v>6.1700000000000001E-3</v>
      </c>
      <c r="G67" s="50">
        <f t="shared" si="1"/>
        <v>70.954999999999998</v>
      </c>
      <c r="H67" s="19">
        <f>Q21</f>
        <v>81.180000000000007</v>
      </c>
      <c r="I67" s="22">
        <f t="shared" si="2"/>
        <v>5.7601269000000004</v>
      </c>
    </row>
    <row r="68" spans="1:9" x14ac:dyDescent="0.25">
      <c r="A68" s="11" t="s">
        <v>126</v>
      </c>
      <c r="B68" s="48">
        <v>5</v>
      </c>
      <c r="C68" s="49">
        <v>500</v>
      </c>
      <c r="D68" s="49">
        <v>60</v>
      </c>
      <c r="E68" s="49">
        <f t="shared" si="0"/>
        <v>560</v>
      </c>
      <c r="F68" s="49">
        <v>6.1700000000000001E-3</v>
      </c>
      <c r="G68" s="50">
        <f t="shared" si="1"/>
        <v>86.38</v>
      </c>
      <c r="H68" s="19">
        <f>Q21</f>
        <v>81.180000000000007</v>
      </c>
      <c r="I68" s="22">
        <f t="shared" si="2"/>
        <v>7.0123284000000004</v>
      </c>
    </row>
    <row r="69" spans="1:9" x14ac:dyDescent="0.25">
      <c r="A69" s="12" t="s">
        <v>128</v>
      </c>
      <c r="B69" s="48">
        <v>6</v>
      </c>
      <c r="C69" s="49">
        <v>38</v>
      </c>
      <c r="D69" s="49">
        <v>45</v>
      </c>
      <c r="E69" s="49">
        <f t="shared" si="0"/>
        <v>83</v>
      </c>
      <c r="F69" s="49">
        <v>6.1700000000000001E-3</v>
      </c>
      <c r="G69" s="50">
        <f t="shared" si="1"/>
        <v>18.435960000000001</v>
      </c>
      <c r="H69" s="19">
        <f>Q22</f>
        <v>65.78</v>
      </c>
      <c r="I69" s="22">
        <f t="shared" si="2"/>
        <v>1.2127174488000001</v>
      </c>
    </row>
    <row r="70" spans="1:9" x14ac:dyDescent="0.25">
      <c r="A70" s="12" t="s">
        <v>130</v>
      </c>
      <c r="B70" s="48">
        <v>6</v>
      </c>
      <c r="C70" s="49">
        <v>100</v>
      </c>
      <c r="D70" s="49">
        <v>80</v>
      </c>
      <c r="E70" s="49">
        <f t="shared" si="0"/>
        <v>180</v>
      </c>
      <c r="F70" s="49">
        <v>6.1700000000000001E-3</v>
      </c>
      <c r="G70" s="50">
        <f t="shared" si="1"/>
        <v>39.9816</v>
      </c>
      <c r="H70" s="19">
        <f>Q22</f>
        <v>65.78</v>
      </c>
      <c r="I70" s="22">
        <f t="shared" si="2"/>
        <v>2.629989648</v>
      </c>
    </row>
    <row r="71" spans="1:9" x14ac:dyDescent="0.25">
      <c r="A71" s="12" t="s">
        <v>132</v>
      </c>
      <c r="B71" s="48">
        <v>6</v>
      </c>
      <c r="C71" s="49">
        <v>125</v>
      </c>
      <c r="D71" s="49">
        <v>80</v>
      </c>
      <c r="E71" s="49">
        <f t="shared" ref="E71:E134" si="4">D71+C71</f>
        <v>205</v>
      </c>
      <c r="F71" s="49">
        <v>6.1700000000000001E-3</v>
      </c>
      <c r="G71" s="50">
        <f t="shared" ref="G71:G151" si="5">B71*B71*(C71+D71)*F71</f>
        <v>45.534599999999998</v>
      </c>
      <c r="H71" s="19">
        <f>Q22</f>
        <v>65.78</v>
      </c>
      <c r="I71" s="22">
        <f t="shared" ref="I71:I134" si="6">H71*G71/1000</f>
        <v>2.9952659880000003</v>
      </c>
    </row>
    <row r="72" spans="1:9" x14ac:dyDescent="0.25">
      <c r="A72" s="12" t="s">
        <v>134</v>
      </c>
      <c r="B72" s="48">
        <v>6</v>
      </c>
      <c r="C72" s="49">
        <v>150</v>
      </c>
      <c r="D72" s="49">
        <v>80</v>
      </c>
      <c r="E72" s="49">
        <f t="shared" si="4"/>
        <v>230</v>
      </c>
      <c r="F72" s="49">
        <v>6.1700000000000001E-3</v>
      </c>
      <c r="G72" s="50">
        <f t="shared" si="5"/>
        <v>51.087600000000002</v>
      </c>
      <c r="H72" s="19">
        <f>Q22</f>
        <v>65.78</v>
      </c>
      <c r="I72" s="22">
        <f t="shared" si="6"/>
        <v>3.3605423280000002</v>
      </c>
    </row>
    <row r="73" spans="1:9" x14ac:dyDescent="0.25">
      <c r="A73" s="12" t="s">
        <v>136</v>
      </c>
      <c r="B73" s="48">
        <v>6</v>
      </c>
      <c r="C73" s="49">
        <v>200</v>
      </c>
      <c r="D73" s="49">
        <v>80</v>
      </c>
      <c r="E73" s="49">
        <f t="shared" si="4"/>
        <v>280</v>
      </c>
      <c r="F73" s="49">
        <v>6.1700000000000001E-3</v>
      </c>
      <c r="G73" s="50">
        <f t="shared" si="5"/>
        <v>62.193600000000004</v>
      </c>
      <c r="H73" s="19">
        <f>Q22</f>
        <v>65.78</v>
      </c>
      <c r="I73" s="22">
        <f t="shared" si="6"/>
        <v>4.0910950079999999</v>
      </c>
    </row>
    <row r="74" spans="1:9" x14ac:dyDescent="0.25">
      <c r="A74" s="12" t="s">
        <v>138</v>
      </c>
      <c r="B74" s="48">
        <v>6</v>
      </c>
      <c r="C74" s="49">
        <v>250</v>
      </c>
      <c r="D74" s="49">
        <v>80</v>
      </c>
      <c r="E74" s="49">
        <f t="shared" si="4"/>
        <v>330</v>
      </c>
      <c r="F74" s="49">
        <v>6.1700000000000001E-3</v>
      </c>
      <c r="G74" s="50">
        <f t="shared" si="5"/>
        <v>73.299599999999998</v>
      </c>
      <c r="H74" s="19">
        <f>Q22</f>
        <v>65.78</v>
      </c>
      <c r="I74" s="22">
        <f t="shared" si="6"/>
        <v>4.8216476879999997</v>
      </c>
    </row>
    <row r="75" spans="1:9" x14ac:dyDescent="0.25">
      <c r="A75" s="12" t="s">
        <v>140</v>
      </c>
      <c r="B75" s="48">
        <v>6</v>
      </c>
      <c r="C75" s="49">
        <v>300</v>
      </c>
      <c r="D75" s="49">
        <v>80</v>
      </c>
      <c r="E75" s="49">
        <f t="shared" si="4"/>
        <v>380</v>
      </c>
      <c r="F75" s="49">
        <v>6.1700000000000001E-3</v>
      </c>
      <c r="G75" s="50">
        <f t="shared" si="5"/>
        <v>84.405600000000007</v>
      </c>
      <c r="H75" s="19">
        <f>Q22</f>
        <v>65.78</v>
      </c>
      <c r="I75" s="22">
        <f t="shared" si="6"/>
        <v>5.5522003680000003</v>
      </c>
    </row>
    <row r="76" spans="1:9" x14ac:dyDescent="0.25">
      <c r="A76" s="12" t="s">
        <v>142</v>
      </c>
      <c r="B76" s="48">
        <v>6</v>
      </c>
      <c r="C76" s="49">
        <v>350</v>
      </c>
      <c r="D76" s="49">
        <v>80</v>
      </c>
      <c r="E76" s="49">
        <f t="shared" si="4"/>
        <v>430</v>
      </c>
      <c r="F76" s="49">
        <v>6.1700000000000001E-3</v>
      </c>
      <c r="G76" s="50">
        <f t="shared" si="5"/>
        <v>95.511600000000001</v>
      </c>
      <c r="H76" s="19">
        <f>Q22</f>
        <v>65.78</v>
      </c>
      <c r="I76" s="22">
        <f t="shared" si="6"/>
        <v>6.2827530480000009</v>
      </c>
    </row>
    <row r="77" spans="1:9" x14ac:dyDescent="0.25">
      <c r="A77" s="12" t="s">
        <v>144</v>
      </c>
      <c r="B77" s="48">
        <v>6</v>
      </c>
      <c r="C77" s="49">
        <v>400</v>
      </c>
      <c r="D77" s="49">
        <v>80</v>
      </c>
      <c r="E77" s="49">
        <f t="shared" si="4"/>
        <v>480</v>
      </c>
      <c r="F77" s="49">
        <v>6.1700000000000001E-3</v>
      </c>
      <c r="G77" s="50">
        <f t="shared" si="5"/>
        <v>106.6176</v>
      </c>
      <c r="H77" s="19">
        <f>Q22</f>
        <v>65.78</v>
      </c>
      <c r="I77" s="22">
        <f t="shared" si="6"/>
        <v>7.0133057280000006</v>
      </c>
    </row>
    <row r="78" spans="1:9" x14ac:dyDescent="0.25">
      <c r="A78" s="12" t="s">
        <v>146</v>
      </c>
      <c r="B78" s="48">
        <v>6</v>
      </c>
      <c r="C78" s="49">
        <v>500</v>
      </c>
      <c r="D78" s="49">
        <v>80</v>
      </c>
      <c r="E78" s="49">
        <f t="shared" si="4"/>
        <v>580</v>
      </c>
      <c r="F78" s="49">
        <v>6.1700000000000001E-3</v>
      </c>
      <c r="G78" s="50">
        <f t="shared" si="5"/>
        <v>128.8296</v>
      </c>
      <c r="H78" s="19">
        <f>Q22</f>
        <v>65.78</v>
      </c>
      <c r="I78" s="22">
        <f t="shared" si="6"/>
        <v>8.4744110880000001</v>
      </c>
    </row>
    <row r="79" spans="1:9" x14ac:dyDescent="0.25">
      <c r="A79" s="13" t="s">
        <v>148</v>
      </c>
      <c r="B79" s="48">
        <v>8</v>
      </c>
      <c r="C79" s="49">
        <v>100</v>
      </c>
      <c r="D79" s="49">
        <v>100</v>
      </c>
      <c r="E79" s="49">
        <f t="shared" si="4"/>
        <v>200</v>
      </c>
      <c r="F79" s="49">
        <v>6.1700000000000001E-3</v>
      </c>
      <c r="G79" s="50">
        <f t="shared" si="5"/>
        <v>78.975999999999999</v>
      </c>
      <c r="H79" s="19">
        <f>Q22</f>
        <v>65.78</v>
      </c>
      <c r="I79" s="22">
        <f t="shared" si="6"/>
        <v>5.1950412800000008</v>
      </c>
    </row>
    <row r="80" spans="1:9" x14ac:dyDescent="0.25">
      <c r="A80" s="13" t="s">
        <v>150</v>
      </c>
      <c r="B80" s="48">
        <v>8</v>
      </c>
      <c r="C80" s="49">
        <v>125</v>
      </c>
      <c r="D80" s="49">
        <v>100</v>
      </c>
      <c r="E80" s="49">
        <f t="shared" si="4"/>
        <v>225</v>
      </c>
      <c r="F80" s="49">
        <v>6.1700000000000001E-3</v>
      </c>
      <c r="G80" s="50">
        <f t="shared" si="5"/>
        <v>88.847999999999999</v>
      </c>
      <c r="H80" s="19">
        <f>Q22</f>
        <v>65.78</v>
      </c>
      <c r="I80" s="22">
        <f t="shared" si="6"/>
        <v>5.8444214399999996</v>
      </c>
    </row>
    <row r="81" spans="1:9" x14ac:dyDescent="0.25">
      <c r="A81" s="13" t="s">
        <v>152</v>
      </c>
      <c r="B81" s="48">
        <v>8</v>
      </c>
      <c r="C81" s="49">
        <v>150</v>
      </c>
      <c r="D81" s="49">
        <v>100</v>
      </c>
      <c r="E81" s="49">
        <f t="shared" si="4"/>
        <v>250</v>
      </c>
      <c r="F81" s="49">
        <v>6.1700000000000001E-3</v>
      </c>
      <c r="G81" s="50">
        <f t="shared" si="5"/>
        <v>98.72</v>
      </c>
      <c r="H81" s="19">
        <f>Q22</f>
        <v>65.78</v>
      </c>
      <c r="I81" s="22">
        <f t="shared" si="6"/>
        <v>6.4938015999999994</v>
      </c>
    </row>
    <row r="82" spans="1:9" x14ac:dyDescent="0.25">
      <c r="A82" s="13" t="s">
        <v>154</v>
      </c>
      <c r="B82" s="48">
        <v>8</v>
      </c>
      <c r="C82" s="49">
        <v>175</v>
      </c>
      <c r="D82" s="49">
        <v>100</v>
      </c>
      <c r="E82" s="49">
        <f t="shared" si="4"/>
        <v>275</v>
      </c>
      <c r="F82" s="49">
        <v>6.1700000000000001E-3</v>
      </c>
      <c r="G82" s="50">
        <f t="shared" si="5"/>
        <v>108.592</v>
      </c>
      <c r="H82" s="19">
        <f>Q22</f>
        <v>65.78</v>
      </c>
      <c r="I82" s="22">
        <f t="shared" si="6"/>
        <v>7.14318176</v>
      </c>
    </row>
    <row r="83" spans="1:9" x14ac:dyDescent="0.25">
      <c r="A83" s="13" t="s">
        <v>156</v>
      </c>
      <c r="B83" s="48">
        <v>8</v>
      </c>
      <c r="C83" s="49">
        <v>200</v>
      </c>
      <c r="D83" s="49">
        <v>100</v>
      </c>
      <c r="E83" s="49">
        <f t="shared" si="4"/>
        <v>300</v>
      </c>
      <c r="F83" s="49">
        <v>6.1700000000000001E-3</v>
      </c>
      <c r="G83" s="50">
        <f t="shared" si="5"/>
        <v>118.464</v>
      </c>
      <c r="H83" s="19">
        <f>Q22</f>
        <v>65.78</v>
      </c>
      <c r="I83" s="22">
        <f t="shared" si="6"/>
        <v>7.7925619199999998</v>
      </c>
    </row>
    <row r="84" spans="1:9" x14ac:dyDescent="0.25">
      <c r="A84" s="13" t="s">
        <v>158</v>
      </c>
      <c r="B84" s="48">
        <v>8</v>
      </c>
      <c r="C84" s="49">
        <v>250</v>
      </c>
      <c r="D84" s="49">
        <v>100</v>
      </c>
      <c r="E84" s="49">
        <f t="shared" si="4"/>
        <v>350</v>
      </c>
      <c r="F84" s="49">
        <v>6.1700000000000001E-3</v>
      </c>
      <c r="G84" s="50">
        <f>B84*B84*(C84+D84)*F84</f>
        <v>138.208</v>
      </c>
      <c r="H84" s="19">
        <f>Q22</f>
        <v>65.78</v>
      </c>
      <c r="I84" s="22">
        <f t="shared" si="6"/>
        <v>9.0913222400000002</v>
      </c>
    </row>
    <row r="85" spans="1:9" x14ac:dyDescent="0.25">
      <c r="A85" s="13" t="s">
        <v>160</v>
      </c>
      <c r="B85" s="48">
        <v>8</v>
      </c>
      <c r="C85" s="49">
        <v>300</v>
      </c>
      <c r="D85" s="49">
        <v>100</v>
      </c>
      <c r="E85" s="49">
        <f t="shared" si="4"/>
        <v>400</v>
      </c>
      <c r="F85" s="49">
        <v>6.1700000000000001E-3</v>
      </c>
      <c r="G85" s="50">
        <f t="shared" si="5"/>
        <v>157.952</v>
      </c>
      <c r="H85" s="19">
        <f>Q22</f>
        <v>65.78</v>
      </c>
      <c r="I85" s="22">
        <f t="shared" si="6"/>
        <v>10.390082560000002</v>
      </c>
    </row>
    <row r="86" spans="1:9" x14ac:dyDescent="0.25">
      <c r="A86" s="13" t="s">
        <v>162</v>
      </c>
      <c r="B86" s="48">
        <v>8</v>
      </c>
      <c r="C86" s="49">
        <v>350</v>
      </c>
      <c r="D86" s="49">
        <v>100</v>
      </c>
      <c r="E86" s="49">
        <f t="shared" si="4"/>
        <v>450</v>
      </c>
      <c r="F86" s="49">
        <v>6.1700000000000001E-3</v>
      </c>
      <c r="G86" s="50">
        <f t="shared" si="5"/>
        <v>177.696</v>
      </c>
      <c r="H86" s="19">
        <f>Q22</f>
        <v>65.78</v>
      </c>
      <c r="I86" s="22">
        <f t="shared" si="6"/>
        <v>11.688842879999999</v>
      </c>
    </row>
    <row r="87" spans="1:9" x14ac:dyDescent="0.25">
      <c r="A87" s="13" t="s">
        <v>164</v>
      </c>
      <c r="B87" s="48">
        <v>8</v>
      </c>
      <c r="C87" s="49">
        <v>400</v>
      </c>
      <c r="D87" s="49">
        <v>100</v>
      </c>
      <c r="E87" s="49">
        <f t="shared" si="4"/>
        <v>500</v>
      </c>
      <c r="F87" s="49">
        <v>6.1700000000000001E-3</v>
      </c>
      <c r="G87" s="50">
        <f t="shared" si="5"/>
        <v>197.44</v>
      </c>
      <c r="H87" s="19">
        <f>Q22</f>
        <v>65.78</v>
      </c>
      <c r="I87" s="22">
        <f t="shared" si="6"/>
        <v>12.987603199999999</v>
      </c>
    </row>
    <row r="88" spans="1:9" x14ac:dyDescent="0.25">
      <c r="A88" s="13" t="s">
        <v>166</v>
      </c>
      <c r="B88" s="48">
        <v>8</v>
      </c>
      <c r="C88" s="49">
        <v>500</v>
      </c>
      <c r="D88" s="49">
        <v>100</v>
      </c>
      <c r="E88" s="49">
        <f t="shared" si="4"/>
        <v>600</v>
      </c>
      <c r="F88" s="49">
        <v>6.1700000000000001E-3</v>
      </c>
      <c r="G88" s="50">
        <f t="shared" si="5"/>
        <v>236.928</v>
      </c>
      <c r="H88" s="19">
        <f>Q22</f>
        <v>65.78</v>
      </c>
      <c r="I88" s="22">
        <f t="shared" si="6"/>
        <v>15.58512384</v>
      </c>
    </row>
    <row r="89" spans="1:9" x14ac:dyDescent="0.25">
      <c r="A89" s="11" t="s">
        <v>178</v>
      </c>
      <c r="B89" s="48">
        <v>10</v>
      </c>
      <c r="C89" s="49">
        <v>200</v>
      </c>
      <c r="D89" s="49">
        <v>100</v>
      </c>
      <c r="E89" s="49">
        <f t="shared" si="4"/>
        <v>300</v>
      </c>
      <c r="F89" s="49">
        <v>6.1700000000000001E-3</v>
      </c>
      <c r="G89" s="50">
        <f t="shared" si="5"/>
        <v>185.1</v>
      </c>
      <c r="H89" s="19">
        <f>Q22</f>
        <v>65.78</v>
      </c>
      <c r="I89" s="22">
        <f t="shared" si="6"/>
        <v>12.175878000000001</v>
      </c>
    </row>
    <row r="90" spans="1:9" x14ac:dyDescent="0.25">
      <c r="A90" s="11" t="s">
        <v>180</v>
      </c>
      <c r="B90" s="48">
        <v>10</v>
      </c>
      <c r="C90" s="49">
        <v>250</v>
      </c>
      <c r="D90" s="49">
        <v>100</v>
      </c>
      <c r="E90" s="49">
        <f t="shared" si="4"/>
        <v>350</v>
      </c>
      <c r="F90" s="49">
        <v>6.1700000000000001E-3</v>
      </c>
      <c r="G90" s="50">
        <f t="shared" si="5"/>
        <v>215.95000000000002</v>
      </c>
      <c r="H90" s="19">
        <f>Q22</f>
        <v>65.78</v>
      </c>
      <c r="I90" s="22">
        <f t="shared" si="6"/>
        <v>14.205191000000001</v>
      </c>
    </row>
    <row r="91" spans="1:9" x14ac:dyDescent="0.25">
      <c r="A91" s="11" t="s">
        <v>182</v>
      </c>
      <c r="B91" s="48">
        <v>10</v>
      </c>
      <c r="C91" s="49">
        <v>300</v>
      </c>
      <c r="D91" s="49">
        <v>100</v>
      </c>
      <c r="E91" s="49">
        <f t="shared" si="4"/>
        <v>400</v>
      </c>
      <c r="F91" s="49">
        <v>6.1700000000000001E-3</v>
      </c>
      <c r="G91" s="50">
        <f t="shared" si="5"/>
        <v>246.8</v>
      </c>
      <c r="H91" s="19">
        <f>Q22</f>
        <v>65.78</v>
      </c>
      <c r="I91" s="22">
        <f t="shared" si="6"/>
        <v>16.234504000000001</v>
      </c>
    </row>
    <row r="92" spans="1:9" x14ac:dyDescent="0.25">
      <c r="A92" s="11" t="s">
        <v>184</v>
      </c>
      <c r="B92" s="48">
        <v>10</v>
      </c>
      <c r="C92" s="49">
        <v>400</v>
      </c>
      <c r="D92" s="49">
        <v>100</v>
      </c>
      <c r="E92" s="49">
        <f t="shared" si="4"/>
        <v>500</v>
      </c>
      <c r="F92" s="49">
        <v>6.1700000000000001E-3</v>
      </c>
      <c r="G92" s="50">
        <f t="shared" si="5"/>
        <v>308.5</v>
      </c>
      <c r="H92" s="19">
        <f>Q22</f>
        <v>65.78</v>
      </c>
      <c r="I92" s="22">
        <f t="shared" si="6"/>
        <v>20.293130000000001</v>
      </c>
    </row>
    <row r="93" spans="1:9" x14ac:dyDescent="0.25">
      <c r="A93" s="11" t="s">
        <v>186</v>
      </c>
      <c r="B93" s="48">
        <v>10</v>
      </c>
      <c r="C93" s="49">
        <v>500</v>
      </c>
      <c r="D93" s="49">
        <v>100</v>
      </c>
      <c r="E93" s="49">
        <f t="shared" si="4"/>
        <v>600</v>
      </c>
      <c r="F93" s="49">
        <v>6.1700000000000001E-3</v>
      </c>
      <c r="G93" s="50">
        <f t="shared" si="5"/>
        <v>370.2</v>
      </c>
      <c r="H93" s="19">
        <f>Q22</f>
        <v>65.78</v>
      </c>
      <c r="I93" s="22">
        <f t="shared" si="6"/>
        <v>24.351756000000002</v>
      </c>
    </row>
    <row r="94" spans="1:9" x14ac:dyDescent="0.25">
      <c r="A94" s="14" t="s">
        <v>300</v>
      </c>
      <c r="B94" s="48">
        <v>3</v>
      </c>
      <c r="C94" s="49">
        <v>60</v>
      </c>
      <c r="D94" s="49">
        <v>60</v>
      </c>
      <c r="E94" s="49">
        <f t="shared" si="4"/>
        <v>120</v>
      </c>
      <c r="F94" s="49">
        <v>6.1700000000000001E-3</v>
      </c>
      <c r="G94" s="50">
        <f t="shared" si="5"/>
        <v>6.6635999999999997</v>
      </c>
      <c r="H94" s="19">
        <f>Q17</f>
        <v>102.08</v>
      </c>
      <c r="I94" s="22">
        <f t="shared" si="6"/>
        <v>0.68022028800000001</v>
      </c>
    </row>
    <row r="95" spans="1:9" x14ac:dyDescent="0.25">
      <c r="A95" s="14" t="s">
        <v>188</v>
      </c>
      <c r="B95" s="48">
        <v>3</v>
      </c>
      <c r="C95" s="49">
        <v>75</v>
      </c>
      <c r="D95" s="49">
        <v>60</v>
      </c>
      <c r="E95" s="49">
        <f t="shared" si="4"/>
        <v>135</v>
      </c>
      <c r="F95" s="49">
        <v>6.1700000000000001E-3</v>
      </c>
      <c r="G95" s="50">
        <f t="shared" si="5"/>
        <v>7.49655</v>
      </c>
      <c r="H95" s="19">
        <f>Q17</f>
        <v>102.08</v>
      </c>
      <c r="I95" s="22">
        <f t="shared" si="6"/>
        <v>0.76524782400000002</v>
      </c>
    </row>
    <row r="96" spans="1:9" x14ac:dyDescent="0.25">
      <c r="A96" s="14" t="s">
        <v>190</v>
      </c>
      <c r="B96" s="48">
        <v>3</v>
      </c>
      <c r="C96" s="49">
        <v>100</v>
      </c>
      <c r="D96" s="49">
        <v>60</v>
      </c>
      <c r="E96" s="49">
        <f t="shared" si="4"/>
        <v>160</v>
      </c>
      <c r="F96" s="49">
        <v>6.1700000000000001E-3</v>
      </c>
      <c r="G96" s="50">
        <f t="shared" si="5"/>
        <v>8.8848000000000003</v>
      </c>
      <c r="H96" s="19">
        <f>Q17</f>
        <v>102.08</v>
      </c>
      <c r="I96" s="22">
        <f t="shared" si="6"/>
        <v>0.90696038400000001</v>
      </c>
    </row>
    <row r="97" spans="1:9" x14ac:dyDescent="0.25">
      <c r="A97" s="14" t="s">
        <v>192</v>
      </c>
      <c r="B97" s="48">
        <v>3</v>
      </c>
      <c r="C97" s="49">
        <v>125</v>
      </c>
      <c r="D97" s="49">
        <v>60</v>
      </c>
      <c r="E97" s="49">
        <f t="shared" si="4"/>
        <v>185</v>
      </c>
      <c r="F97" s="49">
        <v>6.1700000000000001E-3</v>
      </c>
      <c r="G97" s="50">
        <f t="shared" si="5"/>
        <v>10.27305</v>
      </c>
      <c r="H97" s="19">
        <f>Q17</f>
        <v>102.08</v>
      </c>
      <c r="I97" s="22">
        <f t="shared" si="6"/>
        <v>1.048672944</v>
      </c>
    </row>
    <row r="98" spans="1:9" x14ac:dyDescent="0.25">
      <c r="A98" s="14" t="s">
        <v>194</v>
      </c>
      <c r="B98" s="48">
        <v>3</v>
      </c>
      <c r="C98" s="49">
        <v>150</v>
      </c>
      <c r="D98" s="49">
        <v>60</v>
      </c>
      <c r="E98" s="49">
        <f t="shared" si="4"/>
        <v>210</v>
      </c>
      <c r="F98" s="49">
        <v>6.1700000000000001E-3</v>
      </c>
      <c r="G98" s="50">
        <f t="shared" si="5"/>
        <v>11.661300000000001</v>
      </c>
      <c r="H98" s="19">
        <f>Q17</f>
        <v>102.08</v>
      </c>
      <c r="I98" s="22">
        <f t="shared" si="6"/>
        <v>1.190385504</v>
      </c>
    </row>
    <row r="99" spans="1:9" x14ac:dyDescent="0.25">
      <c r="A99" s="14" t="s">
        <v>196</v>
      </c>
      <c r="B99" s="48">
        <v>3</v>
      </c>
      <c r="C99" s="49">
        <v>200</v>
      </c>
      <c r="D99" s="49">
        <v>60</v>
      </c>
      <c r="E99" s="49">
        <f t="shared" si="4"/>
        <v>260</v>
      </c>
      <c r="F99" s="49">
        <v>6.1700000000000001E-3</v>
      </c>
      <c r="G99" s="50">
        <f t="shared" si="5"/>
        <v>14.437800000000001</v>
      </c>
      <c r="H99" s="19">
        <f>Q17</f>
        <v>102.08</v>
      </c>
      <c r="I99" s="22">
        <f t="shared" si="6"/>
        <v>1.4738106240000002</v>
      </c>
    </row>
    <row r="100" spans="1:9" x14ac:dyDescent="0.25">
      <c r="A100" s="14" t="s">
        <v>200</v>
      </c>
      <c r="B100" s="48">
        <v>3</v>
      </c>
      <c r="C100" s="49">
        <v>250</v>
      </c>
      <c r="D100" s="49">
        <v>60</v>
      </c>
      <c r="E100" s="49">
        <f t="shared" si="4"/>
        <v>310</v>
      </c>
      <c r="F100" s="49">
        <v>6.1700000000000001E-3</v>
      </c>
      <c r="G100" s="50">
        <f t="shared" si="5"/>
        <v>17.214300000000001</v>
      </c>
      <c r="H100" s="19">
        <f>Q17</f>
        <v>102.08</v>
      </c>
      <c r="I100" s="22">
        <f t="shared" si="6"/>
        <v>1.7572357440000002</v>
      </c>
    </row>
    <row r="101" spans="1:9" x14ac:dyDescent="0.25">
      <c r="A101" s="14" t="s">
        <v>198</v>
      </c>
      <c r="B101" s="48">
        <v>3</v>
      </c>
      <c r="C101" s="49">
        <v>300</v>
      </c>
      <c r="D101" s="49">
        <v>60</v>
      </c>
      <c r="E101" s="49">
        <f t="shared" si="4"/>
        <v>360</v>
      </c>
      <c r="F101" s="49">
        <v>6.1700000000000001E-3</v>
      </c>
      <c r="G101" s="50">
        <f t="shared" si="5"/>
        <v>19.9908</v>
      </c>
      <c r="H101" s="19">
        <f>Q17</f>
        <v>102.08</v>
      </c>
      <c r="I101" s="22">
        <f t="shared" si="6"/>
        <v>2.0406608639999999</v>
      </c>
    </row>
    <row r="102" spans="1:9" x14ac:dyDescent="0.25">
      <c r="A102" s="14" t="s">
        <v>202</v>
      </c>
      <c r="B102" s="48">
        <v>4</v>
      </c>
      <c r="C102" s="49">
        <v>80</v>
      </c>
      <c r="D102" s="49">
        <v>60</v>
      </c>
      <c r="E102" s="49">
        <f t="shared" si="4"/>
        <v>140</v>
      </c>
      <c r="F102" s="49">
        <v>6.1700000000000001E-3</v>
      </c>
      <c r="G102" s="50">
        <f t="shared" si="5"/>
        <v>13.8208</v>
      </c>
      <c r="H102" s="19">
        <f>Q19</f>
        <v>96.58</v>
      </c>
      <c r="I102" s="22">
        <f t="shared" si="6"/>
        <v>1.3348128640000001</v>
      </c>
    </row>
    <row r="103" spans="1:9" x14ac:dyDescent="0.25">
      <c r="A103" s="14" t="s">
        <v>204</v>
      </c>
      <c r="B103" s="48">
        <v>4</v>
      </c>
      <c r="C103" s="49">
        <v>100</v>
      </c>
      <c r="D103" s="49">
        <v>60</v>
      </c>
      <c r="E103" s="49">
        <f t="shared" si="4"/>
        <v>160</v>
      </c>
      <c r="F103" s="49">
        <v>6.1700000000000001E-3</v>
      </c>
      <c r="G103" s="50">
        <f t="shared" si="5"/>
        <v>15.795200000000001</v>
      </c>
      <c r="H103" s="19">
        <f>Q19</f>
        <v>96.58</v>
      </c>
      <c r="I103" s="22">
        <f t="shared" si="6"/>
        <v>1.5255004160000001</v>
      </c>
    </row>
    <row r="104" spans="1:9" x14ac:dyDescent="0.25">
      <c r="A104" s="14" t="s">
        <v>206</v>
      </c>
      <c r="B104" s="48">
        <v>4</v>
      </c>
      <c r="C104" s="49">
        <v>125</v>
      </c>
      <c r="D104" s="49">
        <v>60</v>
      </c>
      <c r="E104" s="49">
        <f t="shared" si="4"/>
        <v>185</v>
      </c>
      <c r="F104" s="49">
        <v>6.1700000000000001E-3</v>
      </c>
      <c r="G104" s="50">
        <f t="shared" si="5"/>
        <v>18.263200000000001</v>
      </c>
      <c r="H104" s="19">
        <f>Q19</f>
        <v>96.58</v>
      </c>
      <c r="I104" s="22">
        <f t="shared" si="6"/>
        <v>1.7638598560000001</v>
      </c>
    </row>
    <row r="105" spans="1:9" x14ac:dyDescent="0.25">
      <c r="A105" s="14" t="s">
        <v>208</v>
      </c>
      <c r="B105" s="48">
        <v>4</v>
      </c>
      <c r="C105" s="49">
        <v>150</v>
      </c>
      <c r="D105" s="49">
        <v>60</v>
      </c>
      <c r="E105" s="49">
        <f t="shared" si="4"/>
        <v>210</v>
      </c>
      <c r="F105" s="49">
        <v>6.1700000000000001E-3</v>
      </c>
      <c r="G105" s="50">
        <f t="shared" si="5"/>
        <v>20.731200000000001</v>
      </c>
      <c r="H105" s="19">
        <f>Q19</f>
        <v>96.58</v>
      </c>
      <c r="I105" s="22">
        <f t="shared" si="6"/>
        <v>2.0022192959999998</v>
      </c>
    </row>
    <row r="106" spans="1:9" x14ac:dyDescent="0.25">
      <c r="A106" s="14" t="s">
        <v>210</v>
      </c>
      <c r="B106" s="48">
        <v>4</v>
      </c>
      <c r="C106" s="49">
        <v>200</v>
      </c>
      <c r="D106" s="49">
        <v>60</v>
      </c>
      <c r="E106" s="49">
        <f t="shared" si="4"/>
        <v>260</v>
      </c>
      <c r="F106" s="49">
        <v>6.1700000000000001E-3</v>
      </c>
      <c r="G106" s="50">
        <f t="shared" si="5"/>
        <v>25.667200000000001</v>
      </c>
      <c r="H106" s="19">
        <f>Q19</f>
        <v>96.58</v>
      </c>
      <c r="I106" s="22">
        <f t="shared" si="6"/>
        <v>2.4789381760000002</v>
      </c>
    </row>
    <row r="107" spans="1:9" x14ac:dyDescent="0.25">
      <c r="A107" s="14" t="s">
        <v>218</v>
      </c>
      <c r="B107" s="48">
        <v>4</v>
      </c>
      <c r="C107" s="49">
        <v>250</v>
      </c>
      <c r="D107" s="49">
        <v>60</v>
      </c>
      <c r="E107" s="49">
        <f t="shared" si="4"/>
        <v>310</v>
      </c>
      <c r="F107" s="49">
        <v>6.1700000000000001E-3</v>
      </c>
      <c r="G107" s="50">
        <f t="shared" si="5"/>
        <v>30.603200000000001</v>
      </c>
      <c r="H107" s="19">
        <f>Q19</f>
        <v>96.58</v>
      </c>
      <c r="I107" s="22">
        <f t="shared" si="6"/>
        <v>2.9556570560000002</v>
      </c>
    </row>
    <row r="108" spans="1:9" x14ac:dyDescent="0.25">
      <c r="A108" s="14" t="s">
        <v>212</v>
      </c>
      <c r="B108" s="48">
        <v>4</v>
      </c>
      <c r="C108" s="49">
        <v>300</v>
      </c>
      <c r="D108" s="49">
        <v>60</v>
      </c>
      <c r="E108" s="49">
        <f t="shared" si="4"/>
        <v>360</v>
      </c>
      <c r="F108" s="49">
        <v>6.1700000000000001E-3</v>
      </c>
      <c r="G108" s="50">
        <f t="shared" si="5"/>
        <v>35.539200000000001</v>
      </c>
      <c r="H108" s="19">
        <f>Q19</f>
        <v>96.58</v>
      </c>
      <c r="I108" s="22">
        <f t="shared" si="6"/>
        <v>3.4323759360000001</v>
      </c>
    </row>
    <row r="109" spans="1:9" x14ac:dyDescent="0.25">
      <c r="A109" s="14" t="s">
        <v>214</v>
      </c>
      <c r="B109" s="48">
        <v>4</v>
      </c>
      <c r="C109" s="49">
        <v>350</v>
      </c>
      <c r="D109" s="49">
        <v>60</v>
      </c>
      <c r="E109" s="49">
        <f t="shared" si="4"/>
        <v>410</v>
      </c>
      <c r="F109" s="49">
        <v>6.1700000000000001E-3</v>
      </c>
      <c r="G109" s="50">
        <f t="shared" si="5"/>
        <v>40.475200000000001</v>
      </c>
      <c r="H109" s="19">
        <f>Q19</f>
        <v>96.58</v>
      </c>
      <c r="I109" s="22">
        <f t="shared" si="6"/>
        <v>3.9090948159999996</v>
      </c>
    </row>
    <row r="110" spans="1:9" x14ac:dyDescent="0.25">
      <c r="A110" s="14" t="s">
        <v>216</v>
      </c>
      <c r="B110" s="48">
        <v>4</v>
      </c>
      <c r="C110" s="49">
        <v>400</v>
      </c>
      <c r="D110" s="49">
        <v>60</v>
      </c>
      <c r="E110" s="49">
        <f t="shared" si="4"/>
        <v>460</v>
      </c>
      <c r="F110" s="49">
        <v>6.1700000000000001E-3</v>
      </c>
      <c r="G110" s="50">
        <f t="shared" si="5"/>
        <v>45.411200000000001</v>
      </c>
      <c r="H110" s="19">
        <f>Q19</f>
        <v>96.58</v>
      </c>
      <c r="I110" s="22">
        <f t="shared" si="6"/>
        <v>4.3858136960000005</v>
      </c>
    </row>
    <row r="111" spans="1:9" x14ac:dyDescent="0.25">
      <c r="A111" s="14" t="s">
        <v>220</v>
      </c>
      <c r="B111" s="48">
        <v>4</v>
      </c>
      <c r="C111" s="49">
        <v>500</v>
      </c>
      <c r="D111" s="49">
        <v>60</v>
      </c>
      <c r="E111" s="49">
        <f t="shared" si="4"/>
        <v>560</v>
      </c>
      <c r="F111" s="49">
        <v>6.1700000000000001E-3</v>
      </c>
      <c r="G111" s="50">
        <f t="shared" si="5"/>
        <v>55.283200000000001</v>
      </c>
      <c r="H111" s="19">
        <f>Q19</f>
        <v>96.58</v>
      </c>
      <c r="I111" s="22">
        <f t="shared" si="6"/>
        <v>5.3392514560000004</v>
      </c>
    </row>
    <row r="112" spans="1:9" x14ac:dyDescent="0.25">
      <c r="A112" s="14" t="s">
        <v>296</v>
      </c>
      <c r="B112" s="48">
        <v>5</v>
      </c>
      <c r="C112" s="49">
        <v>38</v>
      </c>
      <c r="D112" s="49">
        <v>45</v>
      </c>
      <c r="E112" s="49">
        <f t="shared" si="4"/>
        <v>83</v>
      </c>
      <c r="F112" s="49">
        <v>6.1700000000000001E-3</v>
      </c>
      <c r="G112" s="50">
        <f t="shared" si="5"/>
        <v>12.80275</v>
      </c>
      <c r="H112" s="19">
        <f>Q21</f>
        <v>81.180000000000007</v>
      </c>
      <c r="I112" s="22">
        <f t="shared" si="6"/>
        <v>1.039327245</v>
      </c>
    </row>
    <row r="113" spans="1:9" x14ac:dyDescent="0.25">
      <c r="A113" s="14" t="s">
        <v>222</v>
      </c>
      <c r="B113" s="48">
        <v>5</v>
      </c>
      <c r="C113" s="49">
        <v>80</v>
      </c>
      <c r="D113" s="49">
        <v>60</v>
      </c>
      <c r="E113" s="49">
        <f t="shared" si="4"/>
        <v>140</v>
      </c>
      <c r="F113" s="49">
        <v>6.1700000000000001E-3</v>
      </c>
      <c r="G113" s="50">
        <f t="shared" si="5"/>
        <v>21.594999999999999</v>
      </c>
      <c r="H113" s="19">
        <f>Q21</f>
        <v>81.180000000000007</v>
      </c>
      <c r="I113" s="22">
        <f t="shared" si="6"/>
        <v>1.7530821000000001</v>
      </c>
    </row>
    <row r="114" spans="1:9" x14ac:dyDescent="0.25">
      <c r="A114" s="14" t="s">
        <v>224</v>
      </c>
      <c r="B114" s="48">
        <v>5</v>
      </c>
      <c r="C114" s="49">
        <v>100</v>
      </c>
      <c r="D114" s="49">
        <v>60</v>
      </c>
      <c r="E114" s="49">
        <f t="shared" si="4"/>
        <v>160</v>
      </c>
      <c r="F114" s="49">
        <v>6.1700000000000001E-3</v>
      </c>
      <c r="G114" s="50">
        <f t="shared" si="5"/>
        <v>24.68</v>
      </c>
      <c r="H114" s="19">
        <f>Q21</f>
        <v>81.180000000000007</v>
      </c>
      <c r="I114" s="22">
        <f t="shared" si="6"/>
        <v>2.0035224</v>
      </c>
    </row>
    <row r="115" spans="1:9" x14ac:dyDescent="0.25">
      <c r="A115" s="14" t="s">
        <v>226</v>
      </c>
      <c r="B115" s="48">
        <v>5</v>
      </c>
      <c r="C115" s="49">
        <v>125</v>
      </c>
      <c r="D115" s="49">
        <v>60</v>
      </c>
      <c r="E115" s="49">
        <f t="shared" si="4"/>
        <v>185</v>
      </c>
      <c r="F115" s="49">
        <v>6.1700000000000001E-3</v>
      </c>
      <c r="G115" s="50">
        <f t="shared" si="5"/>
        <v>28.536249999999999</v>
      </c>
      <c r="H115" s="19">
        <f>Q21</f>
        <v>81.180000000000007</v>
      </c>
      <c r="I115" s="22">
        <f t="shared" si="6"/>
        <v>2.316572775</v>
      </c>
    </row>
    <row r="116" spans="1:9" x14ac:dyDescent="0.25">
      <c r="A116" s="14" t="s">
        <v>228</v>
      </c>
      <c r="B116" s="48">
        <v>5</v>
      </c>
      <c r="C116" s="49">
        <v>150</v>
      </c>
      <c r="D116" s="49">
        <v>60</v>
      </c>
      <c r="E116" s="49">
        <f t="shared" si="4"/>
        <v>210</v>
      </c>
      <c r="F116" s="49">
        <v>6.1700000000000001E-3</v>
      </c>
      <c r="G116" s="50">
        <f t="shared" si="5"/>
        <v>32.392499999999998</v>
      </c>
      <c r="H116" s="19">
        <f>Q21</f>
        <v>81.180000000000007</v>
      </c>
      <c r="I116" s="22">
        <f t="shared" si="6"/>
        <v>2.62962315</v>
      </c>
    </row>
    <row r="117" spans="1:9" x14ac:dyDescent="0.25">
      <c r="A117" s="14" t="s">
        <v>230</v>
      </c>
      <c r="B117" s="48">
        <v>5</v>
      </c>
      <c r="C117" s="49">
        <v>200</v>
      </c>
      <c r="D117" s="49">
        <v>60</v>
      </c>
      <c r="E117" s="49">
        <f t="shared" si="4"/>
        <v>260</v>
      </c>
      <c r="F117" s="49">
        <v>6.1700000000000001E-3</v>
      </c>
      <c r="G117" s="50">
        <f t="shared" si="5"/>
        <v>40.105000000000004</v>
      </c>
      <c r="H117" s="19">
        <f>Q21</f>
        <v>81.180000000000007</v>
      </c>
      <c r="I117" s="22">
        <f t="shared" si="6"/>
        <v>3.2557239000000004</v>
      </c>
    </row>
    <row r="118" spans="1:9" x14ac:dyDescent="0.25">
      <c r="A118" s="14" t="s">
        <v>232</v>
      </c>
      <c r="B118" s="48">
        <v>5</v>
      </c>
      <c r="C118" s="49">
        <v>250</v>
      </c>
      <c r="D118" s="49">
        <v>60</v>
      </c>
      <c r="E118" s="49">
        <f t="shared" si="4"/>
        <v>310</v>
      </c>
      <c r="F118" s="49">
        <v>6.1700000000000001E-3</v>
      </c>
      <c r="G118" s="50">
        <f t="shared" si="5"/>
        <v>47.817500000000003</v>
      </c>
      <c r="H118" s="19">
        <f>Q21</f>
        <v>81.180000000000007</v>
      </c>
      <c r="I118" s="22">
        <f t="shared" si="6"/>
        <v>3.8818246500000004</v>
      </c>
    </row>
    <row r="119" spans="1:9" x14ac:dyDescent="0.25">
      <c r="A119" s="14" t="s">
        <v>234</v>
      </c>
      <c r="B119" s="48">
        <v>5</v>
      </c>
      <c r="C119" s="49">
        <v>300</v>
      </c>
      <c r="D119" s="49">
        <v>60</v>
      </c>
      <c r="E119" s="49">
        <f t="shared" si="4"/>
        <v>360</v>
      </c>
      <c r="F119" s="49">
        <v>6.1700000000000001E-3</v>
      </c>
      <c r="G119" s="50">
        <f t="shared" si="5"/>
        <v>55.53</v>
      </c>
      <c r="H119" s="19">
        <f>Q21</f>
        <v>81.180000000000007</v>
      </c>
      <c r="I119" s="22">
        <f t="shared" si="6"/>
        <v>4.5079254000000004</v>
      </c>
    </row>
    <row r="120" spans="1:9" x14ac:dyDescent="0.25">
      <c r="A120" s="14" t="s">
        <v>236</v>
      </c>
      <c r="B120" s="48">
        <v>5</v>
      </c>
      <c r="C120" s="49">
        <v>350</v>
      </c>
      <c r="D120" s="49">
        <v>60</v>
      </c>
      <c r="E120" s="49">
        <f t="shared" si="4"/>
        <v>410</v>
      </c>
      <c r="F120" s="49">
        <v>6.1700000000000001E-3</v>
      </c>
      <c r="G120" s="50">
        <f t="shared" si="5"/>
        <v>63.2425</v>
      </c>
      <c r="H120" s="19">
        <f>Q21</f>
        <v>81.180000000000007</v>
      </c>
      <c r="I120" s="22">
        <f t="shared" si="6"/>
        <v>5.1340261500000004</v>
      </c>
    </row>
    <row r="121" spans="1:9" x14ac:dyDescent="0.25">
      <c r="A121" s="14" t="s">
        <v>238</v>
      </c>
      <c r="B121" s="48">
        <v>5</v>
      </c>
      <c r="C121" s="49">
        <v>400</v>
      </c>
      <c r="D121" s="49">
        <v>60</v>
      </c>
      <c r="E121" s="49">
        <f t="shared" si="4"/>
        <v>460</v>
      </c>
      <c r="F121" s="49">
        <v>6.1700000000000001E-3</v>
      </c>
      <c r="G121" s="50">
        <f t="shared" si="5"/>
        <v>70.954999999999998</v>
      </c>
      <c r="H121" s="19">
        <f>Q21</f>
        <v>81.180000000000007</v>
      </c>
      <c r="I121" s="22">
        <f t="shared" si="6"/>
        <v>5.7601269000000004</v>
      </c>
    </row>
    <row r="122" spans="1:9" x14ac:dyDescent="0.25">
      <c r="A122" s="14" t="s">
        <v>240</v>
      </c>
      <c r="B122" s="48">
        <v>5</v>
      </c>
      <c r="C122" s="49">
        <v>500</v>
      </c>
      <c r="D122" s="49">
        <v>60</v>
      </c>
      <c r="E122" s="49">
        <f t="shared" si="4"/>
        <v>560</v>
      </c>
      <c r="F122" s="49">
        <v>6.1700000000000001E-3</v>
      </c>
      <c r="G122" s="50">
        <f t="shared" si="5"/>
        <v>86.38</v>
      </c>
      <c r="H122" s="19">
        <f>Q21</f>
        <v>81.180000000000007</v>
      </c>
      <c r="I122" s="22">
        <f t="shared" si="6"/>
        <v>7.0123284000000004</v>
      </c>
    </row>
    <row r="123" spans="1:9" x14ac:dyDescent="0.25">
      <c r="A123" s="14" t="s">
        <v>298</v>
      </c>
      <c r="B123" s="48">
        <v>6</v>
      </c>
      <c r="C123" s="49">
        <v>38</v>
      </c>
      <c r="D123" s="49">
        <v>45</v>
      </c>
      <c r="E123" s="49">
        <f t="shared" si="4"/>
        <v>83</v>
      </c>
      <c r="F123" s="49">
        <v>6.1700000000000001E-3</v>
      </c>
      <c r="G123" s="50">
        <f t="shared" si="5"/>
        <v>18.435960000000001</v>
      </c>
      <c r="H123" s="19">
        <f>Q22</f>
        <v>65.78</v>
      </c>
      <c r="I123" s="22">
        <f t="shared" si="6"/>
        <v>1.2127174488000001</v>
      </c>
    </row>
    <row r="124" spans="1:9" x14ac:dyDescent="0.25">
      <c r="A124" s="14" t="s">
        <v>242</v>
      </c>
      <c r="B124" s="48">
        <v>6</v>
      </c>
      <c r="C124" s="49">
        <v>100</v>
      </c>
      <c r="D124" s="49">
        <v>80</v>
      </c>
      <c r="E124" s="49">
        <f t="shared" si="4"/>
        <v>180</v>
      </c>
      <c r="F124" s="49">
        <v>6.1700000000000001E-3</v>
      </c>
      <c r="G124" s="50">
        <f t="shared" si="5"/>
        <v>39.9816</v>
      </c>
      <c r="H124" s="19">
        <f>Q22</f>
        <v>65.78</v>
      </c>
      <c r="I124" s="22">
        <f t="shared" si="6"/>
        <v>2.629989648</v>
      </c>
    </row>
    <row r="125" spans="1:9" x14ac:dyDescent="0.25">
      <c r="A125" s="14" t="s">
        <v>244</v>
      </c>
      <c r="B125" s="48">
        <v>6</v>
      </c>
      <c r="C125" s="49">
        <v>125</v>
      </c>
      <c r="D125" s="49">
        <v>80</v>
      </c>
      <c r="E125" s="49">
        <f t="shared" si="4"/>
        <v>205</v>
      </c>
      <c r="F125" s="49">
        <v>6.1700000000000001E-3</v>
      </c>
      <c r="G125" s="50">
        <f t="shared" si="5"/>
        <v>45.534599999999998</v>
      </c>
      <c r="H125" s="19">
        <f>Q22</f>
        <v>65.78</v>
      </c>
      <c r="I125" s="22">
        <f t="shared" si="6"/>
        <v>2.9952659880000003</v>
      </c>
    </row>
    <row r="126" spans="1:9" x14ac:dyDescent="0.25">
      <c r="A126" s="14" t="s">
        <v>246</v>
      </c>
      <c r="B126" s="48">
        <v>6</v>
      </c>
      <c r="C126" s="49">
        <v>150</v>
      </c>
      <c r="D126" s="49">
        <v>80</v>
      </c>
      <c r="E126" s="49">
        <f t="shared" si="4"/>
        <v>230</v>
      </c>
      <c r="F126" s="49">
        <v>6.1700000000000001E-3</v>
      </c>
      <c r="G126" s="50">
        <f t="shared" si="5"/>
        <v>51.087600000000002</v>
      </c>
      <c r="H126" s="19">
        <f>Q22</f>
        <v>65.78</v>
      </c>
      <c r="I126" s="22">
        <f t="shared" si="6"/>
        <v>3.3605423280000002</v>
      </c>
    </row>
    <row r="127" spans="1:9" x14ac:dyDescent="0.25">
      <c r="A127" s="14" t="s">
        <v>248</v>
      </c>
      <c r="B127" s="48">
        <v>6</v>
      </c>
      <c r="C127" s="49">
        <v>200</v>
      </c>
      <c r="D127" s="49">
        <v>80</v>
      </c>
      <c r="E127" s="49">
        <f t="shared" si="4"/>
        <v>280</v>
      </c>
      <c r="F127" s="49">
        <v>6.1700000000000001E-3</v>
      </c>
      <c r="G127" s="50">
        <f t="shared" si="5"/>
        <v>62.193600000000004</v>
      </c>
      <c r="H127" s="19">
        <f>Q22</f>
        <v>65.78</v>
      </c>
      <c r="I127" s="22">
        <f t="shared" si="6"/>
        <v>4.0910950079999999</v>
      </c>
    </row>
    <row r="128" spans="1:9" x14ac:dyDescent="0.25">
      <c r="A128" s="14" t="s">
        <v>250</v>
      </c>
      <c r="B128" s="48">
        <v>6</v>
      </c>
      <c r="C128" s="49">
        <v>250</v>
      </c>
      <c r="D128" s="49">
        <v>80</v>
      </c>
      <c r="E128" s="49">
        <f t="shared" si="4"/>
        <v>330</v>
      </c>
      <c r="F128" s="49">
        <v>6.1700000000000001E-3</v>
      </c>
      <c r="G128" s="50">
        <f t="shared" si="5"/>
        <v>73.299599999999998</v>
      </c>
      <c r="H128" s="19">
        <f>Q22</f>
        <v>65.78</v>
      </c>
      <c r="I128" s="22">
        <f t="shared" si="6"/>
        <v>4.8216476879999997</v>
      </c>
    </row>
    <row r="129" spans="1:9" x14ac:dyDescent="0.25">
      <c r="A129" s="14" t="s">
        <v>252</v>
      </c>
      <c r="B129" s="48">
        <v>6</v>
      </c>
      <c r="C129" s="49">
        <v>300</v>
      </c>
      <c r="D129" s="49">
        <v>80</v>
      </c>
      <c r="E129" s="49">
        <f t="shared" si="4"/>
        <v>380</v>
      </c>
      <c r="F129" s="49">
        <v>6.1700000000000001E-3</v>
      </c>
      <c r="G129" s="50">
        <f t="shared" si="5"/>
        <v>84.405600000000007</v>
      </c>
      <c r="H129" s="19">
        <f>Q22</f>
        <v>65.78</v>
      </c>
      <c r="I129" s="22">
        <f t="shared" si="6"/>
        <v>5.5522003680000003</v>
      </c>
    </row>
    <row r="130" spans="1:9" x14ac:dyDescent="0.25">
      <c r="A130" s="14" t="s">
        <v>254</v>
      </c>
      <c r="B130" s="48">
        <v>6</v>
      </c>
      <c r="C130" s="49">
        <v>350</v>
      </c>
      <c r="D130" s="49">
        <v>80</v>
      </c>
      <c r="E130" s="49">
        <f t="shared" si="4"/>
        <v>430</v>
      </c>
      <c r="F130" s="49">
        <v>6.1700000000000001E-3</v>
      </c>
      <c r="G130" s="50">
        <f t="shared" si="5"/>
        <v>95.511600000000001</v>
      </c>
      <c r="H130" s="19">
        <f>Q22</f>
        <v>65.78</v>
      </c>
      <c r="I130" s="22">
        <f t="shared" si="6"/>
        <v>6.2827530480000009</v>
      </c>
    </row>
    <row r="131" spans="1:9" x14ac:dyDescent="0.25">
      <c r="A131" s="14" t="s">
        <v>256</v>
      </c>
      <c r="B131" s="48">
        <v>6</v>
      </c>
      <c r="C131" s="49">
        <v>400</v>
      </c>
      <c r="D131" s="49">
        <v>80</v>
      </c>
      <c r="E131" s="49">
        <f t="shared" si="4"/>
        <v>480</v>
      </c>
      <c r="F131" s="49">
        <v>6.1700000000000001E-3</v>
      </c>
      <c r="G131" s="50">
        <f t="shared" si="5"/>
        <v>106.6176</v>
      </c>
      <c r="H131" s="19">
        <f>Q22</f>
        <v>65.78</v>
      </c>
      <c r="I131" s="22">
        <f t="shared" si="6"/>
        <v>7.0133057280000006</v>
      </c>
    </row>
    <row r="132" spans="1:9" x14ac:dyDescent="0.25">
      <c r="A132" s="14" t="s">
        <v>258</v>
      </c>
      <c r="B132" s="48">
        <v>6</v>
      </c>
      <c r="C132" s="49">
        <v>450</v>
      </c>
      <c r="D132" s="49">
        <v>80</v>
      </c>
      <c r="E132" s="49">
        <f t="shared" si="4"/>
        <v>530</v>
      </c>
      <c r="F132" s="49">
        <v>6.1700000000000001E-3</v>
      </c>
      <c r="G132" s="50">
        <f t="shared" si="5"/>
        <v>117.7236</v>
      </c>
      <c r="H132" s="19">
        <f>Q22</f>
        <v>65.78</v>
      </c>
      <c r="I132" s="22">
        <f t="shared" si="6"/>
        <v>7.7438584080000004</v>
      </c>
    </row>
    <row r="133" spans="1:9" x14ac:dyDescent="0.25">
      <c r="A133" s="14" t="s">
        <v>260</v>
      </c>
      <c r="B133" s="48">
        <v>6</v>
      </c>
      <c r="C133" s="49">
        <v>500</v>
      </c>
      <c r="D133" s="49">
        <v>80</v>
      </c>
      <c r="E133" s="49">
        <f t="shared" si="4"/>
        <v>580</v>
      </c>
      <c r="F133" s="49">
        <v>6.1700000000000001E-3</v>
      </c>
      <c r="G133" s="50">
        <f t="shared" si="5"/>
        <v>128.8296</v>
      </c>
      <c r="H133" s="19">
        <f>Q22</f>
        <v>65.78</v>
      </c>
      <c r="I133" s="22">
        <f t="shared" si="6"/>
        <v>8.4744110880000001</v>
      </c>
    </row>
    <row r="134" spans="1:9" x14ac:dyDescent="0.25">
      <c r="A134" s="14" t="s">
        <v>262</v>
      </c>
      <c r="B134" s="48">
        <v>7</v>
      </c>
      <c r="C134" s="49">
        <v>150</v>
      </c>
      <c r="D134" s="49">
        <v>100</v>
      </c>
      <c r="E134" s="49">
        <f t="shared" si="4"/>
        <v>250</v>
      </c>
      <c r="F134" s="49">
        <v>6.1700000000000001E-3</v>
      </c>
      <c r="G134" s="50">
        <f t="shared" si="5"/>
        <v>75.582499999999996</v>
      </c>
      <c r="H134" s="19">
        <f>Q22</f>
        <v>65.78</v>
      </c>
      <c r="I134" s="22">
        <f t="shared" si="6"/>
        <v>4.9718168499999997</v>
      </c>
    </row>
    <row r="135" spans="1:9" x14ac:dyDescent="0.25">
      <c r="A135" s="14" t="s">
        <v>264</v>
      </c>
      <c r="B135" s="48">
        <v>7</v>
      </c>
      <c r="C135" s="49">
        <v>175</v>
      </c>
      <c r="D135" s="49">
        <v>100</v>
      </c>
      <c r="E135" s="49">
        <f t="shared" ref="E135:E198" si="7">D135+C135</f>
        <v>275</v>
      </c>
      <c r="F135" s="49">
        <v>6.1700000000000001E-3</v>
      </c>
      <c r="G135" s="50">
        <f t="shared" si="5"/>
        <v>83.140749999999997</v>
      </c>
      <c r="H135" s="19">
        <f>Q22</f>
        <v>65.78</v>
      </c>
      <c r="I135" s="22">
        <f t="shared" ref="I135:I198" si="8">H135*G135/1000</f>
        <v>5.4689985349999999</v>
      </c>
    </row>
    <row r="136" spans="1:9" x14ac:dyDescent="0.25">
      <c r="A136" s="14" t="s">
        <v>266</v>
      </c>
      <c r="B136" s="48">
        <v>7</v>
      </c>
      <c r="C136" s="49">
        <v>200</v>
      </c>
      <c r="D136" s="49">
        <v>100</v>
      </c>
      <c r="E136" s="49">
        <f t="shared" si="7"/>
        <v>300</v>
      </c>
      <c r="F136" s="49">
        <v>6.1700000000000001E-3</v>
      </c>
      <c r="G136" s="50">
        <f t="shared" si="5"/>
        <v>90.698999999999998</v>
      </c>
      <c r="H136" s="19">
        <f>Q22</f>
        <v>65.78</v>
      </c>
      <c r="I136" s="22">
        <f t="shared" si="8"/>
        <v>5.96618022</v>
      </c>
    </row>
    <row r="137" spans="1:9" x14ac:dyDescent="0.25">
      <c r="A137" s="14" t="s">
        <v>268</v>
      </c>
      <c r="B137" s="48">
        <v>7</v>
      </c>
      <c r="C137" s="49">
        <v>250</v>
      </c>
      <c r="D137" s="49">
        <v>100</v>
      </c>
      <c r="E137" s="49">
        <f t="shared" si="7"/>
        <v>350</v>
      </c>
      <c r="F137" s="49">
        <v>6.1700000000000001E-3</v>
      </c>
      <c r="G137" s="50">
        <f t="shared" si="5"/>
        <v>105.8155</v>
      </c>
      <c r="H137" s="19">
        <f>Q22</f>
        <v>65.78</v>
      </c>
      <c r="I137" s="22">
        <f t="shared" si="8"/>
        <v>6.9605435900000003</v>
      </c>
    </row>
    <row r="138" spans="1:9" x14ac:dyDescent="0.25">
      <c r="A138" s="14" t="s">
        <v>270</v>
      </c>
      <c r="B138" s="48">
        <v>7</v>
      </c>
      <c r="C138" s="49">
        <v>300</v>
      </c>
      <c r="D138" s="49">
        <v>100</v>
      </c>
      <c r="E138" s="49">
        <f t="shared" si="7"/>
        <v>400</v>
      </c>
      <c r="F138" s="49">
        <v>6.1700000000000001E-3</v>
      </c>
      <c r="G138" s="50">
        <f t="shared" si="5"/>
        <v>120.932</v>
      </c>
      <c r="H138" s="19">
        <f>Q22</f>
        <v>65.78</v>
      </c>
      <c r="I138" s="22">
        <f t="shared" si="8"/>
        <v>7.9549069600000006</v>
      </c>
    </row>
    <row r="139" spans="1:9" x14ac:dyDescent="0.25">
      <c r="A139" s="14" t="s">
        <v>272</v>
      </c>
      <c r="B139" s="48">
        <v>7</v>
      </c>
      <c r="C139" s="49">
        <v>350</v>
      </c>
      <c r="D139" s="49">
        <v>100</v>
      </c>
      <c r="E139" s="49">
        <f t="shared" si="7"/>
        <v>450</v>
      </c>
      <c r="F139" s="49">
        <v>6.1700000000000001E-3</v>
      </c>
      <c r="G139" s="50">
        <f t="shared" si="5"/>
        <v>136.04849999999999</v>
      </c>
      <c r="H139" s="19">
        <f>Q22</f>
        <v>65.78</v>
      </c>
      <c r="I139" s="22">
        <f t="shared" si="8"/>
        <v>8.9492703299999992</v>
      </c>
    </row>
    <row r="140" spans="1:9" x14ac:dyDescent="0.25">
      <c r="A140" s="14" t="s">
        <v>274</v>
      </c>
      <c r="B140" s="48">
        <v>7</v>
      </c>
      <c r="C140" s="49">
        <v>400</v>
      </c>
      <c r="D140" s="49">
        <v>100</v>
      </c>
      <c r="E140" s="49">
        <f t="shared" si="7"/>
        <v>500</v>
      </c>
      <c r="F140" s="49">
        <v>6.1700000000000001E-3</v>
      </c>
      <c r="G140" s="50">
        <f t="shared" si="5"/>
        <v>151.16499999999999</v>
      </c>
      <c r="H140" s="19">
        <f>Q22</f>
        <v>65.78</v>
      </c>
      <c r="I140" s="22">
        <f t="shared" si="8"/>
        <v>9.9436336999999995</v>
      </c>
    </row>
    <row r="141" spans="1:9" x14ac:dyDescent="0.25">
      <c r="A141" s="14" t="s">
        <v>276</v>
      </c>
      <c r="B141" s="48">
        <v>7</v>
      </c>
      <c r="C141" s="49">
        <v>450</v>
      </c>
      <c r="D141" s="49">
        <v>100</v>
      </c>
      <c r="E141" s="49">
        <f t="shared" si="7"/>
        <v>550</v>
      </c>
      <c r="F141" s="49">
        <v>6.1700000000000001E-3</v>
      </c>
      <c r="G141" s="50">
        <f t="shared" si="5"/>
        <v>166.28149999999999</v>
      </c>
      <c r="H141" s="19">
        <f>Q22</f>
        <v>65.78</v>
      </c>
      <c r="I141" s="22">
        <f t="shared" si="8"/>
        <v>10.93799707</v>
      </c>
    </row>
    <row r="142" spans="1:9" x14ac:dyDescent="0.25">
      <c r="A142" s="14" t="s">
        <v>278</v>
      </c>
      <c r="B142" s="48">
        <v>7</v>
      </c>
      <c r="C142" s="49">
        <v>500</v>
      </c>
      <c r="D142" s="49">
        <v>100</v>
      </c>
      <c r="E142" s="49">
        <f t="shared" si="7"/>
        <v>600</v>
      </c>
      <c r="F142" s="49">
        <v>6.1700000000000001E-3</v>
      </c>
      <c r="G142" s="50">
        <f t="shared" si="5"/>
        <v>181.398</v>
      </c>
      <c r="H142" s="19">
        <f>Q22</f>
        <v>65.78</v>
      </c>
      <c r="I142" s="22">
        <f t="shared" si="8"/>
        <v>11.93236044</v>
      </c>
    </row>
    <row r="143" spans="1:9" x14ac:dyDescent="0.25">
      <c r="A143" s="14" t="s">
        <v>280</v>
      </c>
      <c r="B143" s="48">
        <v>8</v>
      </c>
      <c r="C143" s="49">
        <v>175</v>
      </c>
      <c r="D143" s="49">
        <v>100</v>
      </c>
      <c r="E143" s="49">
        <f t="shared" si="7"/>
        <v>275</v>
      </c>
      <c r="F143" s="49">
        <v>6.1700000000000001E-3</v>
      </c>
      <c r="G143" s="50">
        <f t="shared" si="5"/>
        <v>108.592</v>
      </c>
      <c r="H143" s="19">
        <f>Q22</f>
        <v>65.78</v>
      </c>
      <c r="I143" s="22">
        <f t="shared" si="8"/>
        <v>7.14318176</v>
      </c>
    </row>
    <row r="144" spans="1:9" x14ac:dyDescent="0.25">
      <c r="A144" s="14" t="s">
        <v>282</v>
      </c>
      <c r="B144" s="48">
        <v>8</v>
      </c>
      <c r="C144" s="49">
        <v>200</v>
      </c>
      <c r="D144" s="49">
        <v>100</v>
      </c>
      <c r="E144" s="49">
        <f t="shared" si="7"/>
        <v>300</v>
      </c>
      <c r="F144" s="49">
        <v>6.1700000000000001E-3</v>
      </c>
      <c r="G144" s="50">
        <f t="shared" si="5"/>
        <v>118.464</v>
      </c>
      <c r="H144" s="19">
        <f>Q22</f>
        <v>65.78</v>
      </c>
      <c r="I144" s="22">
        <f t="shared" si="8"/>
        <v>7.7925619199999998</v>
      </c>
    </row>
    <row r="145" spans="1:9" x14ac:dyDescent="0.25">
      <c r="A145" s="14" t="s">
        <v>284</v>
      </c>
      <c r="B145" s="48">
        <v>8</v>
      </c>
      <c r="C145" s="49">
        <v>250</v>
      </c>
      <c r="D145" s="49">
        <v>100</v>
      </c>
      <c r="E145" s="49">
        <f t="shared" si="7"/>
        <v>350</v>
      </c>
      <c r="F145" s="49">
        <v>6.1700000000000001E-3</v>
      </c>
      <c r="G145" s="50">
        <f t="shared" si="5"/>
        <v>138.208</v>
      </c>
      <c r="H145" s="19">
        <f>Q22</f>
        <v>65.78</v>
      </c>
      <c r="I145" s="22">
        <f t="shared" si="8"/>
        <v>9.0913222400000002</v>
      </c>
    </row>
    <row r="146" spans="1:9" x14ac:dyDescent="0.25">
      <c r="A146" s="14" t="s">
        <v>286</v>
      </c>
      <c r="B146" s="48">
        <v>8</v>
      </c>
      <c r="C146" s="49">
        <v>300</v>
      </c>
      <c r="D146" s="49">
        <v>100</v>
      </c>
      <c r="E146" s="49">
        <f t="shared" si="7"/>
        <v>400</v>
      </c>
      <c r="F146" s="49">
        <v>6.1700000000000001E-3</v>
      </c>
      <c r="G146" s="50">
        <f t="shared" si="5"/>
        <v>157.952</v>
      </c>
      <c r="H146" s="19">
        <f>Q22</f>
        <v>65.78</v>
      </c>
      <c r="I146" s="22">
        <f t="shared" si="8"/>
        <v>10.390082560000002</v>
      </c>
    </row>
    <row r="147" spans="1:9" x14ac:dyDescent="0.25">
      <c r="A147" s="14" t="s">
        <v>288</v>
      </c>
      <c r="B147" s="48">
        <v>8</v>
      </c>
      <c r="C147" s="49">
        <v>350</v>
      </c>
      <c r="D147" s="49">
        <v>100</v>
      </c>
      <c r="E147" s="49">
        <f t="shared" si="7"/>
        <v>450</v>
      </c>
      <c r="F147" s="49">
        <v>6.1700000000000001E-3</v>
      </c>
      <c r="G147" s="50">
        <f t="shared" si="5"/>
        <v>177.696</v>
      </c>
      <c r="H147" s="19">
        <f>Q22</f>
        <v>65.78</v>
      </c>
      <c r="I147" s="22">
        <f t="shared" si="8"/>
        <v>11.688842879999999</v>
      </c>
    </row>
    <row r="148" spans="1:9" x14ac:dyDescent="0.25">
      <c r="A148" s="14" t="s">
        <v>290</v>
      </c>
      <c r="B148" s="48">
        <v>8</v>
      </c>
      <c r="C148" s="49">
        <v>400</v>
      </c>
      <c r="D148" s="49">
        <v>100</v>
      </c>
      <c r="E148" s="49">
        <f t="shared" si="7"/>
        <v>500</v>
      </c>
      <c r="F148" s="49">
        <v>6.1700000000000001E-3</v>
      </c>
      <c r="G148" s="50">
        <f t="shared" si="5"/>
        <v>197.44</v>
      </c>
      <c r="H148" s="19">
        <f>Q22</f>
        <v>65.78</v>
      </c>
      <c r="I148" s="22">
        <f t="shared" si="8"/>
        <v>12.987603199999999</v>
      </c>
    </row>
    <row r="149" spans="1:9" x14ac:dyDescent="0.25">
      <c r="A149" s="14" t="s">
        <v>292</v>
      </c>
      <c r="B149" s="48">
        <v>8</v>
      </c>
      <c r="C149" s="49">
        <v>450</v>
      </c>
      <c r="D149" s="49">
        <v>100</v>
      </c>
      <c r="E149" s="49">
        <f t="shared" si="7"/>
        <v>550</v>
      </c>
      <c r="F149" s="49">
        <v>6.1700000000000001E-3</v>
      </c>
      <c r="G149" s="50">
        <f t="shared" si="5"/>
        <v>217.184</v>
      </c>
      <c r="H149" s="19">
        <f>Q22</f>
        <v>65.78</v>
      </c>
      <c r="I149" s="22">
        <f t="shared" si="8"/>
        <v>14.28636352</v>
      </c>
    </row>
    <row r="150" spans="1:9" x14ac:dyDescent="0.25">
      <c r="A150" s="14" t="s">
        <v>294</v>
      </c>
      <c r="B150" s="48">
        <v>8</v>
      </c>
      <c r="C150" s="49">
        <v>500</v>
      </c>
      <c r="D150" s="49">
        <v>100</v>
      </c>
      <c r="E150" s="49">
        <f t="shared" si="7"/>
        <v>600</v>
      </c>
      <c r="F150" s="49">
        <v>6.1700000000000001E-3</v>
      </c>
      <c r="G150" s="50">
        <f t="shared" si="5"/>
        <v>236.928</v>
      </c>
      <c r="H150" s="19">
        <f>Q22</f>
        <v>65.78</v>
      </c>
      <c r="I150" s="22">
        <f t="shared" si="8"/>
        <v>15.58512384</v>
      </c>
    </row>
    <row r="151" spans="1:9" x14ac:dyDescent="0.25">
      <c r="A151" s="15" t="s">
        <v>350</v>
      </c>
      <c r="B151" s="48">
        <v>3</v>
      </c>
      <c r="C151" s="49">
        <v>60</v>
      </c>
      <c r="D151" s="49">
        <v>60</v>
      </c>
      <c r="E151" s="49">
        <f t="shared" si="7"/>
        <v>120</v>
      </c>
      <c r="F151" s="49">
        <v>6.1700000000000001E-3</v>
      </c>
      <c r="G151" s="50">
        <f t="shared" si="5"/>
        <v>6.6635999999999997</v>
      </c>
      <c r="H151" s="19">
        <f>Q17</f>
        <v>102.08</v>
      </c>
      <c r="I151" s="22">
        <f t="shared" si="8"/>
        <v>0.68022028800000001</v>
      </c>
    </row>
    <row r="152" spans="1:9" x14ac:dyDescent="0.25">
      <c r="A152" s="15" t="s">
        <v>352</v>
      </c>
      <c r="B152" s="48">
        <v>3</v>
      </c>
      <c r="C152" s="49">
        <v>75</v>
      </c>
      <c r="D152" s="49">
        <v>60</v>
      </c>
      <c r="E152" s="49">
        <f t="shared" si="7"/>
        <v>135</v>
      </c>
      <c r="F152" s="49">
        <v>6.1700000000000001E-3</v>
      </c>
      <c r="G152" s="50">
        <f t="shared" ref="G152:G215" si="9">B152*B152*(C152+D152)*F152</f>
        <v>7.49655</v>
      </c>
      <c r="H152" s="19">
        <f>Q17</f>
        <v>102.08</v>
      </c>
      <c r="I152" s="22">
        <f t="shared" si="8"/>
        <v>0.76524782400000002</v>
      </c>
    </row>
    <row r="153" spans="1:9" x14ac:dyDescent="0.25">
      <c r="A153" s="15" t="s">
        <v>354</v>
      </c>
      <c r="B153" s="48">
        <v>3</v>
      </c>
      <c r="C153" s="49">
        <v>100</v>
      </c>
      <c r="D153" s="49">
        <v>60</v>
      </c>
      <c r="E153" s="49">
        <f t="shared" si="7"/>
        <v>160</v>
      </c>
      <c r="F153" s="49">
        <v>6.1700000000000001E-3</v>
      </c>
      <c r="G153" s="50">
        <f t="shared" si="9"/>
        <v>8.8848000000000003</v>
      </c>
      <c r="H153" s="19">
        <f>Q17</f>
        <v>102.08</v>
      </c>
      <c r="I153" s="22">
        <f t="shared" si="8"/>
        <v>0.90696038400000001</v>
      </c>
    </row>
    <row r="154" spans="1:9" x14ac:dyDescent="0.25">
      <c r="A154" s="15" t="s">
        <v>356</v>
      </c>
      <c r="B154" s="48">
        <v>3</v>
      </c>
      <c r="C154" s="49">
        <v>125</v>
      </c>
      <c r="D154" s="49">
        <v>60</v>
      </c>
      <c r="E154" s="49">
        <f t="shared" si="7"/>
        <v>185</v>
      </c>
      <c r="F154" s="49">
        <v>6.1700000000000001E-3</v>
      </c>
      <c r="G154" s="50">
        <f t="shared" si="9"/>
        <v>10.27305</v>
      </c>
      <c r="H154" s="19">
        <f>Q17</f>
        <v>102.08</v>
      </c>
      <c r="I154" s="22">
        <f t="shared" si="8"/>
        <v>1.048672944</v>
      </c>
    </row>
    <row r="155" spans="1:9" x14ac:dyDescent="0.25">
      <c r="A155" s="15" t="s">
        <v>358</v>
      </c>
      <c r="B155" s="48">
        <v>3</v>
      </c>
      <c r="C155" s="49">
        <v>150</v>
      </c>
      <c r="D155" s="49">
        <v>60</v>
      </c>
      <c r="E155" s="49">
        <f t="shared" si="7"/>
        <v>210</v>
      </c>
      <c r="F155" s="49">
        <v>6.1700000000000001E-3</v>
      </c>
      <c r="G155" s="50">
        <f t="shared" si="9"/>
        <v>11.661300000000001</v>
      </c>
      <c r="H155" s="19">
        <f>Q17</f>
        <v>102.08</v>
      </c>
      <c r="I155" s="22">
        <f t="shared" si="8"/>
        <v>1.190385504</v>
      </c>
    </row>
    <row r="156" spans="1:9" x14ac:dyDescent="0.25">
      <c r="A156" s="15" t="s">
        <v>360</v>
      </c>
      <c r="B156" s="48">
        <v>3</v>
      </c>
      <c r="C156" s="49">
        <v>200</v>
      </c>
      <c r="D156" s="49">
        <v>60</v>
      </c>
      <c r="E156" s="49">
        <f t="shared" si="7"/>
        <v>260</v>
      </c>
      <c r="F156" s="49">
        <v>6.1700000000000001E-3</v>
      </c>
      <c r="G156" s="50">
        <f t="shared" si="9"/>
        <v>14.437800000000001</v>
      </c>
      <c r="H156" s="19">
        <f>Q17</f>
        <v>102.08</v>
      </c>
      <c r="I156" s="22">
        <f t="shared" si="8"/>
        <v>1.4738106240000002</v>
      </c>
    </row>
    <row r="157" spans="1:9" x14ac:dyDescent="0.25">
      <c r="A157" s="15" t="s">
        <v>362</v>
      </c>
      <c r="B157" s="48">
        <v>3</v>
      </c>
      <c r="C157" s="49">
        <v>250</v>
      </c>
      <c r="D157" s="49">
        <v>60</v>
      </c>
      <c r="E157" s="49">
        <f t="shared" si="7"/>
        <v>310</v>
      </c>
      <c r="F157" s="49">
        <v>6.1700000000000001E-3</v>
      </c>
      <c r="G157" s="50">
        <f t="shared" si="9"/>
        <v>17.214300000000001</v>
      </c>
      <c r="H157" s="19">
        <f>Q17</f>
        <v>102.08</v>
      </c>
      <c r="I157" s="22">
        <f t="shared" si="8"/>
        <v>1.7572357440000002</v>
      </c>
    </row>
    <row r="158" spans="1:9" x14ac:dyDescent="0.25">
      <c r="A158" s="15" t="s">
        <v>364</v>
      </c>
      <c r="B158" s="48">
        <v>3</v>
      </c>
      <c r="C158" s="49">
        <v>300</v>
      </c>
      <c r="D158" s="49">
        <v>60</v>
      </c>
      <c r="E158" s="49">
        <f t="shared" si="7"/>
        <v>360</v>
      </c>
      <c r="F158" s="49">
        <v>6.1700000000000001E-3</v>
      </c>
      <c r="G158" s="50">
        <f t="shared" si="9"/>
        <v>19.9908</v>
      </c>
      <c r="H158" s="19">
        <f>Q17</f>
        <v>102.08</v>
      </c>
      <c r="I158" s="22">
        <f t="shared" si="8"/>
        <v>2.0406608639999999</v>
      </c>
    </row>
    <row r="159" spans="1:9" x14ac:dyDescent="0.25">
      <c r="A159" s="15" t="s">
        <v>366</v>
      </c>
      <c r="B159" s="48">
        <v>4</v>
      </c>
      <c r="C159" s="49">
        <v>80</v>
      </c>
      <c r="D159" s="49">
        <v>60</v>
      </c>
      <c r="E159" s="49">
        <f t="shared" si="7"/>
        <v>140</v>
      </c>
      <c r="F159" s="49">
        <v>6.1700000000000001E-3</v>
      </c>
      <c r="G159" s="50">
        <f t="shared" si="9"/>
        <v>13.8208</v>
      </c>
      <c r="H159" s="19">
        <f>Q19</f>
        <v>96.58</v>
      </c>
      <c r="I159" s="22">
        <f t="shared" si="8"/>
        <v>1.3348128640000001</v>
      </c>
    </row>
    <row r="160" spans="1:9" x14ac:dyDescent="0.25">
      <c r="A160" s="15" t="s">
        <v>368</v>
      </c>
      <c r="B160" s="48">
        <v>4</v>
      </c>
      <c r="C160" s="49">
        <v>100</v>
      </c>
      <c r="D160" s="49">
        <v>60</v>
      </c>
      <c r="E160" s="49">
        <f t="shared" si="7"/>
        <v>160</v>
      </c>
      <c r="F160" s="49">
        <v>6.1700000000000001E-3</v>
      </c>
      <c r="G160" s="50">
        <f t="shared" si="9"/>
        <v>15.795200000000001</v>
      </c>
      <c r="H160" s="19">
        <f>Q19</f>
        <v>96.58</v>
      </c>
      <c r="I160" s="22">
        <f t="shared" si="8"/>
        <v>1.5255004160000001</v>
      </c>
    </row>
    <row r="161" spans="1:9" x14ac:dyDescent="0.25">
      <c r="A161" s="15" t="s">
        <v>370</v>
      </c>
      <c r="B161" s="48">
        <v>4</v>
      </c>
      <c r="C161" s="49">
        <v>125</v>
      </c>
      <c r="D161" s="49">
        <v>60</v>
      </c>
      <c r="E161" s="49">
        <f t="shared" si="7"/>
        <v>185</v>
      </c>
      <c r="F161" s="49">
        <v>6.1700000000000001E-3</v>
      </c>
      <c r="G161" s="50">
        <f t="shared" si="9"/>
        <v>18.263200000000001</v>
      </c>
      <c r="H161" s="19">
        <f>Q19</f>
        <v>96.58</v>
      </c>
      <c r="I161" s="22">
        <f t="shared" si="8"/>
        <v>1.7638598560000001</v>
      </c>
    </row>
    <row r="162" spans="1:9" x14ac:dyDescent="0.25">
      <c r="A162" s="15" t="s">
        <v>372</v>
      </c>
      <c r="B162" s="48">
        <v>4</v>
      </c>
      <c r="C162" s="49">
        <v>150</v>
      </c>
      <c r="D162" s="49">
        <v>60</v>
      </c>
      <c r="E162" s="49">
        <f t="shared" si="7"/>
        <v>210</v>
      </c>
      <c r="F162" s="49">
        <v>6.1700000000000001E-3</v>
      </c>
      <c r="G162" s="50">
        <f t="shared" si="9"/>
        <v>20.731200000000001</v>
      </c>
      <c r="H162" s="19">
        <f>Q19</f>
        <v>96.58</v>
      </c>
      <c r="I162" s="22">
        <f t="shared" si="8"/>
        <v>2.0022192959999998</v>
      </c>
    </row>
    <row r="163" spans="1:9" x14ac:dyDescent="0.25">
      <c r="A163" s="15" t="s">
        <v>374</v>
      </c>
      <c r="B163" s="48">
        <v>4</v>
      </c>
      <c r="C163" s="49">
        <v>200</v>
      </c>
      <c r="D163" s="49">
        <v>60</v>
      </c>
      <c r="E163" s="49">
        <f t="shared" si="7"/>
        <v>260</v>
      </c>
      <c r="F163" s="49">
        <v>6.1700000000000001E-3</v>
      </c>
      <c r="G163" s="50">
        <f t="shared" si="9"/>
        <v>25.667200000000001</v>
      </c>
      <c r="H163" s="19">
        <f>Q19</f>
        <v>96.58</v>
      </c>
      <c r="I163" s="22">
        <f t="shared" si="8"/>
        <v>2.4789381760000002</v>
      </c>
    </row>
    <row r="164" spans="1:9" x14ac:dyDescent="0.25">
      <c r="A164" s="15" t="s">
        <v>376</v>
      </c>
      <c r="B164" s="48">
        <v>4</v>
      </c>
      <c r="C164" s="49">
        <v>250</v>
      </c>
      <c r="D164" s="49">
        <v>60</v>
      </c>
      <c r="E164" s="49">
        <f t="shared" si="7"/>
        <v>310</v>
      </c>
      <c r="F164" s="49">
        <v>6.1700000000000001E-3</v>
      </c>
      <c r="G164" s="50">
        <f t="shared" si="9"/>
        <v>30.603200000000001</v>
      </c>
      <c r="H164" s="19">
        <f>Q19</f>
        <v>96.58</v>
      </c>
      <c r="I164" s="22">
        <f t="shared" si="8"/>
        <v>2.9556570560000002</v>
      </c>
    </row>
    <row r="165" spans="1:9" x14ac:dyDescent="0.25">
      <c r="A165" s="15" t="s">
        <v>378</v>
      </c>
      <c r="B165" s="48">
        <v>4</v>
      </c>
      <c r="C165" s="49">
        <v>300</v>
      </c>
      <c r="D165" s="49">
        <v>60</v>
      </c>
      <c r="E165" s="49">
        <f t="shared" si="7"/>
        <v>360</v>
      </c>
      <c r="F165" s="49">
        <v>6.1700000000000001E-3</v>
      </c>
      <c r="G165" s="50">
        <f t="shared" si="9"/>
        <v>35.539200000000001</v>
      </c>
      <c r="H165" s="19">
        <f>Q19</f>
        <v>96.58</v>
      </c>
      <c r="I165" s="22">
        <f t="shared" si="8"/>
        <v>3.4323759360000001</v>
      </c>
    </row>
    <row r="166" spans="1:9" x14ac:dyDescent="0.25">
      <c r="A166" s="15" t="s">
        <v>380</v>
      </c>
      <c r="B166" s="48">
        <v>4</v>
      </c>
      <c r="C166" s="49">
        <v>350</v>
      </c>
      <c r="D166" s="49">
        <v>60</v>
      </c>
      <c r="E166" s="49">
        <f t="shared" si="7"/>
        <v>410</v>
      </c>
      <c r="F166" s="49">
        <v>6.1700000000000001E-3</v>
      </c>
      <c r="G166" s="50">
        <f t="shared" si="9"/>
        <v>40.475200000000001</v>
      </c>
      <c r="H166" s="19">
        <f>Q19</f>
        <v>96.58</v>
      </c>
      <c r="I166" s="22">
        <f t="shared" si="8"/>
        <v>3.9090948159999996</v>
      </c>
    </row>
    <row r="167" spans="1:9" x14ac:dyDescent="0.25">
      <c r="A167" s="15" t="s">
        <v>382</v>
      </c>
      <c r="B167" s="48">
        <v>4</v>
      </c>
      <c r="C167" s="49">
        <v>400</v>
      </c>
      <c r="D167" s="49">
        <v>60</v>
      </c>
      <c r="E167" s="49">
        <f t="shared" si="7"/>
        <v>460</v>
      </c>
      <c r="F167" s="49">
        <v>6.1700000000000001E-3</v>
      </c>
      <c r="G167" s="50">
        <f t="shared" si="9"/>
        <v>45.411200000000001</v>
      </c>
      <c r="H167" s="19">
        <f>Q19</f>
        <v>96.58</v>
      </c>
      <c r="I167" s="22">
        <f t="shared" si="8"/>
        <v>4.3858136960000005</v>
      </c>
    </row>
    <row r="168" spans="1:9" x14ac:dyDescent="0.25">
      <c r="A168" s="15" t="s">
        <v>384</v>
      </c>
      <c r="B168" s="48">
        <v>4</v>
      </c>
      <c r="C168" s="49">
        <v>500</v>
      </c>
      <c r="D168" s="49">
        <v>60</v>
      </c>
      <c r="E168" s="49">
        <f t="shared" si="7"/>
        <v>560</v>
      </c>
      <c r="F168" s="49">
        <v>6.1700000000000001E-3</v>
      </c>
      <c r="G168" s="50">
        <f t="shared" si="9"/>
        <v>55.283200000000001</v>
      </c>
      <c r="H168" s="19">
        <f>Q19</f>
        <v>96.58</v>
      </c>
      <c r="I168" s="22">
        <f t="shared" si="8"/>
        <v>5.3392514560000004</v>
      </c>
    </row>
    <row r="169" spans="1:9" x14ac:dyDescent="0.25">
      <c r="A169" s="15" t="s">
        <v>386</v>
      </c>
      <c r="B169" s="48">
        <v>5</v>
      </c>
      <c r="C169" s="49">
        <v>38</v>
      </c>
      <c r="D169" s="49">
        <v>45</v>
      </c>
      <c r="E169" s="49">
        <f t="shared" si="7"/>
        <v>83</v>
      </c>
      <c r="F169" s="49">
        <v>6.1700000000000001E-3</v>
      </c>
      <c r="G169" s="50">
        <f t="shared" si="9"/>
        <v>12.80275</v>
      </c>
      <c r="H169" s="19">
        <f>Q21</f>
        <v>81.180000000000007</v>
      </c>
      <c r="I169" s="22">
        <f t="shared" si="8"/>
        <v>1.039327245</v>
      </c>
    </row>
    <row r="170" spans="1:9" x14ac:dyDescent="0.25">
      <c r="A170" s="15" t="s">
        <v>388</v>
      </c>
      <c r="B170" s="48">
        <v>5</v>
      </c>
      <c r="C170" s="49">
        <v>80</v>
      </c>
      <c r="D170" s="49">
        <v>60</v>
      </c>
      <c r="E170" s="49">
        <f t="shared" si="7"/>
        <v>140</v>
      </c>
      <c r="F170" s="49">
        <v>6.1700000000000001E-3</v>
      </c>
      <c r="G170" s="50">
        <f t="shared" si="9"/>
        <v>21.594999999999999</v>
      </c>
      <c r="H170" s="19">
        <f>Q21</f>
        <v>81.180000000000007</v>
      </c>
      <c r="I170" s="22">
        <f t="shared" si="8"/>
        <v>1.7530821000000001</v>
      </c>
    </row>
    <row r="171" spans="1:9" x14ac:dyDescent="0.25">
      <c r="A171" s="15" t="s">
        <v>390</v>
      </c>
      <c r="B171" s="48">
        <v>5</v>
      </c>
      <c r="C171" s="49">
        <v>100</v>
      </c>
      <c r="D171" s="49">
        <v>60</v>
      </c>
      <c r="E171" s="49">
        <f t="shared" si="7"/>
        <v>160</v>
      </c>
      <c r="F171" s="49">
        <v>6.1700000000000001E-3</v>
      </c>
      <c r="G171" s="50">
        <f t="shared" si="9"/>
        <v>24.68</v>
      </c>
      <c r="H171" s="19">
        <f>Q21</f>
        <v>81.180000000000007</v>
      </c>
      <c r="I171" s="22">
        <f t="shared" si="8"/>
        <v>2.0035224</v>
      </c>
    </row>
    <row r="172" spans="1:9" x14ac:dyDescent="0.25">
      <c r="A172" s="15" t="s">
        <v>392</v>
      </c>
      <c r="B172" s="48">
        <v>5</v>
      </c>
      <c r="C172" s="49">
        <v>125</v>
      </c>
      <c r="D172" s="49">
        <v>60</v>
      </c>
      <c r="E172" s="49">
        <f t="shared" si="7"/>
        <v>185</v>
      </c>
      <c r="F172" s="49">
        <v>6.1700000000000001E-3</v>
      </c>
      <c r="G172" s="50">
        <f t="shared" si="9"/>
        <v>28.536249999999999</v>
      </c>
      <c r="H172" s="19">
        <f>Q21</f>
        <v>81.180000000000007</v>
      </c>
      <c r="I172" s="22">
        <f t="shared" si="8"/>
        <v>2.316572775</v>
      </c>
    </row>
    <row r="173" spans="1:9" x14ac:dyDescent="0.25">
      <c r="A173" s="15" t="s">
        <v>394</v>
      </c>
      <c r="B173" s="48">
        <v>5</v>
      </c>
      <c r="C173" s="49">
        <v>150</v>
      </c>
      <c r="D173" s="49">
        <v>60</v>
      </c>
      <c r="E173" s="49">
        <f t="shared" si="7"/>
        <v>210</v>
      </c>
      <c r="F173" s="49">
        <v>6.1700000000000001E-3</v>
      </c>
      <c r="G173" s="50">
        <f t="shared" si="9"/>
        <v>32.392499999999998</v>
      </c>
      <c r="H173" s="19">
        <f>Q21</f>
        <v>81.180000000000007</v>
      </c>
      <c r="I173" s="22">
        <f t="shared" si="8"/>
        <v>2.62962315</v>
      </c>
    </row>
    <row r="174" spans="1:9" x14ac:dyDescent="0.25">
      <c r="A174" s="15" t="s">
        <v>396</v>
      </c>
      <c r="B174" s="48">
        <v>5</v>
      </c>
      <c r="C174" s="49">
        <v>200</v>
      </c>
      <c r="D174" s="49">
        <v>60</v>
      </c>
      <c r="E174" s="49">
        <f t="shared" si="7"/>
        <v>260</v>
      </c>
      <c r="F174" s="49">
        <v>6.1700000000000001E-3</v>
      </c>
      <c r="G174" s="50">
        <f t="shared" si="9"/>
        <v>40.105000000000004</v>
      </c>
      <c r="H174" s="19">
        <f>Q21</f>
        <v>81.180000000000007</v>
      </c>
      <c r="I174" s="22">
        <f t="shared" si="8"/>
        <v>3.2557239000000004</v>
      </c>
    </row>
    <row r="175" spans="1:9" x14ac:dyDescent="0.25">
      <c r="A175" s="15" t="s">
        <v>398</v>
      </c>
      <c r="B175" s="48">
        <v>5</v>
      </c>
      <c r="C175" s="49">
        <v>250</v>
      </c>
      <c r="D175" s="49">
        <v>60</v>
      </c>
      <c r="E175" s="49">
        <f t="shared" si="7"/>
        <v>310</v>
      </c>
      <c r="F175" s="49">
        <v>6.1700000000000001E-3</v>
      </c>
      <c r="G175" s="50">
        <f t="shared" si="9"/>
        <v>47.817500000000003</v>
      </c>
      <c r="H175" s="19">
        <f>Q21</f>
        <v>81.180000000000007</v>
      </c>
      <c r="I175" s="22">
        <f t="shared" si="8"/>
        <v>3.8818246500000004</v>
      </c>
    </row>
    <row r="176" spans="1:9" x14ac:dyDescent="0.25">
      <c r="A176" s="15" t="s">
        <v>400</v>
      </c>
      <c r="B176" s="48">
        <v>5</v>
      </c>
      <c r="C176" s="49">
        <v>300</v>
      </c>
      <c r="D176" s="49">
        <v>60</v>
      </c>
      <c r="E176" s="49">
        <f t="shared" si="7"/>
        <v>360</v>
      </c>
      <c r="F176" s="49">
        <v>6.1700000000000001E-3</v>
      </c>
      <c r="G176" s="50">
        <f t="shared" si="9"/>
        <v>55.53</v>
      </c>
      <c r="H176" s="19">
        <f>Q21</f>
        <v>81.180000000000007</v>
      </c>
      <c r="I176" s="22">
        <f t="shared" si="8"/>
        <v>4.5079254000000004</v>
      </c>
    </row>
    <row r="177" spans="1:9" x14ac:dyDescent="0.25">
      <c r="A177" s="15" t="s">
        <v>402</v>
      </c>
      <c r="B177" s="48">
        <v>5</v>
      </c>
      <c r="C177" s="49">
        <v>350</v>
      </c>
      <c r="D177" s="49">
        <v>60</v>
      </c>
      <c r="E177" s="49">
        <f t="shared" si="7"/>
        <v>410</v>
      </c>
      <c r="F177" s="49">
        <v>6.1700000000000001E-3</v>
      </c>
      <c r="G177" s="50">
        <f t="shared" si="9"/>
        <v>63.2425</v>
      </c>
      <c r="H177" s="19">
        <f>Q21</f>
        <v>81.180000000000007</v>
      </c>
      <c r="I177" s="22">
        <f t="shared" si="8"/>
        <v>5.1340261500000004</v>
      </c>
    </row>
    <row r="178" spans="1:9" x14ac:dyDescent="0.25">
      <c r="A178" s="15" t="s">
        <v>404</v>
      </c>
      <c r="B178" s="48">
        <v>5</v>
      </c>
      <c r="C178" s="49">
        <v>400</v>
      </c>
      <c r="D178" s="49">
        <v>60</v>
      </c>
      <c r="E178" s="49">
        <f t="shared" si="7"/>
        <v>460</v>
      </c>
      <c r="F178" s="49">
        <v>6.1700000000000001E-3</v>
      </c>
      <c r="G178" s="50">
        <f t="shared" si="9"/>
        <v>70.954999999999998</v>
      </c>
      <c r="H178" s="19">
        <f>Q21</f>
        <v>81.180000000000007</v>
      </c>
      <c r="I178" s="22">
        <f t="shared" si="8"/>
        <v>5.7601269000000004</v>
      </c>
    </row>
    <row r="179" spans="1:9" x14ac:dyDescent="0.25">
      <c r="A179" s="15" t="s">
        <v>406</v>
      </c>
      <c r="B179" s="48">
        <v>5</v>
      </c>
      <c r="C179" s="49">
        <v>500</v>
      </c>
      <c r="D179" s="49">
        <v>60</v>
      </c>
      <c r="E179" s="49">
        <f t="shared" si="7"/>
        <v>560</v>
      </c>
      <c r="F179" s="49">
        <v>6.1700000000000001E-3</v>
      </c>
      <c r="G179" s="50">
        <f t="shared" si="9"/>
        <v>86.38</v>
      </c>
      <c r="H179" s="19">
        <f>Q21</f>
        <v>81.180000000000007</v>
      </c>
      <c r="I179" s="22">
        <f t="shared" si="8"/>
        <v>7.0123284000000004</v>
      </c>
    </row>
    <row r="180" spans="1:9" x14ac:dyDescent="0.25">
      <c r="A180" s="15" t="s">
        <v>457</v>
      </c>
      <c r="B180" s="48">
        <v>6</v>
      </c>
      <c r="C180" s="49">
        <v>38</v>
      </c>
      <c r="D180" s="49">
        <v>45</v>
      </c>
      <c r="E180" s="49">
        <f t="shared" si="7"/>
        <v>83</v>
      </c>
      <c r="F180" s="49">
        <v>6.1700000000000001E-3</v>
      </c>
      <c r="G180" s="50">
        <f t="shared" si="9"/>
        <v>18.435960000000001</v>
      </c>
      <c r="H180" s="19">
        <f>Q22</f>
        <v>65.78</v>
      </c>
      <c r="I180" s="22">
        <f t="shared" si="8"/>
        <v>1.2127174488000001</v>
      </c>
    </row>
    <row r="181" spans="1:9" x14ac:dyDescent="0.25">
      <c r="A181" s="15" t="s">
        <v>459</v>
      </c>
      <c r="B181" s="48">
        <v>6</v>
      </c>
      <c r="C181" s="49">
        <v>100</v>
      </c>
      <c r="D181" s="49">
        <v>80</v>
      </c>
      <c r="E181" s="49">
        <f t="shared" si="7"/>
        <v>180</v>
      </c>
      <c r="F181" s="49">
        <v>6.1700000000000001E-3</v>
      </c>
      <c r="G181" s="50">
        <f t="shared" si="9"/>
        <v>39.9816</v>
      </c>
      <c r="H181" s="19">
        <f>Q22</f>
        <v>65.78</v>
      </c>
      <c r="I181" s="22">
        <f t="shared" si="8"/>
        <v>2.629989648</v>
      </c>
    </row>
    <row r="182" spans="1:9" x14ac:dyDescent="0.25">
      <c r="A182" s="15" t="s">
        <v>461</v>
      </c>
      <c r="B182" s="48">
        <v>6</v>
      </c>
      <c r="C182" s="49">
        <v>125</v>
      </c>
      <c r="D182" s="49">
        <v>80</v>
      </c>
      <c r="E182" s="49">
        <f t="shared" si="7"/>
        <v>205</v>
      </c>
      <c r="F182" s="49">
        <v>6.1700000000000001E-3</v>
      </c>
      <c r="G182" s="50">
        <f t="shared" si="9"/>
        <v>45.534599999999998</v>
      </c>
      <c r="H182" s="19">
        <f>Q22</f>
        <v>65.78</v>
      </c>
      <c r="I182" s="22">
        <f t="shared" si="8"/>
        <v>2.9952659880000003</v>
      </c>
    </row>
    <row r="183" spans="1:9" x14ac:dyDescent="0.25">
      <c r="A183" s="15" t="s">
        <v>463</v>
      </c>
      <c r="B183" s="48">
        <v>6</v>
      </c>
      <c r="C183" s="49">
        <v>150</v>
      </c>
      <c r="D183" s="49">
        <v>80</v>
      </c>
      <c r="E183" s="49">
        <f t="shared" si="7"/>
        <v>230</v>
      </c>
      <c r="F183" s="49">
        <v>6.1700000000000001E-3</v>
      </c>
      <c r="G183" s="50">
        <f t="shared" si="9"/>
        <v>51.087600000000002</v>
      </c>
      <c r="H183" s="19">
        <f>Q22</f>
        <v>65.78</v>
      </c>
      <c r="I183" s="22">
        <f t="shared" si="8"/>
        <v>3.3605423280000002</v>
      </c>
    </row>
    <row r="184" spans="1:9" x14ac:dyDescent="0.25">
      <c r="A184" s="15" t="s">
        <v>465</v>
      </c>
      <c r="B184" s="48">
        <v>6</v>
      </c>
      <c r="C184" s="49">
        <v>200</v>
      </c>
      <c r="D184" s="49">
        <v>80</v>
      </c>
      <c r="E184" s="49">
        <f t="shared" si="7"/>
        <v>280</v>
      </c>
      <c r="F184" s="49">
        <v>6.1700000000000001E-3</v>
      </c>
      <c r="G184" s="50">
        <f t="shared" si="9"/>
        <v>62.193600000000004</v>
      </c>
      <c r="H184" s="19">
        <f>Q22</f>
        <v>65.78</v>
      </c>
      <c r="I184" s="22">
        <f t="shared" si="8"/>
        <v>4.0910950079999999</v>
      </c>
    </row>
    <row r="185" spans="1:9" x14ac:dyDescent="0.25">
      <c r="A185" s="15" t="s">
        <v>467</v>
      </c>
      <c r="B185" s="48">
        <v>6</v>
      </c>
      <c r="C185" s="49">
        <v>250</v>
      </c>
      <c r="D185" s="49">
        <v>80</v>
      </c>
      <c r="E185" s="49">
        <f t="shared" si="7"/>
        <v>330</v>
      </c>
      <c r="F185" s="49">
        <v>6.1700000000000001E-3</v>
      </c>
      <c r="G185" s="50">
        <f t="shared" si="9"/>
        <v>73.299599999999998</v>
      </c>
      <c r="H185" s="19">
        <f>Q22</f>
        <v>65.78</v>
      </c>
      <c r="I185" s="22">
        <f t="shared" si="8"/>
        <v>4.8216476879999997</v>
      </c>
    </row>
    <row r="186" spans="1:9" x14ac:dyDescent="0.25">
      <c r="A186" s="15" t="s">
        <v>469</v>
      </c>
      <c r="B186" s="48">
        <v>6</v>
      </c>
      <c r="C186" s="49">
        <v>300</v>
      </c>
      <c r="D186" s="49">
        <v>80</v>
      </c>
      <c r="E186" s="49">
        <f t="shared" si="7"/>
        <v>380</v>
      </c>
      <c r="F186" s="49">
        <v>6.1700000000000001E-3</v>
      </c>
      <c r="G186" s="50">
        <f t="shared" si="9"/>
        <v>84.405600000000007</v>
      </c>
      <c r="H186" s="19">
        <f>Q22</f>
        <v>65.78</v>
      </c>
      <c r="I186" s="22">
        <f t="shared" si="8"/>
        <v>5.5522003680000003</v>
      </c>
    </row>
    <row r="187" spans="1:9" x14ac:dyDescent="0.25">
      <c r="A187" s="15" t="s">
        <v>471</v>
      </c>
      <c r="B187" s="48">
        <v>6</v>
      </c>
      <c r="C187" s="49">
        <v>350</v>
      </c>
      <c r="D187" s="49">
        <v>80</v>
      </c>
      <c r="E187" s="49">
        <f t="shared" si="7"/>
        <v>430</v>
      </c>
      <c r="F187" s="49">
        <v>6.1700000000000001E-3</v>
      </c>
      <c r="G187" s="50">
        <f t="shared" si="9"/>
        <v>95.511600000000001</v>
      </c>
      <c r="H187" s="19">
        <f>Q22</f>
        <v>65.78</v>
      </c>
      <c r="I187" s="22">
        <f t="shared" si="8"/>
        <v>6.2827530480000009</v>
      </c>
    </row>
    <row r="188" spans="1:9" x14ac:dyDescent="0.25">
      <c r="A188" s="15" t="s">
        <v>473</v>
      </c>
      <c r="B188" s="48">
        <v>6</v>
      </c>
      <c r="C188" s="49">
        <v>400</v>
      </c>
      <c r="D188" s="49">
        <v>80</v>
      </c>
      <c r="E188" s="49">
        <f t="shared" si="7"/>
        <v>480</v>
      </c>
      <c r="F188" s="49">
        <v>6.1700000000000001E-3</v>
      </c>
      <c r="G188" s="50">
        <f t="shared" si="9"/>
        <v>106.6176</v>
      </c>
      <c r="H188" s="19">
        <f>Q22</f>
        <v>65.78</v>
      </c>
      <c r="I188" s="22">
        <f t="shared" si="8"/>
        <v>7.0133057280000006</v>
      </c>
    </row>
    <row r="189" spans="1:9" x14ac:dyDescent="0.25">
      <c r="A189" s="15" t="s">
        <v>475</v>
      </c>
      <c r="B189" s="48">
        <v>6</v>
      </c>
      <c r="C189" s="49">
        <v>450</v>
      </c>
      <c r="D189" s="49">
        <v>80</v>
      </c>
      <c r="E189" s="49">
        <f t="shared" si="7"/>
        <v>530</v>
      </c>
      <c r="F189" s="49">
        <v>6.1700000000000001E-3</v>
      </c>
      <c r="G189" s="50">
        <f t="shared" si="9"/>
        <v>117.7236</v>
      </c>
      <c r="H189" s="19">
        <f>Q22</f>
        <v>65.78</v>
      </c>
      <c r="I189" s="22">
        <f t="shared" si="8"/>
        <v>7.7438584080000004</v>
      </c>
    </row>
    <row r="190" spans="1:9" x14ac:dyDescent="0.25">
      <c r="A190" s="15" t="s">
        <v>477</v>
      </c>
      <c r="B190" s="48">
        <v>6</v>
      </c>
      <c r="C190" s="49">
        <v>500</v>
      </c>
      <c r="D190" s="49">
        <v>80</v>
      </c>
      <c r="E190" s="49">
        <f t="shared" si="7"/>
        <v>580</v>
      </c>
      <c r="F190" s="49">
        <v>6.1700000000000001E-3</v>
      </c>
      <c r="G190" s="50">
        <f t="shared" si="9"/>
        <v>128.8296</v>
      </c>
      <c r="H190" s="19">
        <f>Q22</f>
        <v>65.78</v>
      </c>
      <c r="I190" s="22">
        <f t="shared" si="8"/>
        <v>8.4744110880000001</v>
      </c>
    </row>
    <row r="191" spans="1:9" x14ac:dyDescent="0.25">
      <c r="A191" s="15" t="s">
        <v>408</v>
      </c>
      <c r="B191" s="48">
        <v>8</v>
      </c>
      <c r="C191" s="49">
        <v>150</v>
      </c>
      <c r="D191" s="49">
        <v>100</v>
      </c>
      <c r="E191" s="49">
        <f t="shared" si="7"/>
        <v>250</v>
      </c>
      <c r="F191" s="49">
        <v>6.1700000000000001E-3</v>
      </c>
      <c r="G191" s="50">
        <f t="shared" si="9"/>
        <v>98.72</v>
      </c>
      <c r="H191" s="19">
        <f>Q22</f>
        <v>65.78</v>
      </c>
      <c r="I191" s="22">
        <f t="shared" si="8"/>
        <v>6.4938015999999994</v>
      </c>
    </row>
    <row r="192" spans="1:9" x14ac:dyDescent="0.25">
      <c r="A192" s="15" t="s">
        <v>410</v>
      </c>
      <c r="B192" s="48">
        <v>8</v>
      </c>
      <c r="C192" s="49">
        <v>175</v>
      </c>
      <c r="D192" s="49">
        <v>100</v>
      </c>
      <c r="E192" s="49">
        <f t="shared" si="7"/>
        <v>275</v>
      </c>
      <c r="F192" s="49">
        <v>6.1700000000000001E-3</v>
      </c>
      <c r="G192" s="50">
        <f t="shared" si="9"/>
        <v>108.592</v>
      </c>
      <c r="H192" s="19">
        <f>Q22</f>
        <v>65.78</v>
      </c>
      <c r="I192" s="22">
        <f t="shared" si="8"/>
        <v>7.14318176</v>
      </c>
    </row>
    <row r="193" spans="1:9" x14ac:dyDescent="0.25">
      <c r="A193" s="15" t="s">
        <v>412</v>
      </c>
      <c r="B193" s="48">
        <v>8</v>
      </c>
      <c r="C193" s="49">
        <v>200</v>
      </c>
      <c r="D193" s="49">
        <v>100</v>
      </c>
      <c r="E193" s="49">
        <f t="shared" si="7"/>
        <v>300</v>
      </c>
      <c r="F193" s="49">
        <v>6.1700000000000001E-3</v>
      </c>
      <c r="G193" s="50">
        <f t="shared" si="9"/>
        <v>118.464</v>
      </c>
      <c r="H193" s="19">
        <f>Q22</f>
        <v>65.78</v>
      </c>
      <c r="I193" s="22">
        <f t="shared" si="8"/>
        <v>7.7925619199999998</v>
      </c>
    </row>
    <row r="194" spans="1:9" x14ac:dyDescent="0.25">
      <c r="A194" s="15" t="s">
        <v>414</v>
      </c>
      <c r="B194" s="48">
        <v>8</v>
      </c>
      <c r="C194" s="49">
        <v>250</v>
      </c>
      <c r="D194" s="49">
        <v>100</v>
      </c>
      <c r="E194" s="49">
        <f t="shared" si="7"/>
        <v>350</v>
      </c>
      <c r="F194" s="49">
        <v>6.1700000000000001E-3</v>
      </c>
      <c r="G194" s="50">
        <f t="shared" si="9"/>
        <v>138.208</v>
      </c>
      <c r="H194" s="19">
        <f>Q22</f>
        <v>65.78</v>
      </c>
      <c r="I194" s="22">
        <f t="shared" si="8"/>
        <v>9.0913222400000002</v>
      </c>
    </row>
    <row r="195" spans="1:9" x14ac:dyDescent="0.25">
      <c r="A195" s="15" t="s">
        <v>416</v>
      </c>
      <c r="B195" s="48">
        <v>8</v>
      </c>
      <c r="C195" s="49">
        <v>300</v>
      </c>
      <c r="D195" s="49">
        <v>100</v>
      </c>
      <c r="E195" s="49">
        <f t="shared" si="7"/>
        <v>400</v>
      </c>
      <c r="F195" s="49">
        <v>6.1700000000000001E-3</v>
      </c>
      <c r="G195" s="50">
        <f t="shared" si="9"/>
        <v>157.952</v>
      </c>
      <c r="H195" s="19">
        <f>Q22</f>
        <v>65.78</v>
      </c>
      <c r="I195" s="22">
        <f t="shared" si="8"/>
        <v>10.390082560000002</v>
      </c>
    </row>
    <row r="196" spans="1:9" x14ac:dyDescent="0.25">
      <c r="A196" s="15" t="s">
        <v>418</v>
      </c>
      <c r="B196" s="48">
        <v>8</v>
      </c>
      <c r="C196" s="49">
        <v>350</v>
      </c>
      <c r="D196" s="49">
        <v>100</v>
      </c>
      <c r="E196" s="49">
        <f t="shared" si="7"/>
        <v>450</v>
      </c>
      <c r="F196" s="49">
        <v>6.1700000000000001E-3</v>
      </c>
      <c r="G196" s="50">
        <f t="shared" si="9"/>
        <v>177.696</v>
      </c>
      <c r="H196" s="19">
        <f>Q22</f>
        <v>65.78</v>
      </c>
      <c r="I196" s="22">
        <f t="shared" si="8"/>
        <v>11.688842879999999</v>
      </c>
    </row>
    <row r="197" spans="1:9" x14ac:dyDescent="0.25">
      <c r="A197" s="15" t="s">
        <v>420</v>
      </c>
      <c r="B197" s="48">
        <v>8</v>
      </c>
      <c r="C197" s="49">
        <v>400</v>
      </c>
      <c r="D197" s="49">
        <v>100</v>
      </c>
      <c r="E197" s="49">
        <f t="shared" si="7"/>
        <v>500</v>
      </c>
      <c r="F197" s="49">
        <v>6.1700000000000001E-3</v>
      </c>
      <c r="G197" s="50">
        <f t="shared" si="9"/>
        <v>197.44</v>
      </c>
      <c r="H197" s="19">
        <f>Q22</f>
        <v>65.78</v>
      </c>
      <c r="I197" s="22">
        <f t="shared" si="8"/>
        <v>12.987603199999999</v>
      </c>
    </row>
    <row r="198" spans="1:9" x14ac:dyDescent="0.25">
      <c r="A198" s="15" t="s">
        <v>422</v>
      </c>
      <c r="B198" s="48">
        <v>8</v>
      </c>
      <c r="C198" s="49">
        <v>450</v>
      </c>
      <c r="D198" s="49">
        <v>100</v>
      </c>
      <c r="E198" s="49">
        <f t="shared" si="7"/>
        <v>550</v>
      </c>
      <c r="F198" s="49">
        <v>6.1700000000000001E-3</v>
      </c>
      <c r="G198" s="50">
        <f t="shared" si="9"/>
        <v>217.184</v>
      </c>
      <c r="H198" s="19">
        <f>Q22</f>
        <v>65.78</v>
      </c>
      <c r="I198" s="22">
        <f t="shared" si="8"/>
        <v>14.28636352</v>
      </c>
    </row>
    <row r="199" spans="1:9" x14ac:dyDescent="0.25">
      <c r="A199" s="15" t="s">
        <v>424</v>
      </c>
      <c r="B199" s="48">
        <v>8</v>
      </c>
      <c r="C199" s="49">
        <v>500</v>
      </c>
      <c r="D199" s="49">
        <v>100</v>
      </c>
      <c r="E199" s="49">
        <f t="shared" ref="E199:E231" si="10">D199+C199</f>
        <v>600</v>
      </c>
      <c r="F199" s="49">
        <v>6.1700000000000001E-3</v>
      </c>
      <c r="G199" s="50">
        <f t="shared" si="9"/>
        <v>236.928</v>
      </c>
      <c r="H199" s="19">
        <f>Q22</f>
        <v>65.78</v>
      </c>
      <c r="I199" s="22">
        <f t="shared" ref="I199:I231" si="11">H199*G199/1000</f>
        <v>15.58512384</v>
      </c>
    </row>
    <row r="200" spans="1:9" x14ac:dyDescent="0.25">
      <c r="A200" s="15" t="s">
        <v>426</v>
      </c>
      <c r="B200" s="48">
        <v>10</v>
      </c>
      <c r="C200" s="49">
        <v>175</v>
      </c>
      <c r="D200" s="49">
        <v>100</v>
      </c>
      <c r="E200" s="49">
        <f t="shared" si="10"/>
        <v>275</v>
      </c>
      <c r="F200" s="49">
        <v>6.1700000000000001E-3</v>
      </c>
      <c r="G200" s="50">
        <f t="shared" si="9"/>
        <v>169.67500000000001</v>
      </c>
      <c r="H200" s="19">
        <f>Q22</f>
        <v>65.78</v>
      </c>
      <c r="I200" s="22">
        <f t="shared" si="11"/>
        <v>11.161221500000002</v>
      </c>
    </row>
    <row r="201" spans="1:9" x14ac:dyDescent="0.25">
      <c r="A201" s="15" t="s">
        <v>428</v>
      </c>
      <c r="B201" s="48">
        <v>10</v>
      </c>
      <c r="C201" s="49">
        <v>200</v>
      </c>
      <c r="D201" s="49">
        <v>100</v>
      </c>
      <c r="E201" s="49">
        <f t="shared" si="10"/>
        <v>300</v>
      </c>
      <c r="F201" s="49">
        <v>6.1700000000000001E-3</v>
      </c>
      <c r="G201" s="50">
        <f t="shared" si="9"/>
        <v>185.1</v>
      </c>
      <c r="H201" s="19">
        <f>Q22</f>
        <v>65.78</v>
      </c>
      <c r="I201" s="22">
        <f t="shared" si="11"/>
        <v>12.175878000000001</v>
      </c>
    </row>
    <row r="202" spans="1:9" x14ac:dyDescent="0.25">
      <c r="A202" s="15" t="s">
        <v>430</v>
      </c>
      <c r="B202" s="48">
        <v>10</v>
      </c>
      <c r="C202" s="49">
        <v>250</v>
      </c>
      <c r="D202" s="49">
        <v>100</v>
      </c>
      <c r="E202" s="49">
        <f t="shared" si="10"/>
        <v>350</v>
      </c>
      <c r="F202" s="49">
        <v>6.1700000000000001E-3</v>
      </c>
      <c r="G202" s="50">
        <f t="shared" si="9"/>
        <v>215.95000000000002</v>
      </c>
      <c r="H202" s="19">
        <f>Q22</f>
        <v>65.78</v>
      </c>
      <c r="I202" s="22">
        <f t="shared" si="11"/>
        <v>14.205191000000001</v>
      </c>
    </row>
    <row r="203" spans="1:9" x14ac:dyDescent="0.25">
      <c r="A203" s="15" t="s">
        <v>432</v>
      </c>
      <c r="B203" s="48">
        <v>10</v>
      </c>
      <c r="C203" s="49">
        <v>300</v>
      </c>
      <c r="D203" s="49">
        <v>100</v>
      </c>
      <c r="E203" s="49">
        <f t="shared" si="10"/>
        <v>400</v>
      </c>
      <c r="F203" s="49">
        <v>6.1700000000000001E-3</v>
      </c>
      <c r="G203" s="50">
        <f t="shared" si="9"/>
        <v>246.8</v>
      </c>
      <c r="H203" s="19">
        <f>Q22</f>
        <v>65.78</v>
      </c>
      <c r="I203" s="22">
        <f t="shared" si="11"/>
        <v>16.234504000000001</v>
      </c>
    </row>
    <row r="204" spans="1:9" x14ac:dyDescent="0.25">
      <c r="A204" s="15" t="s">
        <v>434</v>
      </c>
      <c r="B204" s="48">
        <v>10</v>
      </c>
      <c r="C204" s="49">
        <v>350</v>
      </c>
      <c r="D204" s="49">
        <v>100</v>
      </c>
      <c r="E204" s="49">
        <f t="shared" si="10"/>
        <v>450</v>
      </c>
      <c r="F204" s="49">
        <v>6.1700000000000001E-3</v>
      </c>
      <c r="G204" s="50">
        <f t="shared" si="9"/>
        <v>277.65000000000003</v>
      </c>
      <c r="H204" s="19">
        <f>Q22</f>
        <v>65.78</v>
      </c>
      <c r="I204" s="22">
        <f t="shared" si="11"/>
        <v>18.263817000000003</v>
      </c>
    </row>
    <row r="205" spans="1:9" x14ac:dyDescent="0.25">
      <c r="A205" s="15" t="s">
        <v>436</v>
      </c>
      <c r="B205" s="48">
        <v>10</v>
      </c>
      <c r="C205" s="49">
        <v>400</v>
      </c>
      <c r="D205" s="49">
        <v>100</v>
      </c>
      <c r="E205" s="49">
        <f t="shared" si="10"/>
        <v>500</v>
      </c>
      <c r="F205" s="49">
        <v>6.1700000000000001E-3</v>
      </c>
      <c r="G205" s="50">
        <f t="shared" si="9"/>
        <v>308.5</v>
      </c>
      <c r="H205" s="19">
        <f>Q22</f>
        <v>65.78</v>
      </c>
      <c r="I205" s="22">
        <f t="shared" si="11"/>
        <v>20.293130000000001</v>
      </c>
    </row>
    <row r="206" spans="1:9" x14ac:dyDescent="0.25">
      <c r="A206" s="15" t="s">
        <v>438</v>
      </c>
      <c r="B206" s="48">
        <v>10</v>
      </c>
      <c r="C206" s="49">
        <v>450</v>
      </c>
      <c r="D206" s="49">
        <v>100</v>
      </c>
      <c r="E206" s="49">
        <f t="shared" si="10"/>
        <v>550</v>
      </c>
      <c r="F206" s="49">
        <v>6.1700000000000001E-3</v>
      </c>
      <c r="G206" s="50">
        <f t="shared" si="9"/>
        <v>339.35</v>
      </c>
      <c r="H206" s="19">
        <f>Q22</f>
        <v>65.78</v>
      </c>
      <c r="I206" s="22">
        <f t="shared" si="11"/>
        <v>22.322443000000003</v>
      </c>
    </row>
    <row r="207" spans="1:9" x14ac:dyDescent="0.25">
      <c r="A207" s="15" t="s">
        <v>440</v>
      </c>
      <c r="B207" s="48">
        <v>10</v>
      </c>
      <c r="C207" s="49">
        <v>500</v>
      </c>
      <c r="D207" s="49">
        <v>100</v>
      </c>
      <c r="E207" s="49">
        <f t="shared" si="10"/>
        <v>600</v>
      </c>
      <c r="F207" s="49">
        <v>6.1700000000000001E-3</v>
      </c>
      <c r="G207" s="50">
        <f t="shared" si="9"/>
        <v>370.2</v>
      </c>
      <c r="H207" s="19">
        <f>Q22</f>
        <v>65.78</v>
      </c>
      <c r="I207" s="22">
        <f t="shared" si="11"/>
        <v>24.351756000000002</v>
      </c>
    </row>
    <row r="208" spans="1:9" x14ac:dyDescent="0.25">
      <c r="A208" s="16" t="s">
        <v>302</v>
      </c>
      <c r="B208" s="48">
        <v>3</v>
      </c>
      <c r="C208" s="49">
        <v>60</v>
      </c>
      <c r="D208" s="49">
        <v>60</v>
      </c>
      <c r="E208" s="49">
        <f t="shared" si="10"/>
        <v>120</v>
      </c>
      <c r="F208" s="49">
        <v>6.1700000000000001E-3</v>
      </c>
      <c r="G208" s="50">
        <f t="shared" si="9"/>
        <v>6.6635999999999997</v>
      </c>
      <c r="H208" s="19">
        <f>Q17</f>
        <v>102.08</v>
      </c>
      <c r="I208" s="22">
        <f t="shared" si="11"/>
        <v>0.68022028800000001</v>
      </c>
    </row>
    <row r="209" spans="1:9" x14ac:dyDescent="0.25">
      <c r="A209" s="16" t="s">
        <v>304</v>
      </c>
      <c r="B209" s="48">
        <v>3</v>
      </c>
      <c r="C209" s="49">
        <v>60</v>
      </c>
      <c r="D209" s="49">
        <v>60</v>
      </c>
      <c r="E209" s="49">
        <f t="shared" si="10"/>
        <v>120</v>
      </c>
      <c r="F209" s="49">
        <v>6.1700000000000001E-3</v>
      </c>
      <c r="G209" s="50">
        <f t="shared" si="9"/>
        <v>6.6635999999999997</v>
      </c>
      <c r="H209" s="19">
        <f>Q17</f>
        <v>102.08</v>
      </c>
      <c r="I209" s="22">
        <f t="shared" si="11"/>
        <v>0.68022028800000001</v>
      </c>
    </row>
    <row r="210" spans="1:9" x14ac:dyDescent="0.25">
      <c r="A210" s="16" t="s">
        <v>306</v>
      </c>
      <c r="B210" s="48">
        <v>3</v>
      </c>
      <c r="C210" s="49">
        <v>60</v>
      </c>
      <c r="D210" s="49">
        <v>60</v>
      </c>
      <c r="E210" s="49">
        <f t="shared" si="10"/>
        <v>120</v>
      </c>
      <c r="F210" s="49">
        <v>6.1700000000000001E-3</v>
      </c>
      <c r="G210" s="50">
        <f t="shared" si="9"/>
        <v>6.6635999999999997</v>
      </c>
      <c r="H210" s="19">
        <f>Q17</f>
        <v>102.08</v>
      </c>
      <c r="I210" s="22">
        <f t="shared" si="11"/>
        <v>0.68022028800000001</v>
      </c>
    </row>
    <row r="211" spans="1:9" x14ac:dyDescent="0.25">
      <c r="A211" s="16" t="s">
        <v>308</v>
      </c>
      <c r="B211" s="48">
        <v>3</v>
      </c>
      <c r="C211" s="49">
        <v>60</v>
      </c>
      <c r="D211" s="49">
        <v>60</v>
      </c>
      <c r="E211" s="49">
        <f t="shared" si="10"/>
        <v>120</v>
      </c>
      <c r="F211" s="49">
        <v>6.1700000000000001E-3</v>
      </c>
      <c r="G211" s="50">
        <f t="shared" si="9"/>
        <v>6.6635999999999997</v>
      </c>
      <c r="H211" s="19">
        <f>Q17</f>
        <v>102.08</v>
      </c>
      <c r="I211" s="22">
        <f t="shared" si="11"/>
        <v>0.68022028800000001</v>
      </c>
    </row>
    <row r="212" spans="1:9" x14ac:dyDescent="0.25">
      <c r="A212" s="16" t="s">
        <v>310</v>
      </c>
      <c r="B212" s="48">
        <v>4</v>
      </c>
      <c r="C212" s="49">
        <v>80</v>
      </c>
      <c r="D212" s="49">
        <v>60</v>
      </c>
      <c r="E212" s="49">
        <f t="shared" si="10"/>
        <v>140</v>
      </c>
      <c r="F212" s="49">
        <v>6.1700000000000001E-3</v>
      </c>
      <c r="G212" s="50">
        <f t="shared" si="9"/>
        <v>13.8208</v>
      </c>
      <c r="H212" s="19">
        <f>Q19</f>
        <v>96.58</v>
      </c>
      <c r="I212" s="22">
        <f t="shared" si="11"/>
        <v>1.3348128640000001</v>
      </c>
    </row>
    <row r="213" spans="1:9" x14ac:dyDescent="0.25">
      <c r="A213" s="16" t="s">
        <v>312</v>
      </c>
      <c r="B213" s="48">
        <v>4</v>
      </c>
      <c r="C213" s="49">
        <v>80</v>
      </c>
      <c r="D213" s="49">
        <v>60</v>
      </c>
      <c r="E213" s="49">
        <f t="shared" si="10"/>
        <v>140</v>
      </c>
      <c r="F213" s="49">
        <v>6.1700000000000001E-3</v>
      </c>
      <c r="G213" s="50">
        <f t="shared" si="9"/>
        <v>13.8208</v>
      </c>
      <c r="H213" s="19">
        <f>Q19</f>
        <v>96.58</v>
      </c>
      <c r="I213" s="22">
        <f t="shared" si="11"/>
        <v>1.3348128640000001</v>
      </c>
    </row>
    <row r="214" spans="1:9" x14ac:dyDescent="0.25">
      <c r="A214" s="16" t="s">
        <v>314</v>
      </c>
      <c r="B214" s="48">
        <v>5</v>
      </c>
      <c r="C214" s="49">
        <v>100</v>
      </c>
      <c r="D214" s="49">
        <v>60</v>
      </c>
      <c r="E214" s="49">
        <f t="shared" si="10"/>
        <v>160</v>
      </c>
      <c r="F214" s="49">
        <v>6.1700000000000001E-3</v>
      </c>
      <c r="G214" s="50">
        <f t="shared" si="9"/>
        <v>24.68</v>
      </c>
      <c r="H214" s="19">
        <f>Q21</f>
        <v>81.180000000000007</v>
      </c>
      <c r="I214" s="22">
        <f t="shared" si="11"/>
        <v>2.0035224</v>
      </c>
    </row>
    <row r="215" spans="1:9" x14ac:dyDescent="0.25">
      <c r="A215" s="16" t="s">
        <v>316</v>
      </c>
      <c r="B215" s="48">
        <v>5</v>
      </c>
      <c r="C215" s="49">
        <v>100</v>
      </c>
      <c r="D215" s="49">
        <v>60</v>
      </c>
      <c r="E215" s="49">
        <f t="shared" si="10"/>
        <v>160</v>
      </c>
      <c r="F215" s="49">
        <v>6.1700000000000001E-3</v>
      </c>
      <c r="G215" s="50">
        <f t="shared" si="9"/>
        <v>24.68</v>
      </c>
      <c r="H215" s="19">
        <f>Q21</f>
        <v>81.180000000000007</v>
      </c>
      <c r="I215" s="22">
        <f t="shared" si="11"/>
        <v>2.0035224</v>
      </c>
    </row>
    <row r="216" spans="1:9" x14ac:dyDescent="0.25">
      <c r="A216" s="16" t="s">
        <v>318</v>
      </c>
      <c r="B216" s="48">
        <v>6</v>
      </c>
      <c r="C216" s="49">
        <v>100</v>
      </c>
      <c r="D216" s="49">
        <v>80</v>
      </c>
      <c r="E216" s="49">
        <f t="shared" si="10"/>
        <v>180</v>
      </c>
      <c r="F216" s="49">
        <v>6.1700000000000001E-3</v>
      </c>
      <c r="G216" s="50">
        <f t="shared" ref="G216:G231" si="12">B216*B216*(C216+D216)*F216</f>
        <v>39.9816</v>
      </c>
      <c r="H216" s="19">
        <f>Q22</f>
        <v>65.78</v>
      </c>
      <c r="I216" s="22">
        <f t="shared" si="11"/>
        <v>2.629989648</v>
      </c>
    </row>
    <row r="217" spans="1:9" x14ac:dyDescent="0.25">
      <c r="A217" s="16" t="s">
        <v>320</v>
      </c>
      <c r="B217" s="48">
        <v>7</v>
      </c>
      <c r="C217" s="49">
        <v>125</v>
      </c>
      <c r="D217" s="49">
        <v>80</v>
      </c>
      <c r="E217" s="49">
        <f t="shared" si="10"/>
        <v>205</v>
      </c>
      <c r="F217" s="49">
        <v>6.1700000000000001E-3</v>
      </c>
      <c r="G217" s="50">
        <f t="shared" si="12"/>
        <v>61.977650000000004</v>
      </c>
      <c r="H217" s="19">
        <f>Q22</f>
        <v>65.78</v>
      </c>
      <c r="I217" s="22">
        <f t="shared" si="11"/>
        <v>4.0768898170000005</v>
      </c>
    </row>
    <row r="218" spans="1:9" x14ac:dyDescent="0.25">
      <c r="A218" s="16" t="s">
        <v>322</v>
      </c>
      <c r="B218" s="48">
        <v>8</v>
      </c>
      <c r="C218" s="49">
        <v>150</v>
      </c>
      <c r="D218" s="49">
        <v>100</v>
      </c>
      <c r="E218" s="49">
        <f t="shared" si="10"/>
        <v>250</v>
      </c>
      <c r="F218" s="49">
        <v>6.1700000000000001E-3</v>
      </c>
      <c r="G218" s="50">
        <f t="shared" si="12"/>
        <v>98.72</v>
      </c>
      <c r="H218" s="19">
        <f>Q22</f>
        <v>65.78</v>
      </c>
      <c r="I218" s="22">
        <f t="shared" si="11"/>
        <v>6.4938015999999994</v>
      </c>
    </row>
    <row r="219" spans="1:9" x14ac:dyDescent="0.25">
      <c r="A219" s="16" t="s">
        <v>324</v>
      </c>
      <c r="B219" s="48">
        <v>8</v>
      </c>
      <c r="C219" s="49">
        <v>200</v>
      </c>
      <c r="D219" s="49">
        <v>100</v>
      </c>
      <c r="E219" s="49">
        <f t="shared" si="10"/>
        <v>300</v>
      </c>
      <c r="F219" s="49">
        <v>6.1700000000000001E-3</v>
      </c>
      <c r="G219" s="50">
        <f t="shared" si="12"/>
        <v>118.464</v>
      </c>
      <c r="H219" s="19">
        <f>Q22</f>
        <v>65.78</v>
      </c>
      <c r="I219" s="22">
        <f t="shared" si="11"/>
        <v>7.7925619199999998</v>
      </c>
    </row>
    <row r="220" spans="1:9" x14ac:dyDescent="0.25">
      <c r="A220" s="17" t="s">
        <v>326</v>
      </c>
      <c r="B220" s="48">
        <v>3</v>
      </c>
      <c r="C220" s="49">
        <v>60</v>
      </c>
      <c r="D220" s="49">
        <v>60</v>
      </c>
      <c r="E220" s="49">
        <f t="shared" si="10"/>
        <v>120</v>
      </c>
      <c r="F220" s="49">
        <v>6.1700000000000001E-3</v>
      </c>
      <c r="G220" s="50">
        <f t="shared" si="12"/>
        <v>6.6635999999999997</v>
      </c>
      <c r="H220" s="19">
        <f>Q17</f>
        <v>102.08</v>
      </c>
      <c r="I220" s="22">
        <f t="shared" si="11"/>
        <v>0.68022028800000001</v>
      </c>
    </row>
    <row r="221" spans="1:9" x14ac:dyDescent="0.25">
      <c r="A221" s="17" t="s">
        <v>328</v>
      </c>
      <c r="B221" s="48">
        <v>3</v>
      </c>
      <c r="C221" s="49">
        <v>60</v>
      </c>
      <c r="D221" s="49">
        <v>60</v>
      </c>
      <c r="E221" s="49">
        <f t="shared" si="10"/>
        <v>120</v>
      </c>
      <c r="F221" s="49">
        <v>6.1700000000000001E-3</v>
      </c>
      <c r="G221" s="50">
        <f t="shared" si="12"/>
        <v>6.6635999999999997</v>
      </c>
      <c r="H221" s="19">
        <f>Q17</f>
        <v>102.08</v>
      </c>
      <c r="I221" s="22">
        <f t="shared" si="11"/>
        <v>0.68022028800000001</v>
      </c>
    </row>
    <row r="222" spans="1:9" x14ac:dyDescent="0.25">
      <c r="A222" s="17" t="s">
        <v>330</v>
      </c>
      <c r="B222" s="48">
        <v>3</v>
      </c>
      <c r="C222" s="49">
        <v>60</v>
      </c>
      <c r="D222" s="49">
        <v>60</v>
      </c>
      <c r="E222" s="49">
        <f t="shared" si="10"/>
        <v>120</v>
      </c>
      <c r="F222" s="49">
        <v>6.1700000000000001E-3</v>
      </c>
      <c r="G222" s="50">
        <f t="shared" si="12"/>
        <v>6.6635999999999997</v>
      </c>
      <c r="H222" s="19">
        <f>Q17</f>
        <v>102.08</v>
      </c>
      <c r="I222" s="22">
        <f t="shared" si="11"/>
        <v>0.68022028800000001</v>
      </c>
    </row>
    <row r="223" spans="1:9" x14ac:dyDescent="0.25">
      <c r="A223" s="17" t="s">
        <v>332</v>
      </c>
      <c r="B223" s="48">
        <v>3</v>
      </c>
      <c r="C223" s="49">
        <v>60</v>
      </c>
      <c r="D223" s="49">
        <v>60</v>
      </c>
      <c r="E223" s="49">
        <f t="shared" si="10"/>
        <v>120</v>
      </c>
      <c r="F223" s="49">
        <v>6.1700000000000001E-3</v>
      </c>
      <c r="G223" s="50">
        <f t="shared" si="12"/>
        <v>6.6635999999999997</v>
      </c>
      <c r="H223" s="19">
        <f>Q17</f>
        <v>102.08</v>
      </c>
      <c r="I223" s="22">
        <f t="shared" si="11"/>
        <v>0.68022028800000001</v>
      </c>
    </row>
    <row r="224" spans="1:9" x14ac:dyDescent="0.25">
      <c r="A224" s="17" t="s">
        <v>334</v>
      </c>
      <c r="B224" s="48">
        <v>4</v>
      </c>
      <c r="C224" s="49">
        <v>80</v>
      </c>
      <c r="D224" s="49">
        <v>60</v>
      </c>
      <c r="E224" s="49">
        <f t="shared" si="10"/>
        <v>140</v>
      </c>
      <c r="F224" s="49">
        <v>6.1700000000000001E-3</v>
      </c>
      <c r="G224" s="50">
        <f t="shared" si="12"/>
        <v>13.8208</v>
      </c>
      <c r="H224" s="19">
        <f>Q19</f>
        <v>96.58</v>
      </c>
      <c r="I224" s="22">
        <f t="shared" si="11"/>
        <v>1.3348128640000001</v>
      </c>
    </row>
    <row r="225" spans="1:9" x14ac:dyDescent="0.25">
      <c r="A225" s="17" t="s">
        <v>336</v>
      </c>
      <c r="B225" s="48">
        <v>4</v>
      </c>
      <c r="C225" s="49">
        <v>80</v>
      </c>
      <c r="D225" s="49">
        <v>60</v>
      </c>
      <c r="E225" s="49">
        <f t="shared" si="10"/>
        <v>140</v>
      </c>
      <c r="F225" s="49">
        <v>6.1700000000000001E-3</v>
      </c>
      <c r="G225" s="50">
        <f t="shared" si="12"/>
        <v>13.8208</v>
      </c>
      <c r="H225" s="19">
        <f>Q19</f>
        <v>96.58</v>
      </c>
      <c r="I225" s="22">
        <f t="shared" si="11"/>
        <v>1.3348128640000001</v>
      </c>
    </row>
    <row r="226" spans="1:9" x14ac:dyDescent="0.25">
      <c r="A226" s="17" t="s">
        <v>338</v>
      </c>
      <c r="B226" s="48">
        <v>5</v>
      </c>
      <c r="C226" s="49">
        <v>100</v>
      </c>
      <c r="D226" s="49">
        <v>60</v>
      </c>
      <c r="E226" s="49">
        <f t="shared" si="10"/>
        <v>160</v>
      </c>
      <c r="F226" s="49">
        <v>6.1700000000000001E-3</v>
      </c>
      <c r="G226" s="50">
        <f t="shared" si="12"/>
        <v>24.68</v>
      </c>
      <c r="H226" s="19">
        <f>Q21</f>
        <v>81.180000000000007</v>
      </c>
      <c r="I226" s="22">
        <f t="shared" si="11"/>
        <v>2.0035224</v>
      </c>
    </row>
    <row r="227" spans="1:9" x14ac:dyDescent="0.25">
      <c r="A227" s="17" t="s">
        <v>340</v>
      </c>
      <c r="B227" s="48">
        <v>5</v>
      </c>
      <c r="C227" s="49">
        <v>100</v>
      </c>
      <c r="D227" s="49">
        <v>60</v>
      </c>
      <c r="E227" s="49">
        <f t="shared" si="10"/>
        <v>160</v>
      </c>
      <c r="F227" s="49">
        <v>6.1700000000000001E-3</v>
      </c>
      <c r="G227" s="50">
        <f t="shared" si="12"/>
        <v>24.68</v>
      </c>
      <c r="H227" s="19">
        <f>Q21</f>
        <v>81.180000000000007</v>
      </c>
      <c r="I227" s="22">
        <f t="shared" si="11"/>
        <v>2.0035224</v>
      </c>
    </row>
    <row r="228" spans="1:9" x14ac:dyDescent="0.25">
      <c r="A228" s="17" t="s">
        <v>342</v>
      </c>
      <c r="B228" s="48">
        <v>6</v>
      </c>
      <c r="C228" s="49">
        <v>100</v>
      </c>
      <c r="D228" s="49">
        <v>80</v>
      </c>
      <c r="E228" s="49">
        <f t="shared" si="10"/>
        <v>180</v>
      </c>
      <c r="F228" s="49">
        <v>6.1700000000000001E-3</v>
      </c>
      <c r="G228" s="50">
        <f t="shared" si="12"/>
        <v>39.9816</v>
      </c>
      <c r="H228" s="19">
        <f>Q22</f>
        <v>65.78</v>
      </c>
      <c r="I228" s="22">
        <f t="shared" si="11"/>
        <v>2.629989648</v>
      </c>
    </row>
    <row r="229" spans="1:9" x14ac:dyDescent="0.25">
      <c r="A229" s="17" t="s">
        <v>344</v>
      </c>
      <c r="B229" s="48">
        <v>7</v>
      </c>
      <c r="C229" s="49">
        <v>125</v>
      </c>
      <c r="D229" s="49">
        <v>80</v>
      </c>
      <c r="E229" s="49">
        <f t="shared" si="10"/>
        <v>205</v>
      </c>
      <c r="F229" s="49">
        <v>6.1700000000000001E-3</v>
      </c>
      <c r="G229" s="50">
        <f t="shared" si="12"/>
        <v>61.977650000000004</v>
      </c>
      <c r="H229" s="19">
        <f>Q22</f>
        <v>65.78</v>
      </c>
      <c r="I229" s="22">
        <f t="shared" si="11"/>
        <v>4.0768898170000005</v>
      </c>
    </row>
    <row r="230" spans="1:9" x14ac:dyDescent="0.25">
      <c r="A230" s="17" t="s">
        <v>346</v>
      </c>
      <c r="B230" s="48">
        <v>8</v>
      </c>
      <c r="C230" s="49">
        <v>150</v>
      </c>
      <c r="D230" s="49">
        <v>100</v>
      </c>
      <c r="E230" s="49">
        <f t="shared" si="10"/>
        <v>250</v>
      </c>
      <c r="F230" s="49">
        <v>6.1700000000000001E-3</v>
      </c>
      <c r="G230" s="50">
        <f t="shared" si="12"/>
        <v>98.72</v>
      </c>
      <c r="H230" s="19">
        <f>Q22</f>
        <v>65.78</v>
      </c>
      <c r="I230" s="22">
        <f t="shared" si="11"/>
        <v>6.4938015999999994</v>
      </c>
    </row>
    <row r="231" spans="1:9" x14ac:dyDescent="0.25">
      <c r="A231" s="17" t="s">
        <v>348</v>
      </c>
      <c r="B231" s="48">
        <v>8</v>
      </c>
      <c r="C231" s="49">
        <v>200</v>
      </c>
      <c r="D231" s="49">
        <v>100</v>
      </c>
      <c r="E231" s="49">
        <f t="shared" si="10"/>
        <v>300</v>
      </c>
      <c r="F231" s="49">
        <v>6.1700000000000001E-3</v>
      </c>
      <c r="G231" s="50">
        <f t="shared" si="12"/>
        <v>118.464</v>
      </c>
      <c r="H231" s="19">
        <f>Q22</f>
        <v>65.78</v>
      </c>
      <c r="I231" s="22">
        <f t="shared" si="11"/>
        <v>7.7925619199999998</v>
      </c>
    </row>
    <row r="233" spans="1:9" ht="19.5" x14ac:dyDescent="0.25">
      <c r="A233" s="80" t="s">
        <v>957</v>
      </c>
    </row>
    <row r="234" spans="1:9" x14ac:dyDescent="0.25">
      <c r="A234" s="4" t="s">
        <v>0</v>
      </c>
      <c r="B234" s="28" t="s">
        <v>443</v>
      </c>
      <c r="C234" s="28" t="s">
        <v>452</v>
      </c>
      <c r="D234" s="28" t="s">
        <v>454</v>
      </c>
      <c r="E234" s="28" t="s">
        <v>945</v>
      </c>
      <c r="F234" s="28" t="s">
        <v>450</v>
      </c>
      <c r="G234" s="28" t="s">
        <v>831</v>
      </c>
      <c r="H234" s="28" t="s">
        <v>948</v>
      </c>
      <c r="I234" s="28" t="s">
        <v>448</v>
      </c>
    </row>
    <row r="235" spans="1:9" x14ac:dyDescent="0.25">
      <c r="A235" s="4" t="s">
        <v>834</v>
      </c>
      <c r="B235" s="28">
        <v>5</v>
      </c>
      <c r="C235" s="28">
        <v>75</v>
      </c>
      <c r="D235" s="28">
        <v>90</v>
      </c>
      <c r="E235" s="33">
        <f t="shared" ref="E235:E290" si="13">D235+C235</f>
        <v>165</v>
      </c>
      <c r="F235" s="28">
        <v>7.8499999999999993E-3</v>
      </c>
      <c r="G235" s="28">
        <f>B235*B235*E235*F235</f>
        <v>32.381249999999994</v>
      </c>
      <c r="H235" s="81">
        <f>Q14</f>
        <v>66.88</v>
      </c>
      <c r="I235" s="22">
        <f>G235*H235/1000</f>
        <v>2.1656579999999996</v>
      </c>
    </row>
    <row r="236" spans="1:9" x14ac:dyDescent="0.25">
      <c r="A236" s="4" t="s">
        <v>836</v>
      </c>
      <c r="B236" s="28">
        <v>5</v>
      </c>
      <c r="C236" s="28">
        <v>100</v>
      </c>
      <c r="D236" s="28">
        <v>90</v>
      </c>
      <c r="E236" s="33">
        <f t="shared" si="13"/>
        <v>190</v>
      </c>
      <c r="F236" s="28">
        <v>7.8499999999999993E-3</v>
      </c>
      <c r="G236" s="28">
        <f t="shared" ref="G236:G290" si="14">B236*B236*E236*F236</f>
        <v>37.287499999999994</v>
      </c>
      <c r="H236" s="81">
        <f>Q14</f>
        <v>66.88</v>
      </c>
      <c r="I236" s="22">
        <f t="shared" ref="I236:I290" si="15">G236*H236/1000</f>
        <v>2.4937879999999994</v>
      </c>
    </row>
    <row r="237" spans="1:9" x14ac:dyDescent="0.25">
      <c r="A237" s="4" t="s">
        <v>838</v>
      </c>
      <c r="B237" s="28">
        <v>5</v>
      </c>
      <c r="C237" s="28">
        <v>150</v>
      </c>
      <c r="D237" s="28">
        <v>90</v>
      </c>
      <c r="E237" s="33">
        <f t="shared" si="13"/>
        <v>240</v>
      </c>
      <c r="F237" s="28">
        <v>7.8499999999999993E-3</v>
      </c>
      <c r="G237" s="28">
        <f t="shared" si="14"/>
        <v>47.099999999999994</v>
      </c>
      <c r="H237" s="81">
        <f>Q14</f>
        <v>66.88</v>
      </c>
      <c r="I237" s="22">
        <f t="shared" si="15"/>
        <v>3.1500479999999995</v>
      </c>
    </row>
    <row r="238" spans="1:9" x14ac:dyDescent="0.25">
      <c r="A238" s="4" t="s">
        <v>840</v>
      </c>
      <c r="B238" s="28">
        <v>5</v>
      </c>
      <c r="C238" s="28">
        <v>200</v>
      </c>
      <c r="D238" s="28">
        <v>90</v>
      </c>
      <c r="E238" s="33">
        <f t="shared" si="13"/>
        <v>290</v>
      </c>
      <c r="F238" s="28">
        <v>7.8499999999999993E-3</v>
      </c>
      <c r="G238" s="28">
        <f t="shared" si="14"/>
        <v>56.912499999999994</v>
      </c>
      <c r="H238" s="81">
        <f>Q14</f>
        <v>66.88</v>
      </c>
      <c r="I238" s="22">
        <f t="shared" si="15"/>
        <v>3.8063079999999996</v>
      </c>
    </row>
    <row r="239" spans="1:9" x14ac:dyDescent="0.25">
      <c r="A239" s="4" t="s">
        <v>842</v>
      </c>
      <c r="B239" s="28">
        <v>5</v>
      </c>
      <c r="C239" s="28">
        <v>250</v>
      </c>
      <c r="D239" s="28">
        <v>90</v>
      </c>
      <c r="E239" s="33">
        <f t="shared" si="13"/>
        <v>340</v>
      </c>
      <c r="F239" s="28">
        <v>7.8499999999999993E-3</v>
      </c>
      <c r="G239" s="28">
        <f t="shared" si="14"/>
        <v>66.724999999999994</v>
      </c>
      <c r="H239" s="81">
        <f>Q14</f>
        <v>66.88</v>
      </c>
      <c r="I239" s="22">
        <f t="shared" si="15"/>
        <v>4.4625679999999992</v>
      </c>
    </row>
    <row r="240" spans="1:9" x14ac:dyDescent="0.25">
      <c r="A240" s="4" t="s">
        <v>844</v>
      </c>
      <c r="B240" s="28">
        <v>5</v>
      </c>
      <c r="C240" s="28">
        <v>300</v>
      </c>
      <c r="D240" s="28">
        <v>90</v>
      </c>
      <c r="E240" s="33">
        <f t="shared" si="13"/>
        <v>390</v>
      </c>
      <c r="F240" s="28">
        <v>7.8499999999999993E-3</v>
      </c>
      <c r="G240" s="28">
        <f t="shared" si="14"/>
        <v>76.537499999999994</v>
      </c>
      <c r="H240" s="81">
        <f>Q14</f>
        <v>66.88</v>
      </c>
      <c r="I240" s="22">
        <f t="shared" si="15"/>
        <v>5.1188279999999997</v>
      </c>
    </row>
    <row r="241" spans="1:17" x14ac:dyDescent="0.25">
      <c r="A241" s="4" t="s">
        <v>846</v>
      </c>
      <c r="B241" s="28">
        <v>6</v>
      </c>
      <c r="C241" s="28">
        <v>100</v>
      </c>
      <c r="D241" s="28">
        <v>110</v>
      </c>
      <c r="E241" s="33">
        <f t="shared" si="13"/>
        <v>210</v>
      </c>
      <c r="F241" s="28">
        <v>7.8499999999999993E-3</v>
      </c>
      <c r="G241" s="28">
        <f t="shared" si="14"/>
        <v>59.345999999999997</v>
      </c>
      <c r="H241" s="81">
        <f>Q15</f>
        <v>69.08</v>
      </c>
      <c r="I241" s="22">
        <f t="shared" si="15"/>
        <v>4.0996216799999994</v>
      </c>
    </row>
    <row r="242" spans="1:17" x14ac:dyDescent="0.25">
      <c r="A242" s="4" t="s">
        <v>848</v>
      </c>
      <c r="B242" s="28">
        <v>6</v>
      </c>
      <c r="C242" s="28">
        <v>125</v>
      </c>
      <c r="D242" s="28">
        <v>110</v>
      </c>
      <c r="E242" s="33">
        <f t="shared" si="13"/>
        <v>235</v>
      </c>
      <c r="F242" s="28">
        <v>7.8499999999999993E-3</v>
      </c>
      <c r="G242" s="28">
        <f t="shared" si="14"/>
        <v>66.411000000000001</v>
      </c>
      <c r="H242" s="81">
        <f>Q15</f>
        <v>69.08</v>
      </c>
      <c r="I242" s="22">
        <f t="shared" si="15"/>
        <v>4.5876718800000003</v>
      </c>
    </row>
    <row r="243" spans="1:17" x14ac:dyDescent="0.25">
      <c r="A243" s="4" t="s">
        <v>850</v>
      </c>
      <c r="B243" s="28">
        <v>6</v>
      </c>
      <c r="C243" s="28">
        <v>150</v>
      </c>
      <c r="D243" s="28">
        <v>110</v>
      </c>
      <c r="E243" s="33">
        <f t="shared" si="13"/>
        <v>260</v>
      </c>
      <c r="F243" s="28">
        <v>7.8499999999999993E-3</v>
      </c>
      <c r="G243" s="28">
        <f t="shared" si="14"/>
        <v>73.475999999999999</v>
      </c>
      <c r="H243" s="81">
        <f>Q15</f>
        <v>69.08</v>
      </c>
      <c r="I243" s="22">
        <f t="shared" si="15"/>
        <v>5.0757220799999994</v>
      </c>
    </row>
    <row r="244" spans="1:17" x14ac:dyDescent="0.25">
      <c r="A244" s="4" t="s">
        <v>852</v>
      </c>
      <c r="B244" s="28">
        <v>6</v>
      </c>
      <c r="C244" s="28">
        <v>200</v>
      </c>
      <c r="D244" s="28">
        <v>110</v>
      </c>
      <c r="E244" s="33">
        <f t="shared" si="13"/>
        <v>310</v>
      </c>
      <c r="F244" s="28">
        <v>7.8499999999999993E-3</v>
      </c>
      <c r="G244" s="28">
        <f t="shared" si="14"/>
        <v>87.605999999999995</v>
      </c>
      <c r="H244" s="81">
        <f>Q15</f>
        <v>69.08</v>
      </c>
      <c r="I244" s="22">
        <f t="shared" si="15"/>
        <v>6.0518224800000002</v>
      </c>
    </row>
    <row r="245" spans="1:17" x14ac:dyDescent="0.25">
      <c r="A245" s="4" t="s">
        <v>854</v>
      </c>
      <c r="B245" s="28">
        <v>6</v>
      </c>
      <c r="C245" s="28">
        <v>250</v>
      </c>
      <c r="D245" s="28">
        <v>110</v>
      </c>
      <c r="E245" s="33">
        <f t="shared" si="13"/>
        <v>360</v>
      </c>
      <c r="F245" s="28">
        <v>7.8499999999999993E-3</v>
      </c>
      <c r="G245" s="28">
        <f t="shared" si="14"/>
        <v>101.73599999999999</v>
      </c>
      <c r="H245" s="81">
        <f>Q15</f>
        <v>69.08</v>
      </c>
      <c r="I245" s="22">
        <f t="shared" si="15"/>
        <v>7.0279228799999993</v>
      </c>
    </row>
    <row r="246" spans="1:17" x14ac:dyDescent="0.25">
      <c r="A246" s="4" t="s">
        <v>856</v>
      </c>
      <c r="B246" s="28">
        <v>6</v>
      </c>
      <c r="C246" s="28">
        <v>300</v>
      </c>
      <c r="D246" s="28">
        <v>110</v>
      </c>
      <c r="E246" s="33">
        <f t="shared" si="13"/>
        <v>410</v>
      </c>
      <c r="F246" s="28">
        <v>7.8499999999999993E-3</v>
      </c>
      <c r="G246" s="28">
        <f t="shared" si="14"/>
        <v>115.86599999999999</v>
      </c>
      <c r="H246" s="81">
        <f>Q15</f>
        <v>69.08</v>
      </c>
      <c r="I246" s="22">
        <f t="shared" si="15"/>
        <v>8.0040232799999984</v>
      </c>
    </row>
    <row r="247" spans="1:17" x14ac:dyDescent="0.25">
      <c r="A247" s="4" t="s">
        <v>858</v>
      </c>
      <c r="B247" s="28">
        <v>6</v>
      </c>
      <c r="C247" s="28">
        <v>350</v>
      </c>
      <c r="D247" s="28">
        <v>110</v>
      </c>
      <c r="E247" s="33">
        <f t="shared" si="13"/>
        <v>460</v>
      </c>
      <c r="F247" s="28">
        <v>7.8499999999999993E-3</v>
      </c>
      <c r="G247" s="28">
        <f t="shared" si="14"/>
        <v>129.99599999999998</v>
      </c>
      <c r="H247" s="81">
        <f>Q15</f>
        <v>69.08</v>
      </c>
      <c r="I247" s="22">
        <f t="shared" si="15"/>
        <v>8.9801236799999984</v>
      </c>
    </row>
    <row r="248" spans="1:17" x14ac:dyDescent="0.25">
      <c r="A248" s="4" t="s">
        <v>860</v>
      </c>
      <c r="B248" s="28">
        <v>6</v>
      </c>
      <c r="C248" s="28">
        <v>400</v>
      </c>
      <c r="D248" s="28">
        <v>110</v>
      </c>
      <c r="E248" s="33">
        <f t="shared" si="13"/>
        <v>510</v>
      </c>
      <c r="F248" s="28">
        <v>7.8499999999999993E-3</v>
      </c>
      <c r="G248" s="28">
        <f t="shared" si="14"/>
        <v>144.12599999999998</v>
      </c>
      <c r="H248" s="81">
        <f>Q15</f>
        <v>69.08</v>
      </c>
      <c r="I248" s="22">
        <f t="shared" si="15"/>
        <v>9.9562240799999984</v>
      </c>
    </row>
    <row r="249" spans="1:17" x14ac:dyDescent="0.25">
      <c r="A249" s="4" t="s">
        <v>862</v>
      </c>
      <c r="B249" s="28">
        <v>8</v>
      </c>
      <c r="C249" s="28">
        <v>125</v>
      </c>
      <c r="D249" s="28">
        <v>125</v>
      </c>
      <c r="E249" s="33">
        <f t="shared" si="13"/>
        <v>250</v>
      </c>
      <c r="F249" s="28">
        <v>7.8499999999999993E-3</v>
      </c>
      <c r="G249" s="28">
        <f t="shared" si="14"/>
        <v>125.6</v>
      </c>
      <c r="H249" s="81">
        <f>Q15</f>
        <v>69.08</v>
      </c>
      <c r="I249" s="22">
        <f t="shared" si="15"/>
        <v>8.6764479999999988</v>
      </c>
    </row>
    <row r="250" spans="1:17" x14ac:dyDescent="0.25">
      <c r="A250" s="4" t="s">
        <v>864</v>
      </c>
      <c r="B250" s="28">
        <v>8</v>
      </c>
      <c r="C250" s="28">
        <v>150</v>
      </c>
      <c r="D250" s="28">
        <v>125</v>
      </c>
      <c r="E250" s="33">
        <f t="shared" si="13"/>
        <v>275</v>
      </c>
      <c r="F250" s="28">
        <v>7.8499999999999993E-3</v>
      </c>
      <c r="G250" s="28">
        <f t="shared" si="14"/>
        <v>138.16</v>
      </c>
      <c r="H250" s="81">
        <f>Q15</f>
        <v>69.08</v>
      </c>
      <c r="I250" s="22">
        <f t="shared" si="15"/>
        <v>9.5440927999999996</v>
      </c>
    </row>
    <row r="251" spans="1:17" x14ac:dyDescent="0.25">
      <c r="A251" s="4" t="s">
        <v>866</v>
      </c>
      <c r="B251" s="28">
        <v>8</v>
      </c>
      <c r="C251" s="28">
        <v>200</v>
      </c>
      <c r="D251" s="28">
        <v>125</v>
      </c>
      <c r="E251" s="33">
        <f t="shared" si="13"/>
        <v>325</v>
      </c>
      <c r="F251" s="28">
        <v>7.8499999999999993E-3</v>
      </c>
      <c r="G251" s="28">
        <f t="shared" si="14"/>
        <v>163.27999999999997</v>
      </c>
      <c r="H251" s="81">
        <f>Q15</f>
        <v>69.08</v>
      </c>
      <c r="I251" s="22">
        <f t="shared" si="15"/>
        <v>11.279382399999999</v>
      </c>
    </row>
    <row r="252" spans="1:17" x14ac:dyDescent="0.25">
      <c r="A252" s="4" t="s">
        <v>868</v>
      </c>
      <c r="B252" s="28">
        <v>8</v>
      </c>
      <c r="C252" s="28">
        <v>250</v>
      </c>
      <c r="D252" s="28">
        <v>125</v>
      </c>
      <c r="E252" s="33">
        <f t="shared" si="13"/>
        <v>375</v>
      </c>
      <c r="F252" s="28">
        <v>7.8499999999999993E-3</v>
      </c>
      <c r="G252" s="28">
        <f t="shared" si="14"/>
        <v>188.39999999999998</v>
      </c>
      <c r="H252" s="81">
        <f>Q15</f>
        <v>69.08</v>
      </c>
      <c r="I252" s="22">
        <f t="shared" si="15"/>
        <v>13.014671999999999</v>
      </c>
    </row>
    <row r="253" spans="1:17" x14ac:dyDescent="0.25">
      <c r="A253" s="4" t="s">
        <v>870</v>
      </c>
      <c r="B253" s="28">
        <v>8</v>
      </c>
      <c r="C253" s="28">
        <v>300</v>
      </c>
      <c r="D253" s="28">
        <v>125</v>
      </c>
      <c r="E253" s="33">
        <f t="shared" si="13"/>
        <v>425</v>
      </c>
      <c r="F253" s="28">
        <v>7.8499999999999993E-3</v>
      </c>
      <c r="G253" s="28">
        <f t="shared" si="14"/>
        <v>213.51999999999998</v>
      </c>
      <c r="H253" s="81">
        <f>Q15</f>
        <v>69.08</v>
      </c>
      <c r="I253" s="22">
        <f t="shared" si="15"/>
        <v>14.749961599999999</v>
      </c>
      <c r="L253" s="113">
        <v>8660</v>
      </c>
      <c r="M253" s="113" t="s">
        <v>654</v>
      </c>
      <c r="N253" s="113" t="s">
        <v>655</v>
      </c>
      <c r="O253" s="113">
        <v>84.8</v>
      </c>
      <c r="P253" s="113">
        <v>1.1000000000000001</v>
      </c>
      <c r="Q253" s="113">
        <f t="shared" ref="Q253:Q257" si="16">P253*O253</f>
        <v>93.28</v>
      </c>
    </row>
    <row r="254" spans="1:17" x14ac:dyDescent="0.25">
      <c r="A254" s="4" t="s">
        <v>872</v>
      </c>
      <c r="B254" s="28">
        <v>8</v>
      </c>
      <c r="C254" s="28">
        <v>350</v>
      </c>
      <c r="D254" s="28">
        <v>125</v>
      </c>
      <c r="E254" s="33">
        <f t="shared" si="13"/>
        <v>475</v>
      </c>
      <c r="F254" s="28">
        <v>7.8499999999999993E-3</v>
      </c>
      <c r="G254" s="28">
        <f t="shared" si="14"/>
        <v>238.64</v>
      </c>
      <c r="H254" s="81">
        <f>Q15</f>
        <v>69.08</v>
      </c>
      <c r="I254" s="22">
        <f t="shared" si="15"/>
        <v>16.4852512</v>
      </c>
      <c r="L254" s="113">
        <v>8660</v>
      </c>
      <c r="M254" s="113" t="s">
        <v>654</v>
      </c>
      <c r="N254" s="113" t="s">
        <v>488</v>
      </c>
      <c r="O254" s="113">
        <v>84.8</v>
      </c>
      <c r="P254" s="113">
        <v>1.1000000000000001</v>
      </c>
      <c r="Q254" s="113">
        <f t="shared" si="16"/>
        <v>93.28</v>
      </c>
    </row>
    <row r="255" spans="1:17" x14ac:dyDescent="0.25">
      <c r="A255" s="4" t="s">
        <v>874</v>
      </c>
      <c r="B255" s="28">
        <v>8</v>
      </c>
      <c r="C255" s="28">
        <v>400</v>
      </c>
      <c r="D255" s="28">
        <v>125</v>
      </c>
      <c r="E255" s="33">
        <f t="shared" si="13"/>
        <v>525</v>
      </c>
      <c r="F255" s="28">
        <v>7.8499999999999993E-3</v>
      </c>
      <c r="G255" s="28">
        <f t="shared" si="14"/>
        <v>263.76</v>
      </c>
      <c r="H255" s="81">
        <f>Q15</f>
        <v>69.08</v>
      </c>
      <c r="I255" s="22">
        <f t="shared" si="15"/>
        <v>18.220540799999998</v>
      </c>
      <c r="L255" s="113">
        <v>8660</v>
      </c>
      <c r="M255" s="113" t="s">
        <v>654</v>
      </c>
      <c r="N255" s="113" t="s">
        <v>489</v>
      </c>
      <c r="O255" s="113">
        <v>66.8</v>
      </c>
      <c r="P255" s="113">
        <v>1.1000000000000001</v>
      </c>
      <c r="Q255" s="113">
        <f t="shared" si="16"/>
        <v>73.48</v>
      </c>
    </row>
    <row r="256" spans="1:17" x14ac:dyDescent="0.25">
      <c r="A256" s="4" t="s">
        <v>876</v>
      </c>
      <c r="B256" s="28">
        <v>8</v>
      </c>
      <c r="C256" s="28">
        <v>450</v>
      </c>
      <c r="D256" s="28">
        <v>125</v>
      </c>
      <c r="E256" s="33">
        <f t="shared" si="13"/>
        <v>575</v>
      </c>
      <c r="F256" s="28">
        <v>7.8499999999999993E-3</v>
      </c>
      <c r="G256" s="28">
        <f t="shared" si="14"/>
        <v>288.88</v>
      </c>
      <c r="H256" s="81">
        <f>Q15</f>
        <v>69.08</v>
      </c>
      <c r="I256" s="22">
        <f t="shared" si="15"/>
        <v>19.9558304</v>
      </c>
      <c r="L256" s="113">
        <v>8660</v>
      </c>
      <c r="M256" s="113" t="s">
        <v>654</v>
      </c>
      <c r="N256" s="113" t="s">
        <v>653</v>
      </c>
      <c r="O256" s="113">
        <v>60.8</v>
      </c>
      <c r="P256" s="113">
        <v>1.1000000000000001</v>
      </c>
      <c r="Q256" s="113">
        <f t="shared" si="16"/>
        <v>66.88</v>
      </c>
    </row>
    <row r="257" spans="1:17" x14ac:dyDescent="0.25">
      <c r="A257" s="4" t="s">
        <v>878</v>
      </c>
      <c r="B257" s="28">
        <v>8</v>
      </c>
      <c r="C257" s="28">
        <v>500</v>
      </c>
      <c r="D257" s="28">
        <v>125</v>
      </c>
      <c r="E257" s="33">
        <f t="shared" si="13"/>
        <v>625</v>
      </c>
      <c r="F257" s="28">
        <v>7.8499999999999993E-3</v>
      </c>
      <c r="G257" s="28">
        <f t="shared" si="14"/>
        <v>314</v>
      </c>
      <c r="H257" s="81">
        <f>Q15</f>
        <v>69.08</v>
      </c>
      <c r="I257" s="22">
        <f t="shared" si="15"/>
        <v>21.691119999999998</v>
      </c>
      <c r="L257" s="113">
        <v>8660</v>
      </c>
      <c r="M257" s="113" t="s">
        <v>654</v>
      </c>
      <c r="N257" s="113" t="s">
        <v>661</v>
      </c>
      <c r="O257" s="113">
        <v>62.8</v>
      </c>
      <c r="P257" s="113">
        <v>1.1000000000000001</v>
      </c>
      <c r="Q257" s="113">
        <f t="shared" si="16"/>
        <v>69.08</v>
      </c>
    </row>
    <row r="258" spans="1:17" x14ac:dyDescent="0.25">
      <c r="A258" s="4" t="s">
        <v>880</v>
      </c>
      <c r="B258" s="28">
        <v>4</v>
      </c>
      <c r="C258" s="28">
        <v>75</v>
      </c>
      <c r="D258" s="28">
        <v>98</v>
      </c>
      <c r="E258" s="33">
        <f t="shared" si="13"/>
        <v>173</v>
      </c>
      <c r="F258" s="28">
        <v>7.8499999999999993E-3</v>
      </c>
      <c r="G258" s="28">
        <f t="shared" si="14"/>
        <v>21.7288</v>
      </c>
      <c r="H258" s="81">
        <f>Q15</f>
        <v>69.08</v>
      </c>
      <c r="I258" s="22">
        <f t="shared" si="15"/>
        <v>1.501025504</v>
      </c>
    </row>
    <row r="259" spans="1:17" x14ac:dyDescent="0.25">
      <c r="A259" s="4" t="s">
        <v>882</v>
      </c>
      <c r="B259" s="28">
        <v>4</v>
      </c>
      <c r="C259" s="28">
        <v>100</v>
      </c>
      <c r="D259" s="28">
        <v>98</v>
      </c>
      <c r="E259" s="33">
        <f t="shared" si="13"/>
        <v>198</v>
      </c>
      <c r="F259" s="28">
        <v>7.8499999999999993E-3</v>
      </c>
      <c r="G259" s="28">
        <f t="shared" si="14"/>
        <v>24.868799999999997</v>
      </c>
      <c r="H259" s="81">
        <f>Q15</f>
        <v>69.08</v>
      </c>
      <c r="I259" s="22">
        <f t="shared" si="15"/>
        <v>1.7179367039999998</v>
      </c>
    </row>
    <row r="260" spans="1:17" x14ac:dyDescent="0.25">
      <c r="A260" s="4" t="s">
        <v>884</v>
      </c>
      <c r="B260" s="28">
        <v>5</v>
      </c>
      <c r="C260" s="28">
        <v>100</v>
      </c>
      <c r="D260" s="28">
        <v>98</v>
      </c>
      <c r="E260" s="33">
        <f t="shared" si="13"/>
        <v>198</v>
      </c>
      <c r="F260" s="28">
        <v>7.8499999999999993E-3</v>
      </c>
      <c r="G260" s="28">
        <f t="shared" si="14"/>
        <v>38.857499999999995</v>
      </c>
      <c r="H260" s="81">
        <f>Q15</f>
        <v>69.08</v>
      </c>
      <c r="I260" s="22">
        <f t="shared" si="15"/>
        <v>2.6842760999999995</v>
      </c>
    </row>
    <row r="261" spans="1:17" x14ac:dyDescent="0.25">
      <c r="A261" s="4" t="s">
        <v>886</v>
      </c>
      <c r="B261" s="28">
        <v>5</v>
      </c>
      <c r="C261" s="28">
        <v>125</v>
      </c>
      <c r="D261" s="28">
        <v>98</v>
      </c>
      <c r="E261" s="33">
        <f t="shared" si="13"/>
        <v>223</v>
      </c>
      <c r="F261" s="28">
        <v>7.8499999999999993E-3</v>
      </c>
      <c r="G261" s="28">
        <f t="shared" si="14"/>
        <v>43.763749999999995</v>
      </c>
      <c r="H261" s="81">
        <f>Q15</f>
        <v>69.08</v>
      </c>
      <c r="I261" s="22">
        <f t="shared" si="15"/>
        <v>3.0231998499999997</v>
      </c>
    </row>
    <row r="262" spans="1:17" x14ac:dyDescent="0.25">
      <c r="A262" s="4" t="s">
        <v>888</v>
      </c>
      <c r="B262" s="28">
        <v>5</v>
      </c>
      <c r="C262" s="28">
        <v>150</v>
      </c>
      <c r="D262" s="28">
        <v>98</v>
      </c>
      <c r="E262" s="33">
        <f t="shared" si="13"/>
        <v>248</v>
      </c>
      <c r="F262" s="28">
        <v>7.8499999999999993E-3</v>
      </c>
      <c r="G262" s="28">
        <f t="shared" si="14"/>
        <v>48.669999999999995</v>
      </c>
      <c r="H262" s="81">
        <f>Q15</f>
        <v>69.08</v>
      </c>
      <c r="I262" s="22">
        <f t="shared" si="15"/>
        <v>3.3621235999999994</v>
      </c>
    </row>
    <row r="263" spans="1:17" x14ac:dyDescent="0.25">
      <c r="A263" s="4" t="s">
        <v>890</v>
      </c>
      <c r="B263" s="28">
        <v>5</v>
      </c>
      <c r="C263" s="28">
        <v>200</v>
      </c>
      <c r="D263" s="28">
        <v>98</v>
      </c>
      <c r="E263" s="33">
        <f t="shared" si="13"/>
        <v>298</v>
      </c>
      <c r="F263" s="28">
        <v>7.8499999999999993E-3</v>
      </c>
      <c r="G263" s="28">
        <f t="shared" si="14"/>
        <v>58.482499999999995</v>
      </c>
      <c r="H263" s="81">
        <f>Q15</f>
        <v>69.08</v>
      </c>
      <c r="I263" s="22">
        <f t="shared" si="15"/>
        <v>4.0399710999999998</v>
      </c>
    </row>
    <row r="264" spans="1:17" x14ac:dyDescent="0.25">
      <c r="A264" s="4" t="s">
        <v>892</v>
      </c>
      <c r="B264" s="28">
        <v>5</v>
      </c>
      <c r="C264" s="28">
        <v>250</v>
      </c>
      <c r="D264" s="28">
        <v>98</v>
      </c>
      <c r="E264" s="33">
        <f t="shared" si="13"/>
        <v>348</v>
      </c>
      <c r="F264" s="28">
        <v>7.8499999999999993E-3</v>
      </c>
      <c r="G264" s="28">
        <f t="shared" si="14"/>
        <v>68.294999999999987</v>
      </c>
      <c r="H264" s="81">
        <f>Q15</f>
        <v>69.08</v>
      </c>
      <c r="I264" s="22">
        <f t="shared" si="15"/>
        <v>4.7178185999999984</v>
      </c>
    </row>
    <row r="265" spans="1:17" x14ac:dyDescent="0.25">
      <c r="A265" s="4" t="s">
        <v>894</v>
      </c>
      <c r="B265" s="28">
        <v>5</v>
      </c>
      <c r="C265" s="28">
        <v>300</v>
      </c>
      <c r="D265" s="28">
        <v>98</v>
      </c>
      <c r="E265" s="33">
        <f t="shared" si="13"/>
        <v>398</v>
      </c>
      <c r="F265" s="28">
        <v>7.8499999999999993E-3</v>
      </c>
      <c r="G265" s="28">
        <f t="shared" si="14"/>
        <v>78.107499999999987</v>
      </c>
      <c r="H265" s="81">
        <f>Q15</f>
        <v>69.08</v>
      </c>
      <c r="I265" s="22">
        <f t="shared" si="15"/>
        <v>5.3956660999999988</v>
      </c>
    </row>
    <row r="266" spans="1:17" x14ac:dyDescent="0.25">
      <c r="A266" s="4" t="s">
        <v>896</v>
      </c>
      <c r="B266" s="28">
        <v>6</v>
      </c>
      <c r="C266" s="28">
        <v>100</v>
      </c>
      <c r="D266" s="28">
        <v>119</v>
      </c>
      <c r="E266" s="33">
        <f t="shared" si="13"/>
        <v>219</v>
      </c>
      <c r="F266" s="28">
        <v>7.8499999999999993E-3</v>
      </c>
      <c r="G266" s="28">
        <f t="shared" si="14"/>
        <v>61.889399999999995</v>
      </c>
      <c r="H266" s="81">
        <f>Q15</f>
        <v>69.08</v>
      </c>
      <c r="I266" s="22">
        <f t="shared" si="15"/>
        <v>4.2753197519999997</v>
      </c>
    </row>
    <row r="267" spans="1:17" x14ac:dyDescent="0.25">
      <c r="A267" s="4" t="s">
        <v>898</v>
      </c>
      <c r="B267" s="28">
        <v>6</v>
      </c>
      <c r="C267" s="28">
        <v>125</v>
      </c>
      <c r="D267" s="28">
        <v>119</v>
      </c>
      <c r="E267" s="33">
        <f t="shared" si="13"/>
        <v>244</v>
      </c>
      <c r="F267" s="28">
        <v>7.8499999999999993E-3</v>
      </c>
      <c r="G267" s="28">
        <f t="shared" si="14"/>
        <v>68.954399999999993</v>
      </c>
      <c r="H267" s="81">
        <f>Q15</f>
        <v>69.08</v>
      </c>
      <c r="I267" s="22">
        <f t="shared" si="15"/>
        <v>4.7633699519999988</v>
      </c>
    </row>
    <row r="268" spans="1:17" x14ac:dyDescent="0.25">
      <c r="A268" s="4" t="s">
        <v>900</v>
      </c>
      <c r="B268" s="28">
        <v>6</v>
      </c>
      <c r="C268" s="28">
        <v>150</v>
      </c>
      <c r="D268" s="28">
        <v>119</v>
      </c>
      <c r="E268" s="33">
        <f t="shared" si="13"/>
        <v>269</v>
      </c>
      <c r="F268" s="28">
        <v>7.8499999999999993E-3</v>
      </c>
      <c r="G268" s="28">
        <f t="shared" si="14"/>
        <v>76.01939999999999</v>
      </c>
      <c r="H268" s="81">
        <f>Q15</f>
        <v>69.08</v>
      </c>
      <c r="I268" s="22">
        <f t="shared" si="15"/>
        <v>5.2514201519999988</v>
      </c>
    </row>
    <row r="269" spans="1:17" x14ac:dyDescent="0.25">
      <c r="A269" s="4" t="s">
        <v>902</v>
      </c>
      <c r="B269" s="28">
        <v>6</v>
      </c>
      <c r="C269" s="28">
        <v>200</v>
      </c>
      <c r="D269" s="28">
        <v>119</v>
      </c>
      <c r="E269" s="33">
        <f t="shared" si="13"/>
        <v>319</v>
      </c>
      <c r="F269" s="28">
        <v>7.8499999999999993E-3</v>
      </c>
      <c r="G269" s="28">
        <f t="shared" si="14"/>
        <v>90.149399999999986</v>
      </c>
      <c r="H269" s="81">
        <f>Q15</f>
        <v>69.08</v>
      </c>
      <c r="I269" s="22">
        <f t="shared" si="15"/>
        <v>6.2275205519999988</v>
      </c>
    </row>
    <row r="270" spans="1:17" x14ac:dyDescent="0.25">
      <c r="A270" s="4" t="s">
        <v>904</v>
      </c>
      <c r="B270" s="28">
        <v>6</v>
      </c>
      <c r="C270" s="28">
        <v>250</v>
      </c>
      <c r="D270" s="28">
        <v>119</v>
      </c>
      <c r="E270" s="33">
        <f t="shared" si="13"/>
        <v>369</v>
      </c>
      <c r="F270" s="28">
        <v>7.8499999999999993E-3</v>
      </c>
      <c r="G270" s="28">
        <f t="shared" si="14"/>
        <v>104.2794</v>
      </c>
      <c r="H270" s="81">
        <f>Q15</f>
        <v>69.08</v>
      </c>
      <c r="I270" s="22">
        <f t="shared" si="15"/>
        <v>7.2036209519999996</v>
      </c>
    </row>
    <row r="271" spans="1:17" x14ac:dyDescent="0.25">
      <c r="A271" s="4" t="s">
        <v>906</v>
      </c>
      <c r="B271" s="28">
        <v>6</v>
      </c>
      <c r="C271" s="28">
        <v>300</v>
      </c>
      <c r="D271" s="28">
        <v>119</v>
      </c>
      <c r="E271" s="33">
        <f t="shared" si="13"/>
        <v>419</v>
      </c>
      <c r="F271" s="28">
        <v>7.8499999999999993E-3</v>
      </c>
      <c r="G271" s="28">
        <f t="shared" si="14"/>
        <v>118.40939999999999</v>
      </c>
      <c r="H271" s="81">
        <f>Q15</f>
        <v>69.08</v>
      </c>
      <c r="I271" s="22">
        <f t="shared" si="15"/>
        <v>8.1797213519999996</v>
      </c>
    </row>
    <row r="272" spans="1:17" x14ac:dyDescent="0.25">
      <c r="A272" s="4" t="s">
        <v>908</v>
      </c>
      <c r="B272" s="28">
        <v>6</v>
      </c>
      <c r="C272" s="28">
        <v>350</v>
      </c>
      <c r="D272" s="28">
        <v>119</v>
      </c>
      <c r="E272" s="33">
        <f t="shared" si="13"/>
        <v>469</v>
      </c>
      <c r="F272" s="28">
        <v>7.8499999999999993E-3</v>
      </c>
      <c r="G272" s="28">
        <f t="shared" si="14"/>
        <v>132.5394</v>
      </c>
      <c r="H272" s="81">
        <f>Q15</f>
        <v>69.08</v>
      </c>
      <c r="I272" s="22">
        <f t="shared" si="15"/>
        <v>9.1558217519999996</v>
      </c>
    </row>
    <row r="273" spans="1:9" x14ac:dyDescent="0.25">
      <c r="A273" s="4" t="s">
        <v>910</v>
      </c>
      <c r="B273" s="28">
        <v>6</v>
      </c>
      <c r="C273" s="28">
        <v>400</v>
      </c>
      <c r="D273" s="28">
        <v>119</v>
      </c>
      <c r="E273" s="33">
        <f t="shared" si="13"/>
        <v>519</v>
      </c>
      <c r="F273" s="28">
        <v>7.8499999999999993E-3</v>
      </c>
      <c r="G273" s="28">
        <f t="shared" si="14"/>
        <v>146.6694</v>
      </c>
      <c r="H273" s="81">
        <f>Q15</f>
        <v>69.08</v>
      </c>
      <c r="I273" s="22">
        <f t="shared" si="15"/>
        <v>10.131922152</v>
      </c>
    </row>
    <row r="274" spans="1:9" x14ac:dyDescent="0.25">
      <c r="A274" s="4" t="s">
        <v>912</v>
      </c>
      <c r="B274" s="28">
        <v>7</v>
      </c>
      <c r="C274" s="28">
        <v>150</v>
      </c>
      <c r="D274" s="28">
        <v>134</v>
      </c>
      <c r="E274" s="33">
        <f t="shared" si="13"/>
        <v>284</v>
      </c>
      <c r="F274" s="28">
        <v>7.8499999999999993E-3</v>
      </c>
      <c r="G274" s="28">
        <f t="shared" si="14"/>
        <v>109.24059999999999</v>
      </c>
      <c r="H274" s="81">
        <f>Q15</f>
        <v>69.08</v>
      </c>
      <c r="I274" s="22">
        <f t="shared" si="15"/>
        <v>7.5463406479999984</v>
      </c>
    </row>
    <row r="275" spans="1:9" x14ac:dyDescent="0.25">
      <c r="A275" s="4" t="s">
        <v>914</v>
      </c>
      <c r="B275" s="28">
        <v>7</v>
      </c>
      <c r="C275" s="28">
        <v>175</v>
      </c>
      <c r="D275" s="28">
        <v>134</v>
      </c>
      <c r="E275" s="33">
        <f t="shared" si="13"/>
        <v>309</v>
      </c>
      <c r="F275" s="28">
        <v>7.8499999999999993E-3</v>
      </c>
      <c r="G275" s="28">
        <f t="shared" si="14"/>
        <v>118.85684999999999</v>
      </c>
      <c r="H275" s="81">
        <f>Q15</f>
        <v>69.08</v>
      </c>
      <c r="I275" s="22">
        <f t="shared" si="15"/>
        <v>8.2106311979999997</v>
      </c>
    </row>
    <row r="276" spans="1:9" x14ac:dyDescent="0.25">
      <c r="A276" s="4" t="s">
        <v>916</v>
      </c>
      <c r="B276" s="28">
        <v>7</v>
      </c>
      <c r="C276" s="28">
        <v>200</v>
      </c>
      <c r="D276" s="28">
        <v>134</v>
      </c>
      <c r="E276" s="33">
        <f t="shared" si="13"/>
        <v>334</v>
      </c>
      <c r="F276" s="28">
        <v>7.8499999999999993E-3</v>
      </c>
      <c r="G276" s="28">
        <f t="shared" si="14"/>
        <v>128.47309999999999</v>
      </c>
      <c r="H276" s="81">
        <f>Q15</f>
        <v>69.08</v>
      </c>
      <c r="I276" s="22">
        <f t="shared" si="15"/>
        <v>8.8749217479999984</v>
      </c>
    </row>
    <row r="277" spans="1:9" x14ac:dyDescent="0.25">
      <c r="A277" s="4" t="s">
        <v>918</v>
      </c>
      <c r="B277" s="28">
        <v>7</v>
      </c>
      <c r="C277" s="28">
        <v>250</v>
      </c>
      <c r="D277" s="28">
        <v>134</v>
      </c>
      <c r="E277" s="33">
        <f t="shared" si="13"/>
        <v>384</v>
      </c>
      <c r="F277" s="28">
        <v>7.8499999999999993E-3</v>
      </c>
      <c r="G277" s="28">
        <f t="shared" si="14"/>
        <v>147.70559999999998</v>
      </c>
      <c r="H277" s="81">
        <f>Q15</f>
        <v>69.08</v>
      </c>
      <c r="I277" s="22">
        <f t="shared" si="15"/>
        <v>10.203502847999998</v>
      </c>
    </row>
    <row r="278" spans="1:9" x14ac:dyDescent="0.25">
      <c r="A278" s="4" t="s">
        <v>920</v>
      </c>
      <c r="B278" s="28">
        <v>7</v>
      </c>
      <c r="C278" s="28">
        <v>300</v>
      </c>
      <c r="D278" s="28">
        <v>134</v>
      </c>
      <c r="E278" s="33">
        <f t="shared" si="13"/>
        <v>434</v>
      </c>
      <c r="F278" s="28">
        <v>7.8499999999999993E-3</v>
      </c>
      <c r="G278" s="28">
        <f t="shared" si="14"/>
        <v>166.93809999999999</v>
      </c>
      <c r="H278" s="81">
        <f>Q15</f>
        <v>69.08</v>
      </c>
      <c r="I278" s="22">
        <f t="shared" si="15"/>
        <v>11.532083948</v>
      </c>
    </row>
    <row r="279" spans="1:9" x14ac:dyDescent="0.25">
      <c r="A279" s="4" t="s">
        <v>922</v>
      </c>
      <c r="B279" s="28">
        <v>7</v>
      </c>
      <c r="C279" s="28">
        <v>350</v>
      </c>
      <c r="D279" s="28">
        <v>134</v>
      </c>
      <c r="E279" s="33">
        <f t="shared" si="13"/>
        <v>484</v>
      </c>
      <c r="F279" s="28">
        <v>7.8499999999999993E-3</v>
      </c>
      <c r="G279" s="28">
        <f t="shared" si="14"/>
        <v>186.17059999999998</v>
      </c>
      <c r="H279" s="81">
        <f>Q15</f>
        <v>69.08</v>
      </c>
      <c r="I279" s="22">
        <f t="shared" si="15"/>
        <v>12.860665048</v>
      </c>
    </row>
    <row r="280" spans="1:9" x14ac:dyDescent="0.25">
      <c r="A280" s="4" t="s">
        <v>924</v>
      </c>
      <c r="B280" s="28">
        <v>7</v>
      </c>
      <c r="C280" s="28">
        <v>400</v>
      </c>
      <c r="D280" s="28">
        <v>134</v>
      </c>
      <c r="E280" s="33">
        <f t="shared" si="13"/>
        <v>534</v>
      </c>
      <c r="F280" s="28">
        <v>7.8499999999999993E-3</v>
      </c>
      <c r="G280" s="28">
        <f t="shared" si="14"/>
        <v>205.40309999999999</v>
      </c>
      <c r="H280" s="81">
        <f>Q15</f>
        <v>69.08</v>
      </c>
      <c r="I280" s="22">
        <f t="shared" si="15"/>
        <v>14.189246148000001</v>
      </c>
    </row>
    <row r="281" spans="1:9" x14ac:dyDescent="0.25">
      <c r="A281" s="4" t="s">
        <v>926</v>
      </c>
      <c r="B281" s="28">
        <v>7</v>
      </c>
      <c r="C281" s="28">
        <v>450</v>
      </c>
      <c r="D281" s="28">
        <v>134</v>
      </c>
      <c r="E281" s="33">
        <f t="shared" si="13"/>
        <v>584</v>
      </c>
      <c r="F281" s="28">
        <v>7.8499999999999993E-3</v>
      </c>
      <c r="G281" s="28">
        <f t="shared" si="14"/>
        <v>224.63559999999998</v>
      </c>
      <c r="H281" s="81">
        <f>Q15</f>
        <v>69.08</v>
      </c>
      <c r="I281" s="22">
        <f t="shared" si="15"/>
        <v>15.517827247999998</v>
      </c>
    </row>
    <row r="282" spans="1:9" x14ac:dyDescent="0.25">
      <c r="A282" s="4" t="s">
        <v>928</v>
      </c>
      <c r="B282" s="28">
        <v>7</v>
      </c>
      <c r="C282" s="28">
        <v>500</v>
      </c>
      <c r="D282" s="28">
        <v>134</v>
      </c>
      <c r="E282" s="33">
        <f t="shared" si="13"/>
        <v>634</v>
      </c>
      <c r="F282" s="28">
        <v>7.8499999999999993E-3</v>
      </c>
      <c r="G282" s="28">
        <f t="shared" si="14"/>
        <v>243.86809999999997</v>
      </c>
      <c r="H282" s="81">
        <f>Q15</f>
        <v>69.08</v>
      </c>
      <c r="I282" s="22">
        <f t="shared" si="15"/>
        <v>16.846408347999997</v>
      </c>
    </row>
    <row r="283" spans="1:9" x14ac:dyDescent="0.25">
      <c r="A283" s="4" t="s">
        <v>930</v>
      </c>
      <c r="B283" s="28">
        <v>8</v>
      </c>
      <c r="C283" s="28">
        <v>175</v>
      </c>
      <c r="D283" s="28">
        <v>134</v>
      </c>
      <c r="E283" s="33">
        <f t="shared" si="13"/>
        <v>309</v>
      </c>
      <c r="F283" s="28">
        <v>7.8499999999999993E-3</v>
      </c>
      <c r="G283" s="28">
        <f t="shared" si="14"/>
        <v>155.24159999999998</v>
      </c>
      <c r="H283" s="81">
        <f>Q15</f>
        <v>69.08</v>
      </c>
      <c r="I283" s="22">
        <f t="shared" si="15"/>
        <v>10.724089727999999</v>
      </c>
    </row>
    <row r="284" spans="1:9" x14ac:dyDescent="0.25">
      <c r="A284" s="4" t="s">
        <v>932</v>
      </c>
      <c r="B284" s="28">
        <v>8</v>
      </c>
      <c r="C284" s="28">
        <v>200</v>
      </c>
      <c r="D284" s="28">
        <v>134</v>
      </c>
      <c r="E284" s="33">
        <f t="shared" si="13"/>
        <v>334</v>
      </c>
      <c r="F284" s="28">
        <v>7.8499999999999993E-3</v>
      </c>
      <c r="G284" s="28">
        <f t="shared" si="14"/>
        <v>167.80159999999998</v>
      </c>
      <c r="H284" s="81">
        <f>Q15</f>
        <v>69.08</v>
      </c>
      <c r="I284" s="22">
        <f t="shared" si="15"/>
        <v>11.591734528</v>
      </c>
    </row>
    <row r="285" spans="1:9" x14ac:dyDescent="0.25">
      <c r="A285" s="4" t="s">
        <v>934</v>
      </c>
      <c r="B285" s="28">
        <v>8</v>
      </c>
      <c r="C285" s="28">
        <v>250</v>
      </c>
      <c r="D285" s="28">
        <v>134</v>
      </c>
      <c r="E285" s="33">
        <f t="shared" si="13"/>
        <v>384</v>
      </c>
      <c r="F285" s="28">
        <v>7.8499999999999993E-3</v>
      </c>
      <c r="G285" s="28">
        <f t="shared" si="14"/>
        <v>192.92159999999998</v>
      </c>
      <c r="H285" s="81">
        <f>Q15</f>
        <v>69.08</v>
      </c>
      <c r="I285" s="22">
        <f t="shared" si="15"/>
        <v>13.327024128</v>
      </c>
    </row>
    <row r="286" spans="1:9" x14ac:dyDescent="0.25">
      <c r="A286" s="4" t="s">
        <v>936</v>
      </c>
      <c r="B286" s="28">
        <v>8</v>
      </c>
      <c r="C286" s="28">
        <v>300</v>
      </c>
      <c r="D286" s="28">
        <v>134</v>
      </c>
      <c r="E286" s="33">
        <f t="shared" si="13"/>
        <v>434</v>
      </c>
      <c r="F286" s="28">
        <v>7.8499999999999993E-3</v>
      </c>
      <c r="G286" s="28">
        <f t="shared" si="14"/>
        <v>218.04159999999999</v>
      </c>
      <c r="H286" s="81">
        <f>Q15</f>
        <v>69.08</v>
      </c>
      <c r="I286" s="22">
        <f t="shared" si="15"/>
        <v>15.062313727999999</v>
      </c>
    </row>
    <row r="287" spans="1:9" x14ac:dyDescent="0.25">
      <c r="A287" s="4" t="s">
        <v>938</v>
      </c>
      <c r="B287" s="28">
        <v>8</v>
      </c>
      <c r="C287" s="28">
        <v>350</v>
      </c>
      <c r="D287" s="28">
        <v>134</v>
      </c>
      <c r="E287" s="33">
        <f t="shared" si="13"/>
        <v>484</v>
      </c>
      <c r="F287" s="28">
        <v>7.8499999999999993E-3</v>
      </c>
      <c r="G287" s="28">
        <f t="shared" si="14"/>
        <v>243.16159999999999</v>
      </c>
      <c r="H287" s="81">
        <f>Q15</f>
        <v>69.08</v>
      </c>
      <c r="I287" s="22">
        <f t="shared" si="15"/>
        <v>16.797603327999997</v>
      </c>
    </row>
    <row r="288" spans="1:9" x14ac:dyDescent="0.25">
      <c r="A288" s="4" t="s">
        <v>940</v>
      </c>
      <c r="B288" s="28">
        <v>8</v>
      </c>
      <c r="C288" s="28">
        <v>400</v>
      </c>
      <c r="D288" s="28">
        <v>134</v>
      </c>
      <c r="E288" s="33">
        <f t="shared" si="13"/>
        <v>534</v>
      </c>
      <c r="F288" s="28">
        <v>7.8499999999999993E-3</v>
      </c>
      <c r="G288" s="28">
        <f t="shared" si="14"/>
        <v>268.28159999999997</v>
      </c>
      <c r="H288" s="81">
        <f>Q15</f>
        <v>69.08</v>
      </c>
      <c r="I288" s="22">
        <f t="shared" si="15"/>
        <v>18.532892927999999</v>
      </c>
    </row>
    <row r="289" spans="1:9" x14ac:dyDescent="0.25">
      <c r="A289" s="4" t="s">
        <v>942</v>
      </c>
      <c r="B289" s="28">
        <v>8</v>
      </c>
      <c r="C289" s="28">
        <v>450</v>
      </c>
      <c r="D289" s="28">
        <v>134</v>
      </c>
      <c r="E289" s="33">
        <f t="shared" si="13"/>
        <v>584</v>
      </c>
      <c r="F289" s="28">
        <v>7.8499999999999993E-3</v>
      </c>
      <c r="G289" s="28">
        <f t="shared" si="14"/>
        <v>293.40159999999997</v>
      </c>
      <c r="H289" s="81">
        <f>Q15</f>
        <v>69.08</v>
      </c>
      <c r="I289" s="22">
        <f t="shared" si="15"/>
        <v>20.268182527999997</v>
      </c>
    </row>
    <row r="290" spans="1:9" x14ac:dyDescent="0.25">
      <c r="A290" s="4" t="s">
        <v>944</v>
      </c>
      <c r="B290" s="28">
        <v>8</v>
      </c>
      <c r="C290" s="28">
        <v>500</v>
      </c>
      <c r="D290" s="28">
        <v>134</v>
      </c>
      <c r="E290" s="33">
        <f t="shared" si="13"/>
        <v>634</v>
      </c>
      <c r="F290" s="28">
        <v>7.8499999999999993E-3</v>
      </c>
      <c r="G290" s="28">
        <f t="shared" si="14"/>
        <v>318.52159999999998</v>
      </c>
      <c r="H290" s="81">
        <f>Q15</f>
        <v>69.08</v>
      </c>
      <c r="I290" s="22">
        <f t="shared" si="15"/>
        <v>22.003472127999999</v>
      </c>
    </row>
    <row r="292" spans="1:9" ht="21" x14ac:dyDescent="0.25">
      <c r="A292" s="25" t="s">
        <v>959</v>
      </c>
    </row>
    <row r="293" spans="1:9" x14ac:dyDescent="0.25">
      <c r="A293" s="4" t="s">
        <v>0</v>
      </c>
      <c r="B293" s="28" t="s">
        <v>443</v>
      </c>
      <c r="C293" s="28" t="s">
        <v>452</v>
      </c>
      <c r="D293" s="28" t="s">
        <v>454</v>
      </c>
      <c r="E293" s="28" t="s">
        <v>945</v>
      </c>
      <c r="F293" s="28" t="s">
        <v>450</v>
      </c>
      <c r="G293" s="28" t="s">
        <v>831</v>
      </c>
      <c r="H293" s="28" t="s">
        <v>948</v>
      </c>
      <c r="I293" s="28" t="s">
        <v>448</v>
      </c>
    </row>
    <row r="294" spans="1:9" x14ac:dyDescent="0.25">
      <c r="A294" s="4" t="s">
        <v>834</v>
      </c>
      <c r="B294" s="28">
        <v>5</v>
      </c>
      <c r="C294" s="28">
        <v>75</v>
      </c>
      <c r="D294" s="28">
        <v>90</v>
      </c>
      <c r="E294" s="33">
        <f t="shared" ref="E294:E372" si="17">D294+C294</f>
        <v>165</v>
      </c>
      <c r="F294" s="28">
        <v>6.7999999999999996E-3</v>
      </c>
      <c r="G294" s="28">
        <f>B294*B294*E294*F294</f>
        <v>28.049999999999997</v>
      </c>
      <c r="H294" s="81">
        <f>Q14</f>
        <v>66.88</v>
      </c>
      <c r="I294" s="22">
        <f>G294*H294/1000</f>
        <v>1.8759839999999997</v>
      </c>
    </row>
    <row r="295" spans="1:9" x14ac:dyDescent="0.25">
      <c r="A295" s="4" t="s">
        <v>836</v>
      </c>
      <c r="B295" s="28">
        <v>5</v>
      </c>
      <c r="C295" s="28">
        <v>100</v>
      </c>
      <c r="D295" s="28">
        <v>90</v>
      </c>
      <c r="E295" s="33">
        <f t="shared" si="17"/>
        <v>190</v>
      </c>
      <c r="F295" s="28">
        <v>6.7999999999999996E-3</v>
      </c>
      <c r="G295" s="28">
        <f t="shared" ref="G295:G372" si="18">B295*B295*E295*F295</f>
        <v>32.299999999999997</v>
      </c>
      <c r="H295" s="81">
        <f>Q14</f>
        <v>66.88</v>
      </c>
      <c r="I295" s="22">
        <f t="shared" ref="I295:I372" si="19">G295*H295/1000</f>
        <v>2.1602239999999999</v>
      </c>
    </row>
    <row r="296" spans="1:9" x14ac:dyDescent="0.25">
      <c r="A296" s="4" t="s">
        <v>838</v>
      </c>
      <c r="B296" s="28">
        <v>5</v>
      </c>
      <c r="C296" s="28">
        <v>150</v>
      </c>
      <c r="D296" s="28">
        <v>90</v>
      </c>
      <c r="E296" s="33">
        <f t="shared" si="17"/>
        <v>240</v>
      </c>
      <c r="F296" s="28">
        <v>6.7999999999999996E-3</v>
      </c>
      <c r="G296" s="28">
        <f t="shared" si="18"/>
        <v>40.799999999999997</v>
      </c>
      <c r="H296" s="81">
        <f>Q14</f>
        <v>66.88</v>
      </c>
      <c r="I296" s="22">
        <f t="shared" si="19"/>
        <v>2.7287039999999996</v>
      </c>
    </row>
    <row r="297" spans="1:9" x14ac:dyDescent="0.25">
      <c r="A297" s="4" t="s">
        <v>840</v>
      </c>
      <c r="B297" s="28">
        <v>5</v>
      </c>
      <c r="C297" s="28">
        <v>200</v>
      </c>
      <c r="D297" s="28">
        <v>90</v>
      </c>
      <c r="E297" s="33">
        <f t="shared" si="17"/>
        <v>290</v>
      </c>
      <c r="F297" s="28">
        <v>6.7999999999999996E-3</v>
      </c>
      <c r="G297" s="28">
        <f t="shared" si="18"/>
        <v>49.3</v>
      </c>
      <c r="H297" s="81">
        <f>Q14</f>
        <v>66.88</v>
      </c>
      <c r="I297" s="22">
        <f t="shared" si="19"/>
        <v>3.2971839999999997</v>
      </c>
    </row>
    <row r="298" spans="1:9" x14ac:dyDescent="0.25">
      <c r="A298" s="4" t="s">
        <v>842</v>
      </c>
      <c r="B298" s="28">
        <v>5</v>
      </c>
      <c r="C298" s="28">
        <v>250</v>
      </c>
      <c r="D298" s="28">
        <v>90</v>
      </c>
      <c r="E298" s="33">
        <f t="shared" si="17"/>
        <v>340</v>
      </c>
      <c r="F298" s="28">
        <v>6.7999999999999996E-3</v>
      </c>
      <c r="G298" s="28">
        <f t="shared" si="18"/>
        <v>57.8</v>
      </c>
      <c r="H298" s="81">
        <f>Q14</f>
        <v>66.88</v>
      </c>
      <c r="I298" s="22">
        <f t="shared" si="19"/>
        <v>3.8656639999999998</v>
      </c>
    </row>
    <row r="299" spans="1:9" x14ac:dyDescent="0.25">
      <c r="A299" s="4" t="s">
        <v>844</v>
      </c>
      <c r="B299" s="28">
        <v>5</v>
      </c>
      <c r="C299" s="28">
        <v>300</v>
      </c>
      <c r="D299" s="28">
        <v>90</v>
      </c>
      <c r="E299" s="33">
        <f t="shared" si="17"/>
        <v>390</v>
      </c>
      <c r="F299" s="28">
        <v>6.7999999999999996E-3</v>
      </c>
      <c r="G299" s="28">
        <f t="shared" si="18"/>
        <v>66.3</v>
      </c>
      <c r="H299" s="81">
        <f>Q14</f>
        <v>66.88</v>
      </c>
      <c r="I299" s="22">
        <f t="shared" si="19"/>
        <v>4.434143999999999</v>
      </c>
    </row>
    <row r="300" spans="1:9" x14ac:dyDescent="0.25">
      <c r="A300" s="4" t="s">
        <v>846</v>
      </c>
      <c r="B300" s="28">
        <v>6</v>
      </c>
      <c r="C300" s="28">
        <v>100</v>
      </c>
      <c r="D300" s="28">
        <v>110</v>
      </c>
      <c r="E300" s="33">
        <f t="shared" si="17"/>
        <v>210</v>
      </c>
      <c r="F300" s="28">
        <v>6.7999999999999996E-3</v>
      </c>
      <c r="G300" s="28">
        <f t="shared" si="18"/>
        <v>51.407999999999994</v>
      </c>
      <c r="H300" s="81">
        <f>Q15</f>
        <v>69.08</v>
      </c>
      <c r="I300" s="22">
        <f t="shared" si="19"/>
        <v>3.5512646399999994</v>
      </c>
    </row>
    <row r="301" spans="1:9" x14ac:dyDescent="0.25">
      <c r="A301" s="4" t="s">
        <v>848</v>
      </c>
      <c r="B301" s="28">
        <v>6</v>
      </c>
      <c r="C301" s="28">
        <v>125</v>
      </c>
      <c r="D301" s="28">
        <v>110</v>
      </c>
      <c r="E301" s="33">
        <f t="shared" si="17"/>
        <v>235</v>
      </c>
      <c r="F301" s="28">
        <v>6.7999999999999996E-3</v>
      </c>
      <c r="G301" s="28">
        <f t="shared" si="18"/>
        <v>57.527999999999999</v>
      </c>
      <c r="H301" s="81">
        <f>Q15</f>
        <v>69.08</v>
      </c>
      <c r="I301" s="22">
        <f t="shared" si="19"/>
        <v>3.9740342399999999</v>
      </c>
    </row>
    <row r="302" spans="1:9" x14ac:dyDescent="0.25">
      <c r="A302" s="4" t="s">
        <v>850</v>
      </c>
      <c r="B302" s="28">
        <v>6</v>
      </c>
      <c r="C302" s="28">
        <v>150</v>
      </c>
      <c r="D302" s="28">
        <v>110</v>
      </c>
      <c r="E302" s="33">
        <f t="shared" si="17"/>
        <v>260</v>
      </c>
      <c r="F302" s="28">
        <v>6.7999999999999996E-3</v>
      </c>
      <c r="G302" s="28">
        <f t="shared" si="18"/>
        <v>63.647999999999996</v>
      </c>
      <c r="H302" s="81">
        <f>Q15</f>
        <v>69.08</v>
      </c>
      <c r="I302" s="22">
        <f t="shared" si="19"/>
        <v>4.3968038399999996</v>
      </c>
    </row>
    <row r="303" spans="1:9" x14ac:dyDescent="0.25">
      <c r="A303" s="4" t="s">
        <v>852</v>
      </c>
      <c r="B303" s="28">
        <v>6</v>
      </c>
      <c r="C303" s="28">
        <v>200</v>
      </c>
      <c r="D303" s="28">
        <v>110</v>
      </c>
      <c r="E303" s="33">
        <f t="shared" si="17"/>
        <v>310</v>
      </c>
      <c r="F303" s="28">
        <v>6.7999999999999996E-3</v>
      </c>
      <c r="G303" s="28">
        <f t="shared" si="18"/>
        <v>75.887999999999991</v>
      </c>
      <c r="H303" s="81">
        <f>Q15</f>
        <v>69.08</v>
      </c>
      <c r="I303" s="22">
        <f t="shared" si="19"/>
        <v>5.2423430399999988</v>
      </c>
    </row>
    <row r="304" spans="1:9" x14ac:dyDescent="0.25">
      <c r="A304" s="4" t="s">
        <v>854</v>
      </c>
      <c r="B304" s="28">
        <v>6</v>
      </c>
      <c r="C304" s="28">
        <v>250</v>
      </c>
      <c r="D304" s="28">
        <v>110</v>
      </c>
      <c r="E304" s="33">
        <f t="shared" si="17"/>
        <v>360</v>
      </c>
      <c r="F304" s="28">
        <v>6.7999999999999996E-3</v>
      </c>
      <c r="G304" s="28">
        <f t="shared" si="18"/>
        <v>88.128</v>
      </c>
      <c r="H304" s="81">
        <f>Q15</f>
        <v>69.08</v>
      </c>
      <c r="I304" s="22">
        <f t="shared" si="19"/>
        <v>6.0878822399999999</v>
      </c>
    </row>
    <row r="305" spans="1:19" x14ac:dyDescent="0.25">
      <c r="A305" s="4" t="s">
        <v>856</v>
      </c>
      <c r="B305" s="28">
        <v>6</v>
      </c>
      <c r="C305" s="28">
        <v>300</v>
      </c>
      <c r="D305" s="28">
        <v>110</v>
      </c>
      <c r="E305" s="33">
        <f t="shared" si="17"/>
        <v>410</v>
      </c>
      <c r="F305" s="28">
        <v>6.7999999999999996E-3</v>
      </c>
      <c r="G305" s="28">
        <f t="shared" si="18"/>
        <v>100.36799999999999</v>
      </c>
      <c r="H305" s="81">
        <f>Q15</f>
        <v>69.08</v>
      </c>
      <c r="I305" s="22">
        <f t="shared" si="19"/>
        <v>6.9334214399999992</v>
      </c>
    </row>
    <row r="306" spans="1:19" x14ac:dyDescent="0.25">
      <c r="A306" s="4" t="s">
        <v>858</v>
      </c>
      <c r="B306" s="28">
        <v>6</v>
      </c>
      <c r="C306" s="28">
        <v>350</v>
      </c>
      <c r="D306" s="28">
        <v>110</v>
      </c>
      <c r="E306" s="33">
        <f t="shared" si="17"/>
        <v>460</v>
      </c>
      <c r="F306" s="28">
        <v>6.7999999999999996E-3</v>
      </c>
      <c r="G306" s="28">
        <f t="shared" si="18"/>
        <v>112.60799999999999</v>
      </c>
      <c r="H306" s="81">
        <f>Q15</f>
        <v>69.08</v>
      </c>
      <c r="I306" s="22">
        <f t="shared" si="19"/>
        <v>7.7789606399999993</v>
      </c>
    </row>
    <row r="307" spans="1:19" x14ac:dyDescent="0.25">
      <c r="A307" s="4" t="s">
        <v>860</v>
      </c>
      <c r="B307" s="28">
        <v>6</v>
      </c>
      <c r="C307" s="28">
        <v>400</v>
      </c>
      <c r="D307" s="28">
        <v>110</v>
      </c>
      <c r="E307" s="33">
        <f t="shared" si="17"/>
        <v>510</v>
      </c>
      <c r="F307" s="28">
        <v>6.7999999999999996E-3</v>
      </c>
      <c r="G307" s="28">
        <f t="shared" si="18"/>
        <v>124.848</v>
      </c>
      <c r="H307" s="81">
        <f>Q15</f>
        <v>69.08</v>
      </c>
      <c r="I307" s="22">
        <f t="shared" si="19"/>
        <v>8.6244998400000004</v>
      </c>
    </row>
    <row r="308" spans="1:19" x14ac:dyDescent="0.25">
      <c r="A308" s="4" t="s">
        <v>862</v>
      </c>
      <c r="B308" s="28">
        <v>8</v>
      </c>
      <c r="C308" s="28">
        <v>125</v>
      </c>
      <c r="D308" s="28">
        <v>125</v>
      </c>
      <c r="E308" s="33">
        <f t="shared" si="17"/>
        <v>250</v>
      </c>
      <c r="F308" s="28">
        <v>6.7999999999999996E-3</v>
      </c>
      <c r="G308" s="28">
        <f t="shared" si="18"/>
        <v>108.8</v>
      </c>
      <c r="H308" s="81">
        <f>Q15</f>
        <v>69.08</v>
      </c>
      <c r="I308" s="22">
        <f t="shared" si="19"/>
        <v>7.5159039999999999</v>
      </c>
    </row>
    <row r="309" spans="1:19" x14ac:dyDescent="0.25">
      <c r="A309" s="4" t="s">
        <v>864</v>
      </c>
      <c r="B309" s="28">
        <v>8</v>
      </c>
      <c r="C309" s="28">
        <v>150</v>
      </c>
      <c r="D309" s="28">
        <v>125</v>
      </c>
      <c r="E309" s="33">
        <f t="shared" si="17"/>
        <v>275</v>
      </c>
      <c r="F309" s="28">
        <v>6.7999999999999996E-3</v>
      </c>
      <c r="G309" s="28">
        <f t="shared" si="18"/>
        <v>119.67999999999999</v>
      </c>
      <c r="H309" s="81">
        <f>Q15</f>
        <v>69.08</v>
      </c>
      <c r="I309" s="22">
        <f t="shared" si="19"/>
        <v>8.2674944000000004</v>
      </c>
    </row>
    <row r="310" spans="1:19" x14ac:dyDescent="0.25">
      <c r="A310" s="4" t="s">
        <v>866</v>
      </c>
      <c r="B310" s="28">
        <v>8</v>
      </c>
      <c r="C310" s="28">
        <v>200</v>
      </c>
      <c r="D310" s="28">
        <v>125</v>
      </c>
      <c r="E310" s="33">
        <f t="shared" si="17"/>
        <v>325</v>
      </c>
      <c r="F310" s="28">
        <v>6.7999999999999996E-3</v>
      </c>
      <c r="G310" s="28">
        <f t="shared" si="18"/>
        <v>141.44</v>
      </c>
      <c r="H310" s="81">
        <f>Q15</f>
        <v>69.08</v>
      </c>
      <c r="I310" s="22">
        <f t="shared" si="19"/>
        <v>9.7706751999999994</v>
      </c>
    </row>
    <row r="311" spans="1:19" x14ac:dyDescent="0.25">
      <c r="A311" s="4" t="s">
        <v>868</v>
      </c>
      <c r="B311" s="28">
        <v>8</v>
      </c>
      <c r="C311" s="28">
        <v>250</v>
      </c>
      <c r="D311" s="28">
        <v>125</v>
      </c>
      <c r="E311" s="33">
        <f t="shared" si="17"/>
        <v>375</v>
      </c>
      <c r="F311" s="28">
        <v>6.7999999999999996E-3</v>
      </c>
      <c r="G311" s="28">
        <f t="shared" si="18"/>
        <v>163.19999999999999</v>
      </c>
      <c r="H311" s="81">
        <f>Q15</f>
        <v>69.08</v>
      </c>
      <c r="I311" s="22">
        <f t="shared" si="19"/>
        <v>11.273856</v>
      </c>
    </row>
    <row r="312" spans="1:19" x14ac:dyDescent="0.25">
      <c r="A312" s="4" t="s">
        <v>870</v>
      </c>
      <c r="B312" s="28">
        <v>8</v>
      </c>
      <c r="C312" s="28">
        <v>300</v>
      </c>
      <c r="D312" s="28">
        <v>125</v>
      </c>
      <c r="E312" s="33">
        <f t="shared" si="17"/>
        <v>425</v>
      </c>
      <c r="F312" s="28">
        <v>6.7999999999999996E-3</v>
      </c>
      <c r="G312" s="28">
        <f t="shared" si="18"/>
        <v>184.95999999999998</v>
      </c>
      <c r="H312" s="81">
        <f>Q15</f>
        <v>69.08</v>
      </c>
      <c r="I312" s="22">
        <f t="shared" si="19"/>
        <v>12.777036799999998</v>
      </c>
    </row>
    <row r="313" spans="1:19" x14ac:dyDescent="0.25">
      <c r="A313" s="4" t="s">
        <v>872</v>
      </c>
      <c r="B313" s="28">
        <v>8</v>
      </c>
      <c r="C313" s="28">
        <v>350</v>
      </c>
      <c r="D313" s="28">
        <v>125</v>
      </c>
      <c r="E313" s="33">
        <f t="shared" si="17"/>
        <v>475</v>
      </c>
      <c r="F313" s="28">
        <v>6.7999999999999996E-3</v>
      </c>
      <c r="G313" s="28">
        <f t="shared" si="18"/>
        <v>206.72</v>
      </c>
      <c r="H313" s="81">
        <f>Q15</f>
        <v>69.08</v>
      </c>
      <c r="I313" s="22">
        <f t="shared" si="19"/>
        <v>14.2802176</v>
      </c>
    </row>
    <row r="314" spans="1:19" x14ac:dyDescent="0.25">
      <c r="A314" s="4" t="s">
        <v>874</v>
      </c>
      <c r="B314" s="28">
        <v>8</v>
      </c>
      <c r="C314" s="28">
        <v>400</v>
      </c>
      <c r="D314" s="28">
        <v>125</v>
      </c>
      <c r="E314" s="33">
        <f t="shared" si="17"/>
        <v>525</v>
      </c>
      <c r="F314" s="28">
        <v>6.7999999999999996E-3</v>
      </c>
      <c r="G314" s="28">
        <f t="shared" si="18"/>
        <v>228.48</v>
      </c>
      <c r="H314" s="81">
        <f>Q15</f>
        <v>69.08</v>
      </c>
      <c r="I314" s="22">
        <f t="shared" si="19"/>
        <v>15.783398399999998</v>
      </c>
    </row>
    <row r="315" spans="1:19" x14ac:dyDescent="0.25">
      <c r="A315" s="4" t="s">
        <v>876</v>
      </c>
      <c r="B315" s="28">
        <v>8</v>
      </c>
      <c r="C315" s="28">
        <v>450</v>
      </c>
      <c r="D315" s="28">
        <v>125</v>
      </c>
      <c r="E315" s="33">
        <f t="shared" si="17"/>
        <v>575</v>
      </c>
      <c r="F315" s="28">
        <v>6.7999999999999996E-3</v>
      </c>
      <c r="G315" s="28">
        <f t="shared" si="18"/>
        <v>250.23999999999998</v>
      </c>
      <c r="H315" s="81">
        <f>Q15</f>
        <v>69.08</v>
      </c>
      <c r="I315" s="22">
        <f t="shared" si="19"/>
        <v>17.286579199999995</v>
      </c>
    </row>
    <row r="316" spans="1:19" x14ac:dyDescent="0.25">
      <c r="A316" s="4" t="s">
        <v>878</v>
      </c>
      <c r="B316" s="28">
        <v>8</v>
      </c>
      <c r="C316" s="28">
        <v>500</v>
      </c>
      <c r="D316" s="28">
        <v>125</v>
      </c>
      <c r="E316" s="33">
        <f t="shared" si="17"/>
        <v>625</v>
      </c>
      <c r="F316" s="28">
        <v>6.7999999999999996E-3</v>
      </c>
      <c r="G316" s="28">
        <f t="shared" si="18"/>
        <v>272</v>
      </c>
      <c r="H316" s="81">
        <f>Q15</f>
        <v>69.08</v>
      </c>
      <c r="I316" s="22">
        <f t="shared" si="19"/>
        <v>18.789759999999998</v>
      </c>
    </row>
    <row r="317" spans="1:19" s="103" customFormat="1" x14ac:dyDescent="0.25">
      <c r="A317" s="115" t="s">
        <v>1064</v>
      </c>
      <c r="B317" s="28">
        <v>5</v>
      </c>
      <c r="C317" s="28">
        <v>75</v>
      </c>
      <c r="D317" s="28">
        <v>90</v>
      </c>
      <c r="E317" s="33">
        <f t="shared" ref="E317:E339" si="20">D317+C317</f>
        <v>165</v>
      </c>
      <c r="F317" s="28">
        <v>6.7999999999999996E-3</v>
      </c>
      <c r="G317" s="28">
        <f>B317*B317*E317*F317</f>
        <v>28.049999999999997</v>
      </c>
      <c r="H317" s="81">
        <f>Q14</f>
        <v>66.88</v>
      </c>
      <c r="I317" s="22">
        <f>G317*H317/1000</f>
        <v>1.8759839999999997</v>
      </c>
      <c r="L317" s="113"/>
      <c r="M317" s="113"/>
      <c r="N317" s="113"/>
      <c r="O317" s="113"/>
      <c r="P317" s="113"/>
      <c r="Q317" s="113"/>
      <c r="R317" s="113"/>
      <c r="S317" s="113"/>
    </row>
    <row r="318" spans="1:19" s="103" customFormat="1" x14ac:dyDescent="0.25">
      <c r="A318" s="115" t="s">
        <v>1065</v>
      </c>
      <c r="B318" s="28">
        <v>5</v>
      </c>
      <c r="C318" s="28">
        <v>100</v>
      </c>
      <c r="D318" s="28">
        <v>90</v>
      </c>
      <c r="E318" s="33">
        <f t="shared" si="20"/>
        <v>190</v>
      </c>
      <c r="F318" s="28">
        <v>6.7999999999999996E-3</v>
      </c>
      <c r="G318" s="28">
        <f t="shared" ref="G318:G339" si="21">B318*B318*E318*F318</f>
        <v>32.299999999999997</v>
      </c>
      <c r="H318" s="81">
        <f>Q14</f>
        <v>66.88</v>
      </c>
      <c r="I318" s="22">
        <f t="shared" ref="I318:I339" si="22">G318*H318/1000</f>
        <v>2.1602239999999999</v>
      </c>
      <c r="L318" s="113"/>
      <c r="M318" s="113"/>
      <c r="N318" s="113"/>
      <c r="O318" s="113"/>
      <c r="P318" s="113"/>
      <c r="Q318" s="113"/>
      <c r="R318" s="113"/>
      <c r="S318" s="113"/>
    </row>
    <row r="319" spans="1:19" s="103" customFormat="1" x14ac:dyDescent="0.25">
      <c r="A319" s="115" t="s">
        <v>1066</v>
      </c>
      <c r="B319" s="28">
        <v>5</v>
      </c>
      <c r="C319" s="28">
        <v>150</v>
      </c>
      <c r="D319" s="28">
        <v>90</v>
      </c>
      <c r="E319" s="33">
        <f t="shared" si="20"/>
        <v>240</v>
      </c>
      <c r="F319" s="28">
        <v>6.7999999999999996E-3</v>
      </c>
      <c r="G319" s="28">
        <f t="shared" si="21"/>
        <v>40.799999999999997</v>
      </c>
      <c r="H319" s="81">
        <f>Q14</f>
        <v>66.88</v>
      </c>
      <c r="I319" s="22">
        <f t="shared" si="22"/>
        <v>2.7287039999999996</v>
      </c>
      <c r="L319" s="113"/>
      <c r="M319" s="113"/>
      <c r="N319" s="113"/>
      <c r="O319" s="113"/>
      <c r="P319" s="113"/>
      <c r="Q319" s="113"/>
      <c r="R319" s="113"/>
      <c r="S319" s="113"/>
    </row>
    <row r="320" spans="1:19" s="103" customFormat="1" x14ac:dyDescent="0.25">
      <c r="A320" s="115" t="s">
        <v>1067</v>
      </c>
      <c r="B320" s="28">
        <v>5</v>
      </c>
      <c r="C320" s="28">
        <v>200</v>
      </c>
      <c r="D320" s="28">
        <v>90</v>
      </c>
      <c r="E320" s="33">
        <f t="shared" si="20"/>
        <v>290</v>
      </c>
      <c r="F320" s="28">
        <v>6.7999999999999996E-3</v>
      </c>
      <c r="G320" s="28">
        <f t="shared" si="21"/>
        <v>49.3</v>
      </c>
      <c r="H320" s="81">
        <f>Q14</f>
        <v>66.88</v>
      </c>
      <c r="I320" s="22">
        <f t="shared" si="22"/>
        <v>3.2971839999999997</v>
      </c>
      <c r="L320" s="113"/>
      <c r="M320" s="113"/>
      <c r="N320" s="113"/>
      <c r="O320" s="113"/>
      <c r="P320" s="113"/>
      <c r="Q320" s="113"/>
      <c r="R320" s="113"/>
      <c r="S320" s="113"/>
    </row>
    <row r="321" spans="1:19" s="103" customFormat="1" x14ac:dyDescent="0.25">
      <c r="A321" s="115" t="s">
        <v>1068</v>
      </c>
      <c r="B321" s="28">
        <v>5</v>
      </c>
      <c r="C321" s="28">
        <v>250</v>
      </c>
      <c r="D321" s="28">
        <v>90</v>
      </c>
      <c r="E321" s="33">
        <f t="shared" si="20"/>
        <v>340</v>
      </c>
      <c r="F321" s="28">
        <v>6.7999999999999996E-3</v>
      </c>
      <c r="G321" s="28">
        <f t="shared" si="21"/>
        <v>57.8</v>
      </c>
      <c r="H321" s="81">
        <f>Q14</f>
        <v>66.88</v>
      </c>
      <c r="I321" s="22">
        <f t="shared" si="22"/>
        <v>3.8656639999999998</v>
      </c>
      <c r="L321" s="113"/>
      <c r="M321" s="113"/>
      <c r="N321" s="113"/>
      <c r="O321" s="113"/>
      <c r="P321" s="113"/>
      <c r="Q321" s="113"/>
      <c r="R321" s="113"/>
      <c r="S321" s="113"/>
    </row>
    <row r="322" spans="1:19" s="103" customFormat="1" x14ac:dyDescent="0.25">
      <c r="A322" s="115" t="s">
        <v>1069</v>
      </c>
      <c r="B322" s="28">
        <v>5</v>
      </c>
      <c r="C322" s="28">
        <v>300</v>
      </c>
      <c r="D322" s="28">
        <v>90</v>
      </c>
      <c r="E322" s="33">
        <f t="shared" si="20"/>
        <v>390</v>
      </c>
      <c r="F322" s="28">
        <v>6.7999999999999996E-3</v>
      </c>
      <c r="G322" s="28">
        <f t="shared" si="21"/>
        <v>66.3</v>
      </c>
      <c r="H322" s="81">
        <f>Q14</f>
        <v>66.88</v>
      </c>
      <c r="I322" s="22">
        <f t="shared" si="22"/>
        <v>4.434143999999999</v>
      </c>
      <c r="L322" s="113"/>
      <c r="M322" s="113"/>
      <c r="N322" s="113"/>
      <c r="O322" s="113"/>
      <c r="P322" s="113"/>
      <c r="Q322" s="113"/>
      <c r="R322" s="113"/>
      <c r="S322" s="113"/>
    </row>
    <row r="323" spans="1:19" s="103" customFormat="1" x14ac:dyDescent="0.25">
      <c r="A323" s="115" t="s">
        <v>1070</v>
      </c>
      <c r="B323" s="28">
        <v>6</v>
      </c>
      <c r="C323" s="28">
        <v>100</v>
      </c>
      <c r="D323" s="28">
        <v>110</v>
      </c>
      <c r="E323" s="33">
        <f t="shared" si="20"/>
        <v>210</v>
      </c>
      <c r="F323" s="28">
        <v>6.7999999999999996E-3</v>
      </c>
      <c r="G323" s="28">
        <f t="shared" si="21"/>
        <v>51.407999999999994</v>
      </c>
      <c r="H323" s="81">
        <f>Q15</f>
        <v>69.08</v>
      </c>
      <c r="I323" s="22">
        <f t="shared" si="22"/>
        <v>3.5512646399999994</v>
      </c>
      <c r="L323" s="113"/>
      <c r="M323" s="113"/>
      <c r="N323" s="113"/>
      <c r="O323" s="113"/>
      <c r="P323" s="113"/>
      <c r="Q323" s="113"/>
      <c r="R323" s="113"/>
      <c r="S323" s="113"/>
    </row>
    <row r="324" spans="1:19" s="103" customFormat="1" x14ac:dyDescent="0.25">
      <c r="A324" s="115" t="s">
        <v>1071</v>
      </c>
      <c r="B324" s="28">
        <v>6</v>
      </c>
      <c r="C324" s="28">
        <v>125</v>
      </c>
      <c r="D324" s="28">
        <v>110</v>
      </c>
      <c r="E324" s="33">
        <f t="shared" si="20"/>
        <v>235</v>
      </c>
      <c r="F324" s="28">
        <v>6.7999999999999996E-3</v>
      </c>
      <c r="G324" s="28">
        <f t="shared" si="21"/>
        <v>57.527999999999999</v>
      </c>
      <c r="H324" s="81">
        <f>Q15</f>
        <v>69.08</v>
      </c>
      <c r="I324" s="22">
        <f t="shared" si="22"/>
        <v>3.9740342399999999</v>
      </c>
      <c r="L324" s="113"/>
      <c r="M324" s="113"/>
      <c r="N324" s="113"/>
      <c r="O324" s="113"/>
      <c r="P324" s="113"/>
      <c r="Q324" s="113"/>
      <c r="R324" s="113"/>
      <c r="S324" s="113"/>
    </row>
    <row r="325" spans="1:19" s="103" customFormat="1" x14ac:dyDescent="0.25">
      <c r="A325" s="115" t="s">
        <v>1072</v>
      </c>
      <c r="B325" s="28">
        <v>6</v>
      </c>
      <c r="C325" s="28">
        <v>150</v>
      </c>
      <c r="D325" s="28">
        <v>110</v>
      </c>
      <c r="E325" s="33">
        <f t="shared" si="20"/>
        <v>260</v>
      </c>
      <c r="F325" s="28">
        <v>6.7999999999999996E-3</v>
      </c>
      <c r="G325" s="28">
        <f t="shared" si="21"/>
        <v>63.647999999999996</v>
      </c>
      <c r="H325" s="81">
        <f>Q15</f>
        <v>69.08</v>
      </c>
      <c r="I325" s="22">
        <f t="shared" si="22"/>
        <v>4.3968038399999996</v>
      </c>
      <c r="L325" s="113"/>
      <c r="M325" s="113"/>
      <c r="N325" s="113"/>
      <c r="O325" s="113"/>
      <c r="P325" s="113"/>
      <c r="Q325" s="113"/>
      <c r="R325" s="113"/>
      <c r="S325" s="113"/>
    </row>
    <row r="326" spans="1:19" s="103" customFormat="1" x14ac:dyDescent="0.25">
      <c r="A326" s="115" t="s">
        <v>1073</v>
      </c>
      <c r="B326" s="28">
        <v>6</v>
      </c>
      <c r="C326" s="28">
        <v>200</v>
      </c>
      <c r="D326" s="28">
        <v>110</v>
      </c>
      <c r="E326" s="33">
        <f t="shared" si="20"/>
        <v>310</v>
      </c>
      <c r="F326" s="28">
        <v>6.7999999999999996E-3</v>
      </c>
      <c r="G326" s="28">
        <f t="shared" si="21"/>
        <v>75.887999999999991</v>
      </c>
      <c r="H326" s="81">
        <f>Q15</f>
        <v>69.08</v>
      </c>
      <c r="I326" s="22">
        <f t="shared" si="22"/>
        <v>5.2423430399999988</v>
      </c>
      <c r="L326" s="113"/>
      <c r="M326" s="113"/>
      <c r="N326" s="113"/>
      <c r="O326" s="113"/>
      <c r="P326" s="113"/>
      <c r="Q326" s="113"/>
      <c r="R326" s="113"/>
      <c r="S326" s="113"/>
    </row>
    <row r="327" spans="1:19" s="103" customFormat="1" x14ac:dyDescent="0.25">
      <c r="A327" s="115" t="s">
        <v>1074</v>
      </c>
      <c r="B327" s="28">
        <v>6</v>
      </c>
      <c r="C327" s="28">
        <v>250</v>
      </c>
      <c r="D327" s="28">
        <v>110</v>
      </c>
      <c r="E327" s="33">
        <f t="shared" si="20"/>
        <v>360</v>
      </c>
      <c r="F327" s="28">
        <v>6.7999999999999996E-3</v>
      </c>
      <c r="G327" s="28">
        <f t="shared" si="21"/>
        <v>88.128</v>
      </c>
      <c r="H327" s="81">
        <f>Q15</f>
        <v>69.08</v>
      </c>
      <c r="I327" s="22">
        <f t="shared" si="22"/>
        <v>6.0878822399999999</v>
      </c>
      <c r="L327" s="113"/>
      <c r="M327" s="113"/>
      <c r="N327" s="113"/>
      <c r="O327" s="113"/>
      <c r="P327" s="113"/>
      <c r="Q327" s="113"/>
      <c r="R327" s="113"/>
      <c r="S327" s="113"/>
    </row>
    <row r="328" spans="1:19" s="103" customFormat="1" x14ac:dyDescent="0.25">
      <c r="A328" s="115" t="s">
        <v>1075</v>
      </c>
      <c r="B328" s="28">
        <v>6</v>
      </c>
      <c r="C328" s="28">
        <v>300</v>
      </c>
      <c r="D328" s="28">
        <v>110</v>
      </c>
      <c r="E328" s="33">
        <f t="shared" si="20"/>
        <v>410</v>
      </c>
      <c r="F328" s="28">
        <v>6.7999999999999996E-3</v>
      </c>
      <c r="G328" s="28">
        <f t="shared" si="21"/>
        <v>100.36799999999999</v>
      </c>
      <c r="H328" s="81">
        <f>Q15</f>
        <v>69.08</v>
      </c>
      <c r="I328" s="22">
        <f t="shared" si="22"/>
        <v>6.9334214399999992</v>
      </c>
      <c r="L328" s="113"/>
      <c r="M328" s="113"/>
      <c r="N328" s="113"/>
      <c r="O328" s="113"/>
      <c r="P328" s="113"/>
      <c r="Q328" s="113"/>
      <c r="R328" s="113"/>
      <c r="S328" s="113"/>
    </row>
    <row r="329" spans="1:19" s="103" customFormat="1" x14ac:dyDescent="0.25">
      <c r="A329" s="115" t="s">
        <v>1076</v>
      </c>
      <c r="B329" s="28">
        <v>6</v>
      </c>
      <c r="C329" s="28">
        <v>350</v>
      </c>
      <c r="D329" s="28">
        <v>110</v>
      </c>
      <c r="E329" s="33">
        <f t="shared" si="20"/>
        <v>460</v>
      </c>
      <c r="F329" s="28">
        <v>6.7999999999999996E-3</v>
      </c>
      <c r="G329" s="28">
        <f t="shared" si="21"/>
        <v>112.60799999999999</v>
      </c>
      <c r="H329" s="81">
        <f>Q15</f>
        <v>69.08</v>
      </c>
      <c r="I329" s="22">
        <f t="shared" si="22"/>
        <v>7.7789606399999993</v>
      </c>
      <c r="L329" s="113"/>
      <c r="M329" s="113"/>
      <c r="N329" s="113"/>
      <c r="O329" s="113"/>
      <c r="P329" s="113"/>
      <c r="Q329" s="113"/>
      <c r="R329" s="113"/>
      <c r="S329" s="113"/>
    </row>
    <row r="330" spans="1:19" s="103" customFormat="1" x14ac:dyDescent="0.25">
      <c r="A330" s="115" t="s">
        <v>1077</v>
      </c>
      <c r="B330" s="28">
        <v>6</v>
      </c>
      <c r="C330" s="28">
        <v>400</v>
      </c>
      <c r="D330" s="28">
        <v>110</v>
      </c>
      <c r="E330" s="33">
        <f t="shared" si="20"/>
        <v>510</v>
      </c>
      <c r="F330" s="28">
        <v>6.7999999999999996E-3</v>
      </c>
      <c r="G330" s="28">
        <f t="shared" si="21"/>
        <v>124.848</v>
      </c>
      <c r="H330" s="81">
        <f>Q15</f>
        <v>69.08</v>
      </c>
      <c r="I330" s="22">
        <f t="shared" si="22"/>
        <v>8.6244998400000004</v>
      </c>
      <c r="L330" s="113"/>
      <c r="M330" s="113"/>
      <c r="N330" s="113"/>
      <c r="O330" s="113"/>
      <c r="P330" s="113"/>
      <c r="Q330" s="113"/>
      <c r="R330" s="113"/>
      <c r="S330" s="113"/>
    </row>
    <row r="331" spans="1:19" s="103" customFormat="1" x14ac:dyDescent="0.25">
      <c r="A331" s="115" t="s">
        <v>1078</v>
      </c>
      <c r="B331" s="28">
        <v>8</v>
      </c>
      <c r="C331" s="28">
        <v>125</v>
      </c>
      <c r="D331" s="28">
        <v>125</v>
      </c>
      <c r="E331" s="33">
        <f t="shared" si="20"/>
        <v>250</v>
      </c>
      <c r="F331" s="28">
        <v>6.7999999999999996E-3</v>
      </c>
      <c r="G331" s="28">
        <f t="shared" si="21"/>
        <v>108.8</v>
      </c>
      <c r="H331" s="81">
        <f>Q15</f>
        <v>69.08</v>
      </c>
      <c r="I331" s="22">
        <f t="shared" si="22"/>
        <v>7.5159039999999999</v>
      </c>
      <c r="L331" s="113"/>
      <c r="M331" s="113"/>
      <c r="N331" s="113"/>
      <c r="O331" s="113"/>
      <c r="P331" s="113"/>
      <c r="Q331" s="113"/>
      <c r="R331" s="113"/>
      <c r="S331" s="113"/>
    </row>
    <row r="332" spans="1:19" s="103" customFormat="1" x14ac:dyDescent="0.25">
      <c r="A332" s="115" t="s">
        <v>1079</v>
      </c>
      <c r="B332" s="28">
        <v>8</v>
      </c>
      <c r="C332" s="28">
        <v>150</v>
      </c>
      <c r="D332" s="28">
        <v>125</v>
      </c>
      <c r="E332" s="33">
        <f t="shared" si="20"/>
        <v>275</v>
      </c>
      <c r="F332" s="28">
        <v>6.7999999999999996E-3</v>
      </c>
      <c r="G332" s="28">
        <f t="shared" si="21"/>
        <v>119.67999999999999</v>
      </c>
      <c r="H332" s="81">
        <f>Q15</f>
        <v>69.08</v>
      </c>
      <c r="I332" s="22">
        <f t="shared" si="22"/>
        <v>8.2674944000000004</v>
      </c>
      <c r="L332" s="113"/>
      <c r="M332" s="113"/>
      <c r="N332" s="113"/>
      <c r="O332" s="113"/>
      <c r="P332" s="113"/>
      <c r="Q332" s="113"/>
      <c r="R332" s="113"/>
      <c r="S332" s="113"/>
    </row>
    <row r="333" spans="1:19" s="103" customFormat="1" x14ac:dyDescent="0.25">
      <c r="A333" s="115" t="s">
        <v>1080</v>
      </c>
      <c r="B333" s="28">
        <v>8</v>
      </c>
      <c r="C333" s="28">
        <v>200</v>
      </c>
      <c r="D333" s="28">
        <v>125</v>
      </c>
      <c r="E333" s="33">
        <f t="shared" si="20"/>
        <v>325</v>
      </c>
      <c r="F333" s="28">
        <v>6.7999999999999996E-3</v>
      </c>
      <c r="G333" s="28">
        <f t="shared" si="21"/>
        <v>141.44</v>
      </c>
      <c r="H333" s="81">
        <f>Q15</f>
        <v>69.08</v>
      </c>
      <c r="I333" s="22">
        <f t="shared" si="22"/>
        <v>9.7706751999999994</v>
      </c>
      <c r="L333" s="113"/>
      <c r="M333" s="113"/>
      <c r="N333" s="113"/>
      <c r="O333" s="113"/>
      <c r="P333" s="113"/>
      <c r="Q333" s="113"/>
      <c r="R333" s="113"/>
      <c r="S333" s="113"/>
    </row>
    <row r="334" spans="1:19" s="103" customFormat="1" x14ac:dyDescent="0.25">
      <c r="A334" s="115" t="s">
        <v>1081</v>
      </c>
      <c r="B334" s="28">
        <v>8</v>
      </c>
      <c r="C334" s="28">
        <v>250</v>
      </c>
      <c r="D334" s="28">
        <v>125</v>
      </c>
      <c r="E334" s="33">
        <f t="shared" si="20"/>
        <v>375</v>
      </c>
      <c r="F334" s="28">
        <v>6.7999999999999996E-3</v>
      </c>
      <c r="G334" s="28">
        <f t="shared" si="21"/>
        <v>163.19999999999999</v>
      </c>
      <c r="H334" s="81">
        <f>Q15</f>
        <v>69.08</v>
      </c>
      <c r="I334" s="22">
        <f t="shared" si="22"/>
        <v>11.273856</v>
      </c>
      <c r="L334" s="113"/>
      <c r="M334" s="113"/>
      <c r="N334" s="113"/>
      <c r="O334" s="113"/>
      <c r="P334" s="113"/>
      <c r="Q334" s="113"/>
      <c r="R334" s="113"/>
      <c r="S334" s="113"/>
    </row>
    <row r="335" spans="1:19" s="103" customFormat="1" x14ac:dyDescent="0.25">
      <c r="A335" s="115" t="s">
        <v>1082</v>
      </c>
      <c r="B335" s="28">
        <v>8</v>
      </c>
      <c r="C335" s="28">
        <v>300</v>
      </c>
      <c r="D335" s="28">
        <v>125</v>
      </c>
      <c r="E335" s="33">
        <f t="shared" si="20"/>
        <v>425</v>
      </c>
      <c r="F335" s="28">
        <v>6.7999999999999996E-3</v>
      </c>
      <c r="G335" s="28">
        <f t="shared" si="21"/>
        <v>184.95999999999998</v>
      </c>
      <c r="H335" s="81">
        <f>Q15</f>
        <v>69.08</v>
      </c>
      <c r="I335" s="22">
        <f t="shared" si="22"/>
        <v>12.777036799999998</v>
      </c>
      <c r="L335" s="113"/>
      <c r="M335" s="113"/>
      <c r="N335" s="113"/>
      <c r="O335" s="113"/>
      <c r="P335" s="113"/>
      <c r="Q335" s="113"/>
      <c r="R335" s="113"/>
      <c r="S335" s="113"/>
    </row>
    <row r="336" spans="1:19" s="103" customFormat="1" x14ac:dyDescent="0.25">
      <c r="A336" s="115" t="s">
        <v>1083</v>
      </c>
      <c r="B336" s="28">
        <v>8</v>
      </c>
      <c r="C336" s="28">
        <v>350</v>
      </c>
      <c r="D336" s="28">
        <v>125</v>
      </c>
      <c r="E336" s="33">
        <f t="shared" si="20"/>
        <v>475</v>
      </c>
      <c r="F336" s="28">
        <v>6.7999999999999996E-3</v>
      </c>
      <c r="G336" s="28">
        <f t="shared" si="21"/>
        <v>206.72</v>
      </c>
      <c r="H336" s="81">
        <f>Q15</f>
        <v>69.08</v>
      </c>
      <c r="I336" s="22">
        <f t="shared" si="22"/>
        <v>14.2802176</v>
      </c>
      <c r="L336" s="113"/>
      <c r="M336" s="113"/>
      <c r="N336" s="113"/>
      <c r="O336" s="113"/>
      <c r="P336" s="113"/>
      <c r="Q336" s="113"/>
      <c r="R336" s="113"/>
      <c r="S336" s="113"/>
    </row>
    <row r="337" spans="1:19" s="103" customFormat="1" x14ac:dyDescent="0.25">
      <c r="A337" s="115" t="s">
        <v>1084</v>
      </c>
      <c r="B337" s="28">
        <v>8</v>
      </c>
      <c r="C337" s="28">
        <v>400</v>
      </c>
      <c r="D337" s="28">
        <v>125</v>
      </c>
      <c r="E337" s="33">
        <f t="shared" si="20"/>
        <v>525</v>
      </c>
      <c r="F337" s="28">
        <v>6.7999999999999996E-3</v>
      </c>
      <c r="G337" s="28">
        <f t="shared" si="21"/>
        <v>228.48</v>
      </c>
      <c r="H337" s="81">
        <f>Q15</f>
        <v>69.08</v>
      </c>
      <c r="I337" s="22">
        <f t="shared" si="22"/>
        <v>15.783398399999998</v>
      </c>
      <c r="L337" s="113"/>
      <c r="M337" s="113"/>
      <c r="N337" s="113"/>
      <c r="O337" s="113"/>
      <c r="P337" s="113"/>
      <c r="Q337" s="113"/>
      <c r="R337" s="113"/>
      <c r="S337" s="113"/>
    </row>
    <row r="338" spans="1:19" s="103" customFormat="1" x14ac:dyDescent="0.25">
      <c r="A338" s="115" t="s">
        <v>1085</v>
      </c>
      <c r="B338" s="28">
        <v>8</v>
      </c>
      <c r="C338" s="28">
        <v>450</v>
      </c>
      <c r="D338" s="28">
        <v>125</v>
      </c>
      <c r="E338" s="33">
        <f t="shared" si="20"/>
        <v>575</v>
      </c>
      <c r="F338" s="28">
        <v>6.7999999999999996E-3</v>
      </c>
      <c r="G338" s="28">
        <f t="shared" si="21"/>
        <v>250.23999999999998</v>
      </c>
      <c r="H338" s="81">
        <f>Q15</f>
        <v>69.08</v>
      </c>
      <c r="I338" s="22">
        <f t="shared" si="22"/>
        <v>17.286579199999995</v>
      </c>
      <c r="L338" s="113"/>
      <c r="M338" s="113"/>
      <c r="N338" s="113"/>
      <c r="O338" s="113"/>
      <c r="P338" s="113"/>
      <c r="Q338" s="113"/>
      <c r="R338" s="113"/>
      <c r="S338" s="113"/>
    </row>
    <row r="339" spans="1:19" s="103" customFormat="1" x14ac:dyDescent="0.25">
      <c r="A339" s="115" t="s">
        <v>1086</v>
      </c>
      <c r="B339" s="28">
        <v>8</v>
      </c>
      <c r="C339" s="28">
        <v>500</v>
      </c>
      <c r="D339" s="28">
        <v>125</v>
      </c>
      <c r="E339" s="33">
        <f t="shared" si="20"/>
        <v>625</v>
      </c>
      <c r="F339" s="28">
        <v>6.7999999999999996E-3</v>
      </c>
      <c r="G339" s="28">
        <f t="shared" si="21"/>
        <v>272</v>
      </c>
      <c r="H339" s="81">
        <f>Q15</f>
        <v>69.08</v>
      </c>
      <c r="I339" s="22">
        <f t="shared" si="22"/>
        <v>18.789759999999998</v>
      </c>
      <c r="L339" s="113"/>
      <c r="M339" s="113"/>
      <c r="N339" s="113"/>
      <c r="O339" s="113"/>
      <c r="P339" s="113"/>
      <c r="Q339" s="113"/>
      <c r="R339" s="113"/>
      <c r="S339" s="113"/>
    </row>
    <row r="340" spans="1:19" x14ac:dyDescent="0.25">
      <c r="A340" s="4" t="s">
        <v>880</v>
      </c>
      <c r="B340" s="28">
        <v>4</v>
      </c>
      <c r="C340" s="28">
        <v>75</v>
      </c>
      <c r="D340" s="28">
        <v>98</v>
      </c>
      <c r="E340" s="33">
        <f t="shared" si="17"/>
        <v>173</v>
      </c>
      <c r="F340" s="28">
        <v>6.7999999999999996E-3</v>
      </c>
      <c r="G340" s="28">
        <f t="shared" si="18"/>
        <v>18.822399999999998</v>
      </c>
      <c r="H340" s="81">
        <f>Q13</f>
        <v>73.48</v>
      </c>
      <c r="I340" s="22">
        <f t="shared" si="19"/>
        <v>1.383069952</v>
      </c>
    </row>
    <row r="341" spans="1:19" x14ac:dyDescent="0.25">
      <c r="A341" s="4" t="s">
        <v>882</v>
      </c>
      <c r="B341" s="28">
        <v>4</v>
      </c>
      <c r="C341" s="28">
        <v>100</v>
      </c>
      <c r="D341" s="28">
        <v>98</v>
      </c>
      <c r="E341" s="33">
        <f t="shared" si="17"/>
        <v>198</v>
      </c>
      <c r="F341" s="28">
        <v>6.7999999999999996E-3</v>
      </c>
      <c r="G341" s="28">
        <f t="shared" si="18"/>
        <v>21.542399999999997</v>
      </c>
      <c r="H341" s="81">
        <f>Q13</f>
        <v>73.48</v>
      </c>
      <c r="I341" s="22">
        <f t="shared" si="19"/>
        <v>1.5829355519999999</v>
      </c>
    </row>
    <row r="342" spans="1:19" x14ac:dyDescent="0.25">
      <c r="A342" s="4" t="s">
        <v>884</v>
      </c>
      <c r="B342" s="28">
        <v>5</v>
      </c>
      <c r="C342" s="28">
        <v>100</v>
      </c>
      <c r="D342" s="28">
        <v>98</v>
      </c>
      <c r="E342" s="33">
        <f t="shared" si="17"/>
        <v>198</v>
      </c>
      <c r="F342" s="28">
        <v>6.7999999999999996E-3</v>
      </c>
      <c r="G342" s="28">
        <f t="shared" si="18"/>
        <v>33.659999999999997</v>
      </c>
      <c r="H342" s="81">
        <f>Q14</f>
        <v>66.88</v>
      </c>
      <c r="I342" s="22">
        <f t="shared" si="19"/>
        <v>2.2511807999999998</v>
      </c>
    </row>
    <row r="343" spans="1:19" x14ac:dyDescent="0.25">
      <c r="A343" s="4" t="s">
        <v>886</v>
      </c>
      <c r="B343" s="28">
        <v>5</v>
      </c>
      <c r="C343" s="28">
        <v>125</v>
      </c>
      <c r="D343" s="28">
        <v>98</v>
      </c>
      <c r="E343" s="33">
        <f t="shared" si="17"/>
        <v>223</v>
      </c>
      <c r="F343" s="28">
        <v>6.7999999999999996E-3</v>
      </c>
      <c r="G343" s="28">
        <f t="shared" si="18"/>
        <v>37.909999999999997</v>
      </c>
      <c r="H343" s="81">
        <f>Q14</f>
        <v>66.88</v>
      </c>
      <c r="I343" s="22">
        <f t="shared" si="19"/>
        <v>2.5354207999999994</v>
      </c>
    </row>
    <row r="344" spans="1:19" x14ac:dyDescent="0.25">
      <c r="A344" s="4" t="s">
        <v>888</v>
      </c>
      <c r="B344" s="28">
        <v>5</v>
      </c>
      <c r="C344" s="28">
        <v>150</v>
      </c>
      <c r="D344" s="28">
        <v>98</v>
      </c>
      <c r="E344" s="33">
        <f t="shared" si="17"/>
        <v>248</v>
      </c>
      <c r="F344" s="28">
        <v>6.7999999999999996E-3</v>
      </c>
      <c r="G344" s="28">
        <f t="shared" si="18"/>
        <v>42.16</v>
      </c>
      <c r="H344" s="81">
        <f>Q14</f>
        <v>66.88</v>
      </c>
      <c r="I344" s="22">
        <f t="shared" si="19"/>
        <v>2.8196607999999999</v>
      </c>
    </row>
    <row r="345" spans="1:19" x14ac:dyDescent="0.25">
      <c r="A345" s="4" t="s">
        <v>890</v>
      </c>
      <c r="B345" s="28">
        <v>5</v>
      </c>
      <c r="C345" s="28">
        <v>200</v>
      </c>
      <c r="D345" s="28">
        <v>98</v>
      </c>
      <c r="E345" s="33">
        <f t="shared" si="17"/>
        <v>298</v>
      </c>
      <c r="F345" s="28">
        <v>6.7999999999999996E-3</v>
      </c>
      <c r="G345" s="28">
        <f t="shared" si="18"/>
        <v>50.66</v>
      </c>
      <c r="H345" s="81">
        <f>Q14</f>
        <v>66.88</v>
      </c>
      <c r="I345" s="22">
        <f t="shared" si="19"/>
        <v>3.3881407999999995</v>
      </c>
    </row>
    <row r="346" spans="1:19" x14ac:dyDescent="0.25">
      <c r="A346" s="4" t="s">
        <v>892</v>
      </c>
      <c r="B346" s="28">
        <v>5</v>
      </c>
      <c r="C346" s="28">
        <v>250</v>
      </c>
      <c r="D346" s="28">
        <v>98</v>
      </c>
      <c r="E346" s="33">
        <f t="shared" si="17"/>
        <v>348</v>
      </c>
      <c r="F346" s="28">
        <v>6.7999999999999996E-3</v>
      </c>
      <c r="G346" s="28">
        <f t="shared" si="18"/>
        <v>59.16</v>
      </c>
      <c r="H346" s="81">
        <f>Q14</f>
        <v>66.88</v>
      </c>
      <c r="I346" s="22">
        <f t="shared" si="19"/>
        <v>3.9566207999999996</v>
      </c>
    </row>
    <row r="347" spans="1:19" x14ac:dyDescent="0.25">
      <c r="A347" s="4" t="s">
        <v>894</v>
      </c>
      <c r="B347" s="28">
        <v>5</v>
      </c>
      <c r="C347" s="28">
        <v>300</v>
      </c>
      <c r="D347" s="28">
        <v>98</v>
      </c>
      <c r="E347" s="33">
        <f t="shared" si="17"/>
        <v>398</v>
      </c>
      <c r="F347" s="28">
        <v>6.7999999999999996E-3</v>
      </c>
      <c r="G347" s="28">
        <f t="shared" si="18"/>
        <v>67.66</v>
      </c>
      <c r="H347" s="81">
        <f>Q14</f>
        <v>66.88</v>
      </c>
      <c r="I347" s="22">
        <f t="shared" si="19"/>
        <v>4.5251007999999988</v>
      </c>
    </row>
    <row r="348" spans="1:19" x14ac:dyDescent="0.25">
      <c r="A348" s="4" t="s">
        <v>896</v>
      </c>
      <c r="B348" s="28">
        <v>6</v>
      </c>
      <c r="C348" s="28">
        <v>100</v>
      </c>
      <c r="D348" s="28">
        <v>119</v>
      </c>
      <c r="E348" s="33">
        <f t="shared" si="17"/>
        <v>219</v>
      </c>
      <c r="F348" s="28">
        <v>6.7999999999999996E-3</v>
      </c>
      <c r="G348" s="28">
        <f t="shared" si="18"/>
        <v>53.611199999999997</v>
      </c>
      <c r="H348" s="81">
        <f>Q15</f>
        <v>69.08</v>
      </c>
      <c r="I348" s="22">
        <f t="shared" si="19"/>
        <v>3.7034616959999997</v>
      </c>
    </row>
    <row r="349" spans="1:19" x14ac:dyDescent="0.25">
      <c r="A349" s="4" t="s">
        <v>898</v>
      </c>
      <c r="B349" s="28">
        <v>6</v>
      </c>
      <c r="C349" s="28">
        <v>125</v>
      </c>
      <c r="D349" s="28">
        <v>119</v>
      </c>
      <c r="E349" s="33">
        <f t="shared" si="17"/>
        <v>244</v>
      </c>
      <c r="F349" s="28">
        <v>6.7999999999999996E-3</v>
      </c>
      <c r="G349" s="28">
        <f t="shared" si="18"/>
        <v>59.731199999999994</v>
      </c>
      <c r="H349" s="81">
        <f>Q15</f>
        <v>69.08</v>
      </c>
      <c r="I349" s="22">
        <f t="shared" si="19"/>
        <v>4.1262312960000003</v>
      </c>
    </row>
    <row r="350" spans="1:19" x14ac:dyDescent="0.25">
      <c r="A350" s="4" t="s">
        <v>900</v>
      </c>
      <c r="B350" s="28">
        <v>6</v>
      </c>
      <c r="C350" s="28">
        <v>150</v>
      </c>
      <c r="D350" s="28">
        <v>119</v>
      </c>
      <c r="E350" s="33">
        <f t="shared" si="17"/>
        <v>269</v>
      </c>
      <c r="F350" s="28">
        <v>6.7999999999999996E-3</v>
      </c>
      <c r="G350" s="28">
        <f t="shared" si="18"/>
        <v>65.851199999999992</v>
      </c>
      <c r="H350" s="81">
        <f>Q15</f>
        <v>69.08</v>
      </c>
      <c r="I350" s="22">
        <f t="shared" si="19"/>
        <v>4.5490008959999999</v>
      </c>
    </row>
    <row r="351" spans="1:19" x14ac:dyDescent="0.25">
      <c r="A351" s="4" t="s">
        <v>902</v>
      </c>
      <c r="B351" s="28">
        <v>6</v>
      </c>
      <c r="C351" s="28">
        <v>200</v>
      </c>
      <c r="D351" s="28">
        <v>119</v>
      </c>
      <c r="E351" s="33">
        <f t="shared" si="17"/>
        <v>319</v>
      </c>
      <c r="F351" s="28">
        <v>6.7999999999999996E-3</v>
      </c>
      <c r="G351" s="28">
        <f t="shared" si="18"/>
        <v>78.091200000000001</v>
      </c>
      <c r="H351" s="81">
        <f>Q15</f>
        <v>69.08</v>
      </c>
      <c r="I351" s="22">
        <f t="shared" si="19"/>
        <v>5.3945400960000001</v>
      </c>
    </row>
    <row r="352" spans="1:19" x14ac:dyDescent="0.25">
      <c r="A352" s="4" t="s">
        <v>904</v>
      </c>
      <c r="B352" s="28">
        <v>6</v>
      </c>
      <c r="C352" s="28">
        <v>250</v>
      </c>
      <c r="D352" s="28">
        <v>119</v>
      </c>
      <c r="E352" s="33">
        <f t="shared" si="17"/>
        <v>369</v>
      </c>
      <c r="F352" s="28">
        <v>6.7999999999999996E-3</v>
      </c>
      <c r="G352" s="28">
        <f t="shared" si="18"/>
        <v>90.331199999999995</v>
      </c>
      <c r="H352" s="81">
        <f>Q15</f>
        <v>69.08</v>
      </c>
      <c r="I352" s="22">
        <f t="shared" si="19"/>
        <v>6.2400792960000002</v>
      </c>
    </row>
    <row r="353" spans="1:9" x14ac:dyDescent="0.25">
      <c r="A353" s="4" t="s">
        <v>906</v>
      </c>
      <c r="B353" s="28">
        <v>6</v>
      </c>
      <c r="C353" s="28">
        <v>300</v>
      </c>
      <c r="D353" s="28">
        <v>119</v>
      </c>
      <c r="E353" s="33">
        <f t="shared" si="17"/>
        <v>419</v>
      </c>
      <c r="F353" s="28">
        <v>6.7999999999999996E-3</v>
      </c>
      <c r="G353" s="28">
        <f t="shared" si="18"/>
        <v>102.57119999999999</v>
      </c>
      <c r="H353" s="81">
        <f>Q15</f>
        <v>69.08</v>
      </c>
      <c r="I353" s="22">
        <f t="shared" si="19"/>
        <v>7.0856184959999995</v>
      </c>
    </row>
    <row r="354" spans="1:9" x14ac:dyDescent="0.25">
      <c r="A354" s="4" t="s">
        <v>908</v>
      </c>
      <c r="B354" s="28">
        <v>6</v>
      </c>
      <c r="C354" s="28">
        <v>350</v>
      </c>
      <c r="D354" s="28">
        <v>119</v>
      </c>
      <c r="E354" s="33">
        <f t="shared" si="17"/>
        <v>469</v>
      </c>
      <c r="F354" s="28">
        <v>6.7999999999999996E-3</v>
      </c>
      <c r="G354" s="28">
        <f t="shared" si="18"/>
        <v>114.8112</v>
      </c>
      <c r="H354" s="81">
        <f>Q15</f>
        <v>69.08</v>
      </c>
      <c r="I354" s="22">
        <f t="shared" si="19"/>
        <v>7.9311576960000005</v>
      </c>
    </row>
    <row r="355" spans="1:9" x14ac:dyDescent="0.25">
      <c r="A355" s="4" t="s">
        <v>910</v>
      </c>
      <c r="B355" s="28">
        <v>6</v>
      </c>
      <c r="C355" s="28">
        <v>400</v>
      </c>
      <c r="D355" s="28">
        <v>119</v>
      </c>
      <c r="E355" s="33">
        <f t="shared" si="17"/>
        <v>519</v>
      </c>
      <c r="F355" s="28">
        <v>6.7999999999999996E-3</v>
      </c>
      <c r="G355" s="28">
        <f t="shared" si="18"/>
        <v>127.05119999999999</v>
      </c>
      <c r="H355" s="81">
        <f>Q15</f>
        <v>69.08</v>
      </c>
      <c r="I355" s="22">
        <f t="shared" si="19"/>
        <v>8.7766968959999989</v>
      </c>
    </row>
    <row r="356" spans="1:9" x14ac:dyDescent="0.25">
      <c r="A356" s="4" t="s">
        <v>912</v>
      </c>
      <c r="B356" s="28">
        <v>7</v>
      </c>
      <c r="C356" s="28">
        <v>150</v>
      </c>
      <c r="D356" s="28">
        <v>134</v>
      </c>
      <c r="E356" s="33">
        <f t="shared" si="17"/>
        <v>284</v>
      </c>
      <c r="F356" s="28">
        <v>6.7999999999999996E-3</v>
      </c>
      <c r="G356" s="28">
        <f t="shared" si="18"/>
        <v>94.628799999999998</v>
      </c>
      <c r="H356" s="81">
        <f>Q15</f>
        <v>69.08</v>
      </c>
      <c r="I356" s="22">
        <f t="shared" si="19"/>
        <v>6.5369575040000001</v>
      </c>
    </row>
    <row r="357" spans="1:9" x14ac:dyDescent="0.25">
      <c r="A357" s="4" t="s">
        <v>914</v>
      </c>
      <c r="B357" s="28">
        <v>7</v>
      </c>
      <c r="C357" s="28">
        <v>175</v>
      </c>
      <c r="D357" s="28">
        <v>134</v>
      </c>
      <c r="E357" s="33">
        <f t="shared" si="17"/>
        <v>309</v>
      </c>
      <c r="F357" s="28">
        <v>6.7999999999999996E-3</v>
      </c>
      <c r="G357" s="28">
        <f t="shared" si="18"/>
        <v>102.9588</v>
      </c>
      <c r="H357" s="81">
        <f>Q15</f>
        <v>69.08</v>
      </c>
      <c r="I357" s="22">
        <f t="shared" si="19"/>
        <v>7.1123939039999993</v>
      </c>
    </row>
    <row r="358" spans="1:9" x14ac:dyDescent="0.25">
      <c r="A358" s="4" t="s">
        <v>916</v>
      </c>
      <c r="B358" s="28">
        <v>7</v>
      </c>
      <c r="C358" s="28">
        <v>200</v>
      </c>
      <c r="D358" s="28">
        <v>134</v>
      </c>
      <c r="E358" s="33">
        <f t="shared" si="17"/>
        <v>334</v>
      </c>
      <c r="F358" s="28">
        <v>6.7999999999999996E-3</v>
      </c>
      <c r="G358" s="28">
        <f t="shared" si="18"/>
        <v>111.28879999999999</v>
      </c>
      <c r="H358" s="81">
        <f>Q15</f>
        <v>69.08</v>
      </c>
      <c r="I358" s="22">
        <f t="shared" si="19"/>
        <v>7.6878303039999993</v>
      </c>
    </row>
    <row r="359" spans="1:9" x14ac:dyDescent="0.25">
      <c r="A359" s="4" t="s">
        <v>918</v>
      </c>
      <c r="B359" s="28">
        <v>7</v>
      </c>
      <c r="C359" s="28">
        <v>250</v>
      </c>
      <c r="D359" s="28">
        <v>134</v>
      </c>
      <c r="E359" s="33">
        <f t="shared" si="17"/>
        <v>384</v>
      </c>
      <c r="F359" s="28">
        <v>6.7999999999999996E-3</v>
      </c>
      <c r="G359" s="28">
        <f t="shared" si="18"/>
        <v>127.94879999999999</v>
      </c>
      <c r="H359" s="81">
        <f>Q15</f>
        <v>69.08</v>
      </c>
      <c r="I359" s="22">
        <f t="shared" si="19"/>
        <v>8.8387031039999986</v>
      </c>
    </row>
    <row r="360" spans="1:9" x14ac:dyDescent="0.25">
      <c r="A360" s="4" t="s">
        <v>920</v>
      </c>
      <c r="B360" s="28">
        <v>7</v>
      </c>
      <c r="C360" s="28">
        <v>300</v>
      </c>
      <c r="D360" s="28">
        <v>134</v>
      </c>
      <c r="E360" s="33">
        <f t="shared" si="17"/>
        <v>434</v>
      </c>
      <c r="F360" s="28">
        <v>6.7999999999999996E-3</v>
      </c>
      <c r="G360" s="28">
        <f t="shared" si="18"/>
        <v>144.6088</v>
      </c>
      <c r="H360" s="81">
        <f>Q15</f>
        <v>69.08</v>
      </c>
      <c r="I360" s="22">
        <f t="shared" si="19"/>
        <v>9.9895759039999987</v>
      </c>
    </row>
    <row r="361" spans="1:9" x14ac:dyDescent="0.25">
      <c r="A361" s="4" t="s">
        <v>922</v>
      </c>
      <c r="B361" s="28">
        <v>7</v>
      </c>
      <c r="C361" s="28">
        <v>350</v>
      </c>
      <c r="D361" s="28">
        <v>134</v>
      </c>
      <c r="E361" s="33">
        <f t="shared" si="17"/>
        <v>484</v>
      </c>
      <c r="F361" s="28">
        <v>6.7999999999999996E-3</v>
      </c>
      <c r="G361" s="28">
        <f t="shared" si="18"/>
        <v>161.2688</v>
      </c>
      <c r="H361" s="81">
        <f>Q15</f>
        <v>69.08</v>
      </c>
      <c r="I361" s="22">
        <f t="shared" si="19"/>
        <v>11.140448704000001</v>
      </c>
    </row>
    <row r="362" spans="1:9" x14ac:dyDescent="0.25">
      <c r="A362" s="4" t="s">
        <v>924</v>
      </c>
      <c r="B362" s="28">
        <v>7</v>
      </c>
      <c r="C362" s="28">
        <v>400</v>
      </c>
      <c r="D362" s="28">
        <v>134</v>
      </c>
      <c r="E362" s="33">
        <f t="shared" si="17"/>
        <v>534</v>
      </c>
      <c r="F362" s="28">
        <v>6.7999999999999996E-3</v>
      </c>
      <c r="G362" s="28">
        <f t="shared" si="18"/>
        <v>177.9288</v>
      </c>
      <c r="H362" s="81">
        <f>Q15</f>
        <v>69.08</v>
      </c>
      <c r="I362" s="22">
        <f t="shared" si="19"/>
        <v>12.291321503999999</v>
      </c>
    </row>
    <row r="363" spans="1:9" x14ac:dyDescent="0.25">
      <c r="A363" s="4" t="s">
        <v>926</v>
      </c>
      <c r="B363" s="28">
        <v>7</v>
      </c>
      <c r="C363" s="28">
        <v>450</v>
      </c>
      <c r="D363" s="28">
        <v>134</v>
      </c>
      <c r="E363" s="33">
        <f t="shared" si="17"/>
        <v>584</v>
      </c>
      <c r="F363" s="28">
        <v>6.7999999999999996E-3</v>
      </c>
      <c r="G363" s="28">
        <f t="shared" si="18"/>
        <v>194.58879999999999</v>
      </c>
      <c r="H363" s="81">
        <f>Q15</f>
        <v>69.08</v>
      </c>
      <c r="I363" s="22">
        <f t="shared" si="19"/>
        <v>13.442194303999999</v>
      </c>
    </row>
    <row r="364" spans="1:9" x14ac:dyDescent="0.25">
      <c r="A364" s="4" t="s">
        <v>928</v>
      </c>
      <c r="B364" s="28">
        <v>7</v>
      </c>
      <c r="C364" s="28">
        <v>500</v>
      </c>
      <c r="D364" s="28">
        <v>134</v>
      </c>
      <c r="E364" s="33">
        <f t="shared" si="17"/>
        <v>634</v>
      </c>
      <c r="F364" s="28">
        <v>6.7999999999999996E-3</v>
      </c>
      <c r="G364" s="28">
        <f t="shared" si="18"/>
        <v>211.24879999999999</v>
      </c>
      <c r="H364" s="81">
        <f>Q15</f>
        <v>69.08</v>
      </c>
      <c r="I364" s="22">
        <f t="shared" si="19"/>
        <v>14.593067103999999</v>
      </c>
    </row>
    <row r="365" spans="1:9" x14ac:dyDescent="0.25">
      <c r="A365" s="4" t="s">
        <v>930</v>
      </c>
      <c r="B365" s="28">
        <v>8</v>
      </c>
      <c r="C365" s="28">
        <v>175</v>
      </c>
      <c r="D365" s="28">
        <v>134</v>
      </c>
      <c r="E365" s="33">
        <f t="shared" si="17"/>
        <v>309</v>
      </c>
      <c r="F365" s="28">
        <v>6.7999999999999996E-3</v>
      </c>
      <c r="G365" s="28">
        <f t="shared" si="18"/>
        <v>134.4768</v>
      </c>
      <c r="H365" s="81">
        <f>Q15</f>
        <v>69.08</v>
      </c>
      <c r="I365" s="22">
        <f t="shared" si="19"/>
        <v>9.2896573440000001</v>
      </c>
    </row>
    <row r="366" spans="1:9" x14ac:dyDescent="0.25">
      <c r="A366" s="4" t="s">
        <v>932</v>
      </c>
      <c r="B366" s="28">
        <v>8</v>
      </c>
      <c r="C366" s="28">
        <v>200</v>
      </c>
      <c r="D366" s="28">
        <v>134</v>
      </c>
      <c r="E366" s="33">
        <f t="shared" si="17"/>
        <v>334</v>
      </c>
      <c r="F366" s="28">
        <v>6.7999999999999996E-3</v>
      </c>
      <c r="G366" s="28">
        <f t="shared" si="18"/>
        <v>145.35679999999999</v>
      </c>
      <c r="H366" s="81">
        <f>Q15</f>
        <v>69.08</v>
      </c>
      <c r="I366" s="22">
        <f t="shared" si="19"/>
        <v>10.041247743999998</v>
      </c>
    </row>
    <row r="367" spans="1:9" x14ac:dyDescent="0.25">
      <c r="A367" s="4" t="s">
        <v>934</v>
      </c>
      <c r="B367" s="28">
        <v>8</v>
      </c>
      <c r="C367" s="28">
        <v>250</v>
      </c>
      <c r="D367" s="28">
        <v>134</v>
      </c>
      <c r="E367" s="33">
        <f t="shared" si="17"/>
        <v>384</v>
      </c>
      <c r="F367" s="28">
        <v>6.7999999999999996E-3</v>
      </c>
      <c r="G367" s="28">
        <f t="shared" si="18"/>
        <v>167.11679999999998</v>
      </c>
      <c r="H367" s="81">
        <f>Q15</f>
        <v>69.08</v>
      </c>
      <c r="I367" s="22">
        <f t="shared" si="19"/>
        <v>11.544428543999999</v>
      </c>
    </row>
    <row r="368" spans="1:9" x14ac:dyDescent="0.25">
      <c r="A368" s="4" t="s">
        <v>936</v>
      </c>
      <c r="B368" s="28">
        <v>8</v>
      </c>
      <c r="C368" s="28">
        <v>300</v>
      </c>
      <c r="D368" s="28">
        <v>134</v>
      </c>
      <c r="E368" s="33">
        <f t="shared" si="17"/>
        <v>434</v>
      </c>
      <c r="F368" s="28">
        <v>6.7999999999999996E-3</v>
      </c>
      <c r="G368" s="28">
        <f t="shared" si="18"/>
        <v>188.8768</v>
      </c>
      <c r="H368" s="81">
        <f>Q15</f>
        <v>69.08</v>
      </c>
      <c r="I368" s="22">
        <f t="shared" si="19"/>
        <v>13.047609344</v>
      </c>
    </row>
    <row r="369" spans="1:9" x14ac:dyDescent="0.25">
      <c r="A369" s="4" t="s">
        <v>938</v>
      </c>
      <c r="B369" s="28">
        <v>8</v>
      </c>
      <c r="C369" s="28">
        <v>350</v>
      </c>
      <c r="D369" s="28">
        <v>134</v>
      </c>
      <c r="E369" s="33">
        <f t="shared" si="17"/>
        <v>484</v>
      </c>
      <c r="F369" s="28">
        <v>6.7999999999999996E-3</v>
      </c>
      <c r="G369" s="28">
        <f t="shared" si="18"/>
        <v>210.63679999999999</v>
      </c>
      <c r="H369" s="81">
        <f>Q15</f>
        <v>69.08</v>
      </c>
      <c r="I369" s="22">
        <f t="shared" si="19"/>
        <v>14.550790143999999</v>
      </c>
    </row>
    <row r="370" spans="1:9" x14ac:dyDescent="0.25">
      <c r="A370" s="4" t="s">
        <v>940</v>
      </c>
      <c r="B370" s="28">
        <v>8</v>
      </c>
      <c r="C370" s="28">
        <v>400</v>
      </c>
      <c r="D370" s="28">
        <v>134</v>
      </c>
      <c r="E370" s="33">
        <f t="shared" si="17"/>
        <v>534</v>
      </c>
      <c r="F370" s="28">
        <v>6.7999999999999996E-3</v>
      </c>
      <c r="G370" s="28">
        <f t="shared" si="18"/>
        <v>232.39679999999998</v>
      </c>
      <c r="H370" s="81">
        <f>Q15</f>
        <v>69.08</v>
      </c>
      <c r="I370" s="22">
        <f t="shared" si="19"/>
        <v>16.053970944</v>
      </c>
    </row>
    <row r="371" spans="1:9" x14ac:dyDescent="0.25">
      <c r="A371" s="4" t="s">
        <v>942</v>
      </c>
      <c r="B371" s="28">
        <v>8</v>
      </c>
      <c r="C371" s="28">
        <v>450</v>
      </c>
      <c r="D371" s="28">
        <v>134</v>
      </c>
      <c r="E371" s="33">
        <f t="shared" si="17"/>
        <v>584</v>
      </c>
      <c r="F371" s="28">
        <v>6.7999999999999996E-3</v>
      </c>
      <c r="G371" s="28">
        <f t="shared" si="18"/>
        <v>254.15679999999998</v>
      </c>
      <c r="H371" s="81">
        <f>Q15</f>
        <v>69.08</v>
      </c>
      <c r="I371" s="22">
        <f t="shared" si="19"/>
        <v>17.557151743999999</v>
      </c>
    </row>
    <row r="372" spans="1:9" x14ac:dyDescent="0.25">
      <c r="A372" s="4" t="s">
        <v>944</v>
      </c>
      <c r="B372" s="28">
        <v>8</v>
      </c>
      <c r="C372" s="28">
        <v>500</v>
      </c>
      <c r="D372" s="28">
        <v>134</v>
      </c>
      <c r="E372" s="33">
        <f t="shared" si="17"/>
        <v>634</v>
      </c>
      <c r="F372" s="28">
        <v>6.7999999999999996E-3</v>
      </c>
      <c r="G372" s="28">
        <f t="shared" si="18"/>
        <v>275.91679999999997</v>
      </c>
      <c r="H372" s="81">
        <f>O26</f>
        <v>60.5</v>
      </c>
      <c r="I372" s="22">
        <f t="shared" si="19"/>
        <v>16.692966399999996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42"/>
  <sheetViews>
    <sheetView workbookViewId="0">
      <pane ySplit="1" topLeftCell="A110" activePane="bottomLeft" state="frozen"/>
      <selection pane="bottomLeft" activeCell="F124" sqref="F124"/>
    </sheetView>
  </sheetViews>
  <sheetFormatPr defaultRowHeight="16.5" x14ac:dyDescent="0.25"/>
  <cols>
    <col min="1" max="1" width="19.375" customWidth="1"/>
    <col min="2" max="5" width="10.625" customWidth="1"/>
    <col min="6" max="9" width="10.625" style="2" customWidth="1"/>
    <col min="10" max="10" width="11" style="2" customWidth="1"/>
    <col min="11" max="22" width="10.625" style="2" customWidth="1"/>
    <col min="23" max="24" width="10.625" customWidth="1"/>
  </cols>
  <sheetData>
    <row r="1" spans="1:14" ht="21" x14ac:dyDescent="0.25">
      <c r="A1" s="25" t="s">
        <v>596</v>
      </c>
      <c r="B1" t="s">
        <v>443</v>
      </c>
      <c r="C1" t="s">
        <v>452</v>
      </c>
      <c r="D1" t="s">
        <v>454</v>
      </c>
      <c r="E1" t="s">
        <v>830</v>
      </c>
      <c r="F1" s="2" t="s">
        <v>446</v>
      </c>
      <c r="G1" s="2" t="s">
        <v>448</v>
      </c>
    </row>
    <row r="2" spans="1:14" x14ac:dyDescent="0.25">
      <c r="B2" t="s">
        <v>768</v>
      </c>
    </row>
    <row r="3" spans="1:14" x14ac:dyDescent="0.25">
      <c r="B3" t="s">
        <v>769</v>
      </c>
    </row>
    <row r="5" spans="1:14" ht="17.25" thickBot="1" x14ac:dyDescent="0.3">
      <c r="A5" t="s">
        <v>0</v>
      </c>
      <c r="B5" s="2" t="s">
        <v>443</v>
      </c>
      <c r="C5" s="2" t="s">
        <v>452</v>
      </c>
      <c r="D5" s="2" t="s">
        <v>454</v>
      </c>
      <c r="E5" s="2" t="s">
        <v>645</v>
      </c>
      <c r="F5" s="19" t="s">
        <v>647</v>
      </c>
      <c r="G5" s="21" t="s">
        <v>569</v>
      </c>
      <c r="J5" s="2" t="s">
        <v>677</v>
      </c>
      <c r="K5" s="2" t="s">
        <v>704</v>
      </c>
      <c r="L5" s="2" t="s">
        <v>975</v>
      </c>
      <c r="M5" s="2" t="s">
        <v>774</v>
      </c>
      <c r="N5" s="2" t="s">
        <v>679</v>
      </c>
    </row>
    <row r="6" spans="1:14" ht="17.25" thickBot="1" x14ac:dyDescent="0.3">
      <c r="A6" t="s">
        <v>11</v>
      </c>
      <c r="B6" s="2">
        <v>3</v>
      </c>
      <c r="C6" s="2">
        <v>60</v>
      </c>
      <c r="D6" s="47">
        <v>70</v>
      </c>
      <c r="E6" s="2">
        <f>D6+C6</f>
        <v>130</v>
      </c>
      <c r="F6" s="19">
        <f>N6</f>
        <v>0.9900000000000001</v>
      </c>
      <c r="G6" s="21">
        <f>F6</f>
        <v>0.9900000000000001</v>
      </c>
      <c r="J6" s="36" t="s">
        <v>714</v>
      </c>
      <c r="K6" s="37" t="s">
        <v>705</v>
      </c>
      <c r="L6" s="52">
        <v>0.9</v>
      </c>
      <c r="M6" s="37">
        <v>1.1000000000000001</v>
      </c>
      <c r="N6" s="44">
        <f>M6*L6</f>
        <v>0.9900000000000001</v>
      </c>
    </row>
    <row r="7" spans="1:14" ht="17.25" thickBot="1" x14ac:dyDescent="0.3">
      <c r="A7" t="s">
        <v>13</v>
      </c>
      <c r="B7" s="2">
        <v>3</v>
      </c>
      <c r="C7" s="2">
        <v>80</v>
      </c>
      <c r="D7" s="47">
        <v>70</v>
      </c>
      <c r="E7" s="2">
        <f t="shared" ref="E7:E70" si="0">D7+C7</f>
        <v>150</v>
      </c>
      <c r="F7" s="19">
        <f>N6</f>
        <v>0.9900000000000001</v>
      </c>
      <c r="G7" s="21">
        <f t="shared" ref="G7:G70" si="1">F7</f>
        <v>0.9900000000000001</v>
      </c>
      <c r="J7" s="39" t="s">
        <v>714</v>
      </c>
      <c r="K7" s="40" t="s">
        <v>707</v>
      </c>
      <c r="L7" s="51">
        <v>1.3</v>
      </c>
      <c r="M7" s="37">
        <v>1.1000000000000001</v>
      </c>
      <c r="N7" s="45">
        <f t="shared" ref="N7:N70" si="2">M7*L7</f>
        <v>1.4300000000000002</v>
      </c>
    </row>
    <row r="8" spans="1:14" ht="17.25" thickBot="1" x14ac:dyDescent="0.3">
      <c r="A8" t="s">
        <v>15</v>
      </c>
      <c r="B8" s="2">
        <v>3</v>
      </c>
      <c r="C8" s="2">
        <v>100</v>
      </c>
      <c r="D8" s="47">
        <v>70</v>
      </c>
      <c r="E8" s="2">
        <f t="shared" si="0"/>
        <v>170</v>
      </c>
      <c r="F8" s="19">
        <f>N6</f>
        <v>0.9900000000000001</v>
      </c>
      <c r="G8" s="21">
        <f t="shared" si="1"/>
        <v>0.9900000000000001</v>
      </c>
      <c r="J8" s="39" t="s">
        <v>714</v>
      </c>
      <c r="K8" s="40" t="s">
        <v>709</v>
      </c>
      <c r="L8" s="51">
        <v>1.5</v>
      </c>
      <c r="M8" s="37">
        <v>1.1000000000000001</v>
      </c>
      <c r="N8" s="45">
        <f t="shared" si="2"/>
        <v>1.6500000000000001</v>
      </c>
    </row>
    <row r="9" spans="1:14" ht="17.25" thickBot="1" x14ac:dyDescent="0.3">
      <c r="A9" t="s">
        <v>17</v>
      </c>
      <c r="B9" s="2">
        <v>3</v>
      </c>
      <c r="C9" s="2">
        <v>125</v>
      </c>
      <c r="D9" s="47">
        <v>70</v>
      </c>
      <c r="E9" s="2">
        <f t="shared" si="0"/>
        <v>195</v>
      </c>
      <c r="F9" s="19">
        <f>L6</f>
        <v>0.9</v>
      </c>
      <c r="G9" s="21">
        <f t="shared" si="1"/>
        <v>0.9</v>
      </c>
      <c r="J9" s="39" t="s">
        <v>714</v>
      </c>
      <c r="K9" s="40" t="s">
        <v>711</v>
      </c>
      <c r="L9" s="51">
        <v>2</v>
      </c>
      <c r="M9" s="37">
        <v>1.1000000000000001</v>
      </c>
      <c r="N9" s="45">
        <f t="shared" si="2"/>
        <v>2.2000000000000002</v>
      </c>
    </row>
    <row r="10" spans="1:14" ht="17.25" thickBot="1" x14ac:dyDescent="0.3">
      <c r="A10" t="s">
        <v>19</v>
      </c>
      <c r="B10" s="2">
        <v>3</v>
      </c>
      <c r="C10" s="2">
        <v>150</v>
      </c>
      <c r="D10" s="47">
        <v>70</v>
      </c>
      <c r="E10" s="2">
        <f t="shared" si="0"/>
        <v>220</v>
      </c>
      <c r="F10" s="19">
        <f t="shared" ref="F10:F15" si="3">N7</f>
        <v>1.4300000000000002</v>
      </c>
      <c r="G10" s="21">
        <f t="shared" si="1"/>
        <v>1.4300000000000002</v>
      </c>
      <c r="J10" s="39" t="s">
        <v>714</v>
      </c>
      <c r="K10" s="40" t="s">
        <v>713</v>
      </c>
      <c r="L10" s="51">
        <v>3</v>
      </c>
      <c r="M10" s="37">
        <v>1.1000000000000001</v>
      </c>
      <c r="N10" s="45">
        <f t="shared" si="2"/>
        <v>3.3000000000000003</v>
      </c>
    </row>
    <row r="11" spans="1:14" ht="17.25" thickBot="1" x14ac:dyDescent="0.3">
      <c r="A11" t="s">
        <v>21</v>
      </c>
      <c r="B11" s="2">
        <v>3</v>
      </c>
      <c r="C11" s="2">
        <v>200</v>
      </c>
      <c r="D11" s="47">
        <v>70</v>
      </c>
      <c r="E11" s="2">
        <f t="shared" si="0"/>
        <v>270</v>
      </c>
      <c r="F11" s="19">
        <f t="shared" si="3"/>
        <v>1.6500000000000001</v>
      </c>
      <c r="G11" s="21">
        <f t="shared" si="1"/>
        <v>1.6500000000000001</v>
      </c>
      <c r="J11" s="39" t="s">
        <v>715</v>
      </c>
      <c r="K11" s="40" t="s">
        <v>716</v>
      </c>
      <c r="L11" s="51">
        <v>0.8</v>
      </c>
      <c r="M11" s="37">
        <v>1.1000000000000001</v>
      </c>
      <c r="N11" s="45">
        <f t="shared" si="2"/>
        <v>0.88000000000000012</v>
      </c>
    </row>
    <row r="12" spans="1:14" ht="17.25" thickBot="1" x14ac:dyDescent="0.3">
      <c r="A12" t="s">
        <v>23</v>
      </c>
      <c r="B12" s="2">
        <v>3</v>
      </c>
      <c r="C12" s="2">
        <v>250</v>
      </c>
      <c r="D12" s="47">
        <v>70</v>
      </c>
      <c r="E12" s="2">
        <f t="shared" si="0"/>
        <v>320</v>
      </c>
      <c r="F12" s="19">
        <f t="shared" si="3"/>
        <v>2.2000000000000002</v>
      </c>
      <c r="G12" s="21">
        <f t="shared" si="1"/>
        <v>2.2000000000000002</v>
      </c>
      <c r="J12" s="39" t="s">
        <v>715</v>
      </c>
      <c r="K12" s="40" t="s">
        <v>719</v>
      </c>
      <c r="L12" s="51">
        <v>0.9</v>
      </c>
      <c r="M12" s="37">
        <v>1.1000000000000001</v>
      </c>
      <c r="N12" s="45">
        <f t="shared" si="2"/>
        <v>0.9900000000000001</v>
      </c>
    </row>
    <row r="13" spans="1:14" ht="17.25" thickBot="1" x14ac:dyDescent="0.3">
      <c r="A13" t="s">
        <v>25</v>
      </c>
      <c r="B13" s="2">
        <v>3</v>
      </c>
      <c r="C13" s="2">
        <v>300</v>
      </c>
      <c r="D13" s="47">
        <v>70</v>
      </c>
      <c r="E13" s="2">
        <f t="shared" si="0"/>
        <v>370</v>
      </c>
      <c r="F13" s="19">
        <f t="shared" si="3"/>
        <v>3.3000000000000003</v>
      </c>
      <c r="G13" s="21">
        <f t="shared" si="1"/>
        <v>3.3000000000000003</v>
      </c>
      <c r="J13" s="39" t="s">
        <v>715</v>
      </c>
      <c r="K13" s="40" t="s">
        <v>720</v>
      </c>
      <c r="L13" s="51">
        <v>1.1000000000000001</v>
      </c>
      <c r="M13" s="37">
        <v>1.1000000000000001</v>
      </c>
      <c r="N13" s="45">
        <f t="shared" si="2"/>
        <v>1.2100000000000002</v>
      </c>
    </row>
    <row r="14" spans="1:14" ht="17.25" thickBot="1" x14ac:dyDescent="0.3">
      <c r="A14" t="s">
        <v>35</v>
      </c>
      <c r="B14" s="2">
        <v>5</v>
      </c>
      <c r="C14" s="2">
        <v>38</v>
      </c>
      <c r="D14" s="47">
        <v>55</v>
      </c>
      <c r="E14" s="2">
        <f t="shared" si="0"/>
        <v>93</v>
      </c>
      <c r="F14" s="19">
        <f t="shared" si="3"/>
        <v>0.88000000000000012</v>
      </c>
      <c r="G14" s="21">
        <f t="shared" si="1"/>
        <v>0.88000000000000012</v>
      </c>
      <c r="J14" s="39" t="s">
        <v>715</v>
      </c>
      <c r="K14" s="40" t="s">
        <v>709</v>
      </c>
      <c r="L14" s="51">
        <v>1.3</v>
      </c>
      <c r="M14" s="37">
        <v>1.1000000000000001</v>
      </c>
      <c r="N14" s="45">
        <f t="shared" si="2"/>
        <v>1.4300000000000002</v>
      </c>
    </row>
    <row r="15" spans="1:14" ht="17.25" thickBot="1" x14ac:dyDescent="0.3">
      <c r="A15" t="s">
        <v>27</v>
      </c>
      <c r="B15" s="2">
        <v>5</v>
      </c>
      <c r="C15" s="2">
        <v>80</v>
      </c>
      <c r="D15" s="47">
        <v>70</v>
      </c>
      <c r="E15" s="2">
        <f t="shared" si="0"/>
        <v>150</v>
      </c>
      <c r="F15" s="19">
        <f t="shared" si="3"/>
        <v>0.9900000000000001</v>
      </c>
      <c r="G15" s="21">
        <f t="shared" si="1"/>
        <v>0.9900000000000001</v>
      </c>
      <c r="J15" s="39" t="s">
        <v>715</v>
      </c>
      <c r="K15" s="40" t="s">
        <v>711</v>
      </c>
      <c r="L15" s="51">
        <v>1.5</v>
      </c>
      <c r="M15" s="37">
        <v>1.1000000000000001</v>
      </c>
      <c r="N15" s="45">
        <f t="shared" si="2"/>
        <v>1.6500000000000001</v>
      </c>
    </row>
    <row r="16" spans="1:14" ht="17.25" thickBot="1" x14ac:dyDescent="0.3">
      <c r="A16" t="s">
        <v>29</v>
      </c>
      <c r="B16" s="2">
        <v>5</v>
      </c>
      <c r="C16" s="2">
        <v>100</v>
      </c>
      <c r="D16" s="47">
        <v>70</v>
      </c>
      <c r="E16" s="2">
        <f t="shared" si="0"/>
        <v>170</v>
      </c>
      <c r="F16" s="19">
        <f>N12</f>
        <v>0.9900000000000001</v>
      </c>
      <c r="G16" s="21">
        <f t="shared" si="1"/>
        <v>0.9900000000000001</v>
      </c>
      <c r="J16" s="39" t="s">
        <v>715</v>
      </c>
      <c r="K16" s="40" t="s">
        <v>713</v>
      </c>
      <c r="L16" s="51">
        <v>2</v>
      </c>
      <c r="M16" s="37">
        <v>1.1000000000000001</v>
      </c>
      <c r="N16" s="45">
        <f t="shared" si="2"/>
        <v>2.2000000000000002</v>
      </c>
    </row>
    <row r="17" spans="1:14" ht="17.25" thickBot="1" x14ac:dyDescent="0.3">
      <c r="A17" t="s">
        <v>31</v>
      </c>
      <c r="B17" s="2">
        <v>5</v>
      </c>
      <c r="C17" s="2">
        <v>125</v>
      </c>
      <c r="D17" s="47">
        <v>70</v>
      </c>
      <c r="E17" s="2">
        <f t="shared" si="0"/>
        <v>195</v>
      </c>
      <c r="F17" s="19">
        <f>L12</f>
        <v>0.9</v>
      </c>
      <c r="G17" s="21">
        <f t="shared" si="1"/>
        <v>0.9</v>
      </c>
      <c r="J17" s="39" t="s">
        <v>715</v>
      </c>
      <c r="K17" s="40" t="s">
        <v>718</v>
      </c>
      <c r="L17" s="51">
        <v>3.5</v>
      </c>
      <c r="M17" s="37">
        <v>1.1000000000000001</v>
      </c>
      <c r="N17" s="45">
        <f t="shared" si="2"/>
        <v>3.8500000000000005</v>
      </c>
    </row>
    <row r="18" spans="1:14" ht="17.25" thickBot="1" x14ac:dyDescent="0.3">
      <c r="A18" t="s">
        <v>33</v>
      </c>
      <c r="B18" s="2">
        <v>5</v>
      </c>
      <c r="C18" s="2">
        <v>150</v>
      </c>
      <c r="D18" s="47">
        <v>70</v>
      </c>
      <c r="E18" s="2">
        <f t="shared" si="0"/>
        <v>220</v>
      </c>
      <c r="F18" s="19">
        <f>N13</f>
        <v>1.2100000000000002</v>
      </c>
      <c r="G18" s="21">
        <f t="shared" si="1"/>
        <v>1.2100000000000002</v>
      </c>
      <c r="J18" s="39" t="s">
        <v>715</v>
      </c>
      <c r="K18" s="40" t="s">
        <v>700</v>
      </c>
      <c r="L18" s="51">
        <v>4.5</v>
      </c>
      <c r="M18" s="37">
        <v>1.1000000000000001</v>
      </c>
      <c r="N18" s="45">
        <f t="shared" si="2"/>
        <v>4.95</v>
      </c>
    </row>
    <row r="19" spans="1:14" ht="17.25" thickBot="1" x14ac:dyDescent="0.3">
      <c r="A19" t="s">
        <v>37</v>
      </c>
      <c r="B19" s="2">
        <v>5</v>
      </c>
      <c r="C19" s="2">
        <v>200</v>
      </c>
      <c r="D19" s="47">
        <v>70</v>
      </c>
      <c r="E19" s="2">
        <f t="shared" si="0"/>
        <v>270</v>
      </c>
      <c r="F19" s="19">
        <f>N14</f>
        <v>1.4300000000000002</v>
      </c>
      <c r="G19" s="21">
        <f t="shared" si="1"/>
        <v>1.4300000000000002</v>
      </c>
      <c r="J19" s="39" t="s">
        <v>715</v>
      </c>
      <c r="K19" s="40" t="s">
        <v>723</v>
      </c>
      <c r="L19" s="51">
        <v>5</v>
      </c>
      <c r="M19" s="37">
        <v>1.1000000000000001</v>
      </c>
      <c r="N19" s="45">
        <f t="shared" si="2"/>
        <v>5.5</v>
      </c>
    </row>
    <row r="20" spans="1:14" ht="17.25" thickBot="1" x14ac:dyDescent="0.3">
      <c r="A20" t="s">
        <v>39</v>
      </c>
      <c r="B20" s="2">
        <v>5</v>
      </c>
      <c r="C20" s="2">
        <v>250</v>
      </c>
      <c r="D20" s="47">
        <v>70</v>
      </c>
      <c r="E20" s="2">
        <f t="shared" si="0"/>
        <v>320</v>
      </c>
      <c r="F20" s="19">
        <f>L15</f>
        <v>1.5</v>
      </c>
      <c r="G20" s="21">
        <f t="shared" si="1"/>
        <v>1.5</v>
      </c>
      <c r="J20" s="39" t="s">
        <v>721</v>
      </c>
      <c r="K20" s="40" t="s">
        <v>722</v>
      </c>
      <c r="L20" s="51">
        <v>1.4</v>
      </c>
      <c r="M20" s="37">
        <v>1.1000000000000001</v>
      </c>
      <c r="N20" s="45">
        <f t="shared" si="2"/>
        <v>1.54</v>
      </c>
    </row>
    <row r="21" spans="1:14" ht="17.25" thickBot="1" x14ac:dyDescent="0.3">
      <c r="A21" t="s">
        <v>41</v>
      </c>
      <c r="B21" s="2">
        <v>5</v>
      </c>
      <c r="C21" s="2">
        <v>300</v>
      </c>
      <c r="D21" s="47">
        <v>70</v>
      </c>
      <c r="E21" s="2">
        <f t="shared" si="0"/>
        <v>370</v>
      </c>
      <c r="F21" s="19">
        <f>N16</f>
        <v>2.2000000000000002</v>
      </c>
      <c r="G21" s="21">
        <f t="shared" si="1"/>
        <v>2.2000000000000002</v>
      </c>
      <c r="J21" s="39" t="s">
        <v>721</v>
      </c>
      <c r="K21" s="40" t="s">
        <v>709</v>
      </c>
      <c r="L21" s="51">
        <v>1.8</v>
      </c>
      <c r="M21" s="37">
        <v>1.1000000000000001</v>
      </c>
      <c r="N21" s="45">
        <f t="shared" si="2"/>
        <v>1.9800000000000002</v>
      </c>
    </row>
    <row r="22" spans="1:14" ht="17.25" thickBot="1" x14ac:dyDescent="0.3">
      <c r="A22" t="s">
        <v>43</v>
      </c>
      <c r="B22" s="2">
        <v>5</v>
      </c>
      <c r="C22" s="2">
        <v>350</v>
      </c>
      <c r="D22" s="47">
        <v>70</v>
      </c>
      <c r="E22" s="2">
        <f t="shared" si="0"/>
        <v>420</v>
      </c>
      <c r="F22" s="19">
        <f>N17</f>
        <v>3.8500000000000005</v>
      </c>
      <c r="G22" s="21">
        <f t="shared" si="1"/>
        <v>3.8500000000000005</v>
      </c>
      <c r="J22" s="39" t="s">
        <v>721</v>
      </c>
      <c r="K22" s="40" t="s">
        <v>711</v>
      </c>
      <c r="L22" s="51">
        <v>2</v>
      </c>
      <c r="M22" s="37">
        <v>1.1000000000000001</v>
      </c>
      <c r="N22" s="45">
        <f t="shared" si="2"/>
        <v>2.2000000000000002</v>
      </c>
    </row>
    <row r="23" spans="1:14" ht="17.25" thickBot="1" x14ac:dyDescent="0.3">
      <c r="A23" t="s">
        <v>45</v>
      </c>
      <c r="B23" s="2">
        <v>5</v>
      </c>
      <c r="C23" s="2">
        <v>400</v>
      </c>
      <c r="D23" s="47">
        <v>70</v>
      </c>
      <c r="E23" s="2">
        <f t="shared" si="0"/>
        <v>470</v>
      </c>
      <c r="F23" s="19">
        <f>N18</f>
        <v>4.95</v>
      </c>
      <c r="G23" s="21">
        <f t="shared" si="1"/>
        <v>4.95</v>
      </c>
      <c r="J23" s="39" t="s">
        <v>721</v>
      </c>
      <c r="K23" s="40" t="s">
        <v>713</v>
      </c>
      <c r="L23" s="51">
        <v>2.5</v>
      </c>
      <c r="M23" s="37">
        <v>1.1000000000000001</v>
      </c>
      <c r="N23" s="45">
        <f t="shared" si="2"/>
        <v>2.75</v>
      </c>
    </row>
    <row r="24" spans="1:14" ht="17.25" thickBot="1" x14ac:dyDescent="0.3">
      <c r="A24" t="s">
        <v>47</v>
      </c>
      <c r="B24" s="2">
        <v>5</v>
      </c>
      <c r="C24" s="2">
        <v>500</v>
      </c>
      <c r="D24" s="47">
        <v>70</v>
      </c>
      <c r="E24" s="2">
        <f t="shared" si="0"/>
        <v>570</v>
      </c>
      <c r="F24" s="19">
        <f>N19</f>
        <v>5.5</v>
      </c>
      <c r="G24" s="21">
        <f t="shared" si="1"/>
        <v>5.5</v>
      </c>
      <c r="J24" s="39" t="s">
        <v>721</v>
      </c>
      <c r="K24" s="40" t="s">
        <v>718</v>
      </c>
      <c r="L24" s="51">
        <v>3.5</v>
      </c>
      <c r="M24" s="37">
        <v>1.1000000000000001</v>
      </c>
      <c r="N24" s="45">
        <f t="shared" si="2"/>
        <v>3.8500000000000005</v>
      </c>
    </row>
    <row r="25" spans="1:14" ht="17.25" thickBot="1" x14ac:dyDescent="0.3">
      <c r="A25" t="s">
        <v>49</v>
      </c>
      <c r="B25" s="2">
        <v>6</v>
      </c>
      <c r="C25" s="2">
        <v>38</v>
      </c>
      <c r="D25" s="47">
        <v>55</v>
      </c>
      <c r="E25" s="2">
        <f t="shared" si="0"/>
        <v>93</v>
      </c>
      <c r="F25" s="19">
        <f>N12</f>
        <v>0.9900000000000001</v>
      </c>
      <c r="G25" s="21">
        <f t="shared" si="1"/>
        <v>0.9900000000000001</v>
      </c>
      <c r="J25" s="39" t="s">
        <v>721</v>
      </c>
      <c r="K25" s="40" t="s">
        <v>700</v>
      </c>
      <c r="L25" s="51">
        <v>4.5</v>
      </c>
      <c r="M25" s="37">
        <v>1.1000000000000001</v>
      </c>
      <c r="N25" s="45">
        <f t="shared" si="2"/>
        <v>4.95</v>
      </c>
    </row>
    <row r="26" spans="1:14" ht="17.25" thickBot="1" x14ac:dyDescent="0.3">
      <c r="A26" t="s">
        <v>51</v>
      </c>
      <c r="B26" s="2">
        <v>6</v>
      </c>
      <c r="C26" s="2">
        <v>100</v>
      </c>
      <c r="D26" s="47">
        <v>90</v>
      </c>
      <c r="E26" s="2">
        <f t="shared" si="0"/>
        <v>190</v>
      </c>
      <c r="F26" s="19">
        <f>L12</f>
        <v>0.9</v>
      </c>
      <c r="G26" s="21">
        <f t="shared" si="1"/>
        <v>0.9</v>
      </c>
      <c r="J26" s="39" t="s">
        <v>721</v>
      </c>
      <c r="K26" s="40" t="s">
        <v>723</v>
      </c>
      <c r="L26" s="51">
        <v>5</v>
      </c>
      <c r="M26" s="37">
        <v>1.1000000000000001</v>
      </c>
      <c r="N26" s="45">
        <f t="shared" si="2"/>
        <v>5.5</v>
      </c>
    </row>
    <row r="27" spans="1:14" ht="17.25" thickBot="1" x14ac:dyDescent="0.3">
      <c r="A27" t="s">
        <v>53</v>
      </c>
      <c r="B27" s="2">
        <v>6</v>
      </c>
      <c r="C27" s="2">
        <v>125</v>
      </c>
      <c r="D27" s="47">
        <v>90</v>
      </c>
      <c r="E27" s="2">
        <f t="shared" si="0"/>
        <v>215</v>
      </c>
      <c r="F27" s="19">
        <f>N13</f>
        <v>1.2100000000000002</v>
      </c>
      <c r="G27" s="21">
        <f t="shared" si="1"/>
        <v>1.2100000000000002</v>
      </c>
      <c r="J27" s="39" t="s">
        <v>724</v>
      </c>
      <c r="K27" s="40" t="s">
        <v>722</v>
      </c>
      <c r="L27" s="51">
        <v>1.6</v>
      </c>
      <c r="M27" s="37">
        <v>1.1000000000000001</v>
      </c>
      <c r="N27" s="45">
        <f t="shared" si="2"/>
        <v>1.7600000000000002</v>
      </c>
    </row>
    <row r="28" spans="1:14" ht="17.25" thickBot="1" x14ac:dyDescent="0.3">
      <c r="A28" t="s">
        <v>55</v>
      </c>
      <c r="B28" s="2">
        <v>6</v>
      </c>
      <c r="C28" s="2">
        <v>150</v>
      </c>
      <c r="D28" s="47">
        <v>90</v>
      </c>
      <c r="E28" s="2">
        <f t="shared" si="0"/>
        <v>240</v>
      </c>
      <c r="F28" s="19">
        <f t="shared" ref="F28:F35" si="4">N13</f>
        <v>1.2100000000000002</v>
      </c>
      <c r="G28" s="21">
        <f t="shared" si="1"/>
        <v>1.2100000000000002</v>
      </c>
      <c r="J28" s="39" t="s">
        <v>724</v>
      </c>
      <c r="K28" s="40" t="s">
        <v>709</v>
      </c>
      <c r="L28" s="51">
        <v>1.8</v>
      </c>
      <c r="M28" s="37">
        <v>1.1000000000000001</v>
      </c>
      <c r="N28" s="45">
        <f t="shared" si="2"/>
        <v>1.9800000000000002</v>
      </c>
    </row>
    <row r="29" spans="1:14" ht="17.25" thickBot="1" x14ac:dyDescent="0.3">
      <c r="A29" t="s">
        <v>57</v>
      </c>
      <c r="B29" s="2">
        <v>6</v>
      </c>
      <c r="C29" s="2">
        <v>200</v>
      </c>
      <c r="D29" s="47">
        <v>90</v>
      </c>
      <c r="E29" s="2">
        <f t="shared" si="0"/>
        <v>290</v>
      </c>
      <c r="F29" s="19">
        <f t="shared" si="4"/>
        <v>1.4300000000000002</v>
      </c>
      <c r="G29" s="21">
        <f t="shared" si="1"/>
        <v>1.4300000000000002</v>
      </c>
      <c r="J29" s="39" t="s">
        <v>724</v>
      </c>
      <c r="K29" s="40" t="s">
        <v>711</v>
      </c>
      <c r="L29" s="51">
        <v>2.2000000000000002</v>
      </c>
      <c r="M29" s="37">
        <v>1.1000000000000001</v>
      </c>
      <c r="N29" s="45">
        <f t="shared" si="2"/>
        <v>2.4200000000000004</v>
      </c>
    </row>
    <row r="30" spans="1:14" ht="17.25" thickBot="1" x14ac:dyDescent="0.3">
      <c r="A30" t="s">
        <v>59</v>
      </c>
      <c r="B30" s="2">
        <v>6</v>
      </c>
      <c r="C30" s="2">
        <v>250</v>
      </c>
      <c r="D30" s="47">
        <v>90</v>
      </c>
      <c r="E30" s="2">
        <f t="shared" si="0"/>
        <v>340</v>
      </c>
      <c r="F30" s="19">
        <f t="shared" si="4"/>
        <v>1.6500000000000001</v>
      </c>
      <c r="G30" s="21">
        <f t="shared" si="1"/>
        <v>1.6500000000000001</v>
      </c>
      <c r="J30" s="39" t="s">
        <v>724</v>
      </c>
      <c r="K30" s="40" t="s">
        <v>713</v>
      </c>
      <c r="L30" s="51">
        <v>2.8</v>
      </c>
      <c r="M30" s="37">
        <v>1.1000000000000001</v>
      </c>
      <c r="N30" s="45">
        <f t="shared" si="2"/>
        <v>3.08</v>
      </c>
    </row>
    <row r="31" spans="1:14" ht="17.25" thickBot="1" x14ac:dyDescent="0.3">
      <c r="A31" t="s">
        <v>61</v>
      </c>
      <c r="B31" s="2">
        <v>6</v>
      </c>
      <c r="C31" s="2">
        <v>300</v>
      </c>
      <c r="D31" s="47">
        <v>90</v>
      </c>
      <c r="E31" s="2">
        <f t="shared" si="0"/>
        <v>390</v>
      </c>
      <c r="F31" s="19">
        <f t="shared" si="4"/>
        <v>2.2000000000000002</v>
      </c>
      <c r="G31" s="21">
        <f t="shared" si="1"/>
        <v>2.2000000000000002</v>
      </c>
      <c r="J31" s="39" t="s">
        <v>724</v>
      </c>
      <c r="K31" s="40" t="s">
        <v>718</v>
      </c>
      <c r="L31" s="51">
        <v>3.8</v>
      </c>
      <c r="M31" s="37">
        <v>1.1000000000000001</v>
      </c>
      <c r="N31" s="45">
        <f t="shared" si="2"/>
        <v>4.18</v>
      </c>
    </row>
    <row r="32" spans="1:14" ht="17.25" thickBot="1" x14ac:dyDescent="0.3">
      <c r="A32" t="s">
        <v>63</v>
      </c>
      <c r="B32" s="2">
        <v>6</v>
      </c>
      <c r="C32" s="2">
        <v>350</v>
      </c>
      <c r="D32" s="47">
        <v>90</v>
      </c>
      <c r="E32" s="2">
        <f t="shared" si="0"/>
        <v>440</v>
      </c>
      <c r="F32" s="19">
        <f t="shared" si="4"/>
        <v>3.8500000000000005</v>
      </c>
      <c r="G32" s="21">
        <f t="shared" si="1"/>
        <v>3.8500000000000005</v>
      </c>
      <c r="J32" s="39" t="s">
        <v>724</v>
      </c>
      <c r="K32" s="40" t="s">
        <v>700</v>
      </c>
      <c r="L32" s="51">
        <v>4.8</v>
      </c>
      <c r="M32" s="37">
        <v>1.1000000000000001</v>
      </c>
      <c r="N32" s="45">
        <f t="shared" si="2"/>
        <v>5.28</v>
      </c>
    </row>
    <row r="33" spans="1:14" ht="17.25" thickBot="1" x14ac:dyDescent="0.3">
      <c r="A33" t="s">
        <v>65</v>
      </c>
      <c r="B33" s="2">
        <v>6</v>
      </c>
      <c r="C33" s="2">
        <v>400</v>
      </c>
      <c r="D33" s="47">
        <v>90</v>
      </c>
      <c r="E33" s="2">
        <f t="shared" si="0"/>
        <v>490</v>
      </c>
      <c r="F33" s="19">
        <f t="shared" si="4"/>
        <v>4.95</v>
      </c>
      <c r="G33" s="21">
        <f t="shared" si="1"/>
        <v>4.95</v>
      </c>
      <c r="J33" s="42" t="s">
        <v>724</v>
      </c>
      <c r="K33" s="43" t="s">
        <v>723</v>
      </c>
      <c r="L33" s="51">
        <v>6</v>
      </c>
      <c r="M33" s="37">
        <v>1.1000000000000001</v>
      </c>
      <c r="N33" s="45">
        <f t="shared" si="2"/>
        <v>6.6000000000000005</v>
      </c>
    </row>
    <row r="34" spans="1:14" ht="17.25" thickBot="1" x14ac:dyDescent="0.3">
      <c r="A34" t="s">
        <v>67</v>
      </c>
      <c r="B34" s="2">
        <v>6</v>
      </c>
      <c r="C34" s="2">
        <v>500</v>
      </c>
      <c r="D34" s="47">
        <v>90</v>
      </c>
      <c r="E34" s="2">
        <f t="shared" si="0"/>
        <v>590</v>
      </c>
      <c r="F34" s="19">
        <f t="shared" si="4"/>
        <v>5.5</v>
      </c>
      <c r="G34" s="21">
        <f t="shared" si="1"/>
        <v>5.5</v>
      </c>
      <c r="J34" s="36" t="s">
        <v>725</v>
      </c>
      <c r="K34" s="37" t="s">
        <v>726</v>
      </c>
      <c r="L34" s="51">
        <v>1.1000000000000001</v>
      </c>
      <c r="M34" s="37">
        <v>1.1000000000000001</v>
      </c>
      <c r="N34" s="45">
        <f t="shared" si="2"/>
        <v>1.2100000000000002</v>
      </c>
    </row>
    <row r="35" spans="1:14" ht="17.25" thickBot="1" x14ac:dyDescent="0.3">
      <c r="A35" t="s">
        <v>69</v>
      </c>
      <c r="B35" s="2">
        <v>8</v>
      </c>
      <c r="C35" s="2">
        <v>100</v>
      </c>
      <c r="D35" s="47">
        <v>110</v>
      </c>
      <c r="E35" s="2">
        <f t="shared" si="0"/>
        <v>210</v>
      </c>
      <c r="F35" s="19">
        <f t="shared" si="4"/>
        <v>1.54</v>
      </c>
      <c r="G35" s="21">
        <f t="shared" si="1"/>
        <v>1.54</v>
      </c>
      <c r="J35" s="39" t="s">
        <v>725</v>
      </c>
      <c r="K35" s="40" t="s">
        <v>707</v>
      </c>
      <c r="L35" s="51">
        <v>1.5</v>
      </c>
      <c r="M35" s="37">
        <v>1.1000000000000001</v>
      </c>
      <c r="N35" s="45">
        <f t="shared" si="2"/>
        <v>1.6500000000000001</v>
      </c>
    </row>
    <row r="36" spans="1:14" ht="17.25" thickBot="1" x14ac:dyDescent="0.3">
      <c r="A36" t="s">
        <v>71</v>
      </c>
      <c r="B36" s="2">
        <v>8</v>
      </c>
      <c r="C36" s="2">
        <v>125</v>
      </c>
      <c r="D36" s="47">
        <v>110</v>
      </c>
      <c r="E36" s="2">
        <f t="shared" si="0"/>
        <v>235</v>
      </c>
      <c r="F36" s="19">
        <f>N20</f>
        <v>1.54</v>
      </c>
      <c r="G36" s="21">
        <f t="shared" si="1"/>
        <v>1.54</v>
      </c>
      <c r="J36" s="39" t="s">
        <v>725</v>
      </c>
      <c r="K36" s="40" t="s">
        <v>709</v>
      </c>
      <c r="L36" s="51">
        <v>1.7</v>
      </c>
      <c r="M36" s="37">
        <v>1.1000000000000001</v>
      </c>
      <c r="N36" s="45">
        <f t="shared" si="2"/>
        <v>1.87</v>
      </c>
    </row>
    <row r="37" spans="1:14" ht="17.25" thickBot="1" x14ac:dyDescent="0.3">
      <c r="A37" t="s">
        <v>75</v>
      </c>
      <c r="B37" s="2">
        <v>8</v>
      </c>
      <c r="C37" s="2">
        <v>150</v>
      </c>
      <c r="D37" s="47">
        <v>110</v>
      </c>
      <c r="E37" s="2">
        <f t="shared" si="0"/>
        <v>260</v>
      </c>
      <c r="F37" s="19">
        <f>N21</f>
        <v>1.9800000000000002</v>
      </c>
      <c r="G37" s="21">
        <f t="shared" si="1"/>
        <v>1.9800000000000002</v>
      </c>
      <c r="J37" s="39" t="s">
        <v>725</v>
      </c>
      <c r="K37" s="40" t="s">
        <v>711</v>
      </c>
      <c r="L37" s="51">
        <v>2.2000000000000002</v>
      </c>
      <c r="M37" s="37">
        <v>1.1000000000000001</v>
      </c>
      <c r="N37" s="45">
        <f t="shared" si="2"/>
        <v>2.4200000000000004</v>
      </c>
    </row>
    <row r="38" spans="1:14" ht="17.25" thickBot="1" x14ac:dyDescent="0.3">
      <c r="A38" t="s">
        <v>73</v>
      </c>
      <c r="B38" s="2">
        <v>8</v>
      </c>
      <c r="C38" s="2">
        <v>175</v>
      </c>
      <c r="D38" s="47">
        <v>110</v>
      </c>
      <c r="E38" s="2">
        <f t="shared" si="0"/>
        <v>285</v>
      </c>
      <c r="F38" s="19">
        <f t="shared" ref="F38:F43" si="5">N21</f>
        <v>1.9800000000000002</v>
      </c>
      <c r="G38" s="21">
        <f t="shared" si="1"/>
        <v>1.9800000000000002</v>
      </c>
      <c r="J38" s="39" t="s">
        <v>725</v>
      </c>
      <c r="K38" s="40" t="s">
        <v>713</v>
      </c>
      <c r="L38" s="51">
        <v>3.2</v>
      </c>
      <c r="M38" s="37">
        <v>1.1000000000000001</v>
      </c>
      <c r="N38" s="45">
        <f t="shared" si="2"/>
        <v>3.5200000000000005</v>
      </c>
    </row>
    <row r="39" spans="1:14" ht="17.25" thickBot="1" x14ac:dyDescent="0.3">
      <c r="A39" t="s">
        <v>77</v>
      </c>
      <c r="B39" s="2">
        <v>8</v>
      </c>
      <c r="C39" s="2">
        <v>200</v>
      </c>
      <c r="D39" s="47">
        <v>110</v>
      </c>
      <c r="E39" s="2">
        <f t="shared" si="0"/>
        <v>310</v>
      </c>
      <c r="F39" s="19">
        <f t="shared" si="5"/>
        <v>2.2000000000000002</v>
      </c>
      <c r="G39" s="21">
        <f t="shared" si="1"/>
        <v>2.2000000000000002</v>
      </c>
      <c r="J39" s="39" t="s">
        <v>727</v>
      </c>
      <c r="K39" s="40" t="s">
        <v>716</v>
      </c>
      <c r="L39" s="51">
        <v>1</v>
      </c>
      <c r="M39" s="37">
        <v>1.1000000000000001</v>
      </c>
      <c r="N39" s="45">
        <f t="shared" si="2"/>
        <v>1.1000000000000001</v>
      </c>
    </row>
    <row r="40" spans="1:14" ht="17.25" thickBot="1" x14ac:dyDescent="0.3">
      <c r="A40" t="s">
        <v>79</v>
      </c>
      <c r="B40" s="2">
        <v>8</v>
      </c>
      <c r="C40" s="2">
        <v>250</v>
      </c>
      <c r="D40" s="47">
        <v>110</v>
      </c>
      <c r="E40" s="2">
        <f t="shared" si="0"/>
        <v>360</v>
      </c>
      <c r="F40" s="19">
        <f t="shared" si="5"/>
        <v>2.75</v>
      </c>
      <c r="G40" s="21">
        <f t="shared" si="1"/>
        <v>2.75</v>
      </c>
      <c r="J40" s="39" t="s">
        <v>727</v>
      </c>
      <c r="K40" s="40" t="s">
        <v>719</v>
      </c>
      <c r="L40" s="51">
        <v>1.1000000000000001</v>
      </c>
      <c r="M40" s="37">
        <v>1.1000000000000001</v>
      </c>
      <c r="N40" s="45">
        <f t="shared" si="2"/>
        <v>1.2100000000000002</v>
      </c>
    </row>
    <row r="41" spans="1:14" ht="17.25" thickBot="1" x14ac:dyDescent="0.3">
      <c r="A41" t="s">
        <v>81</v>
      </c>
      <c r="B41" s="2">
        <v>8</v>
      </c>
      <c r="C41" s="2">
        <v>300</v>
      </c>
      <c r="D41" s="47">
        <v>110</v>
      </c>
      <c r="E41" s="2">
        <f t="shared" si="0"/>
        <v>410</v>
      </c>
      <c r="F41" s="19">
        <f t="shared" si="5"/>
        <v>3.8500000000000005</v>
      </c>
      <c r="G41" s="21">
        <f t="shared" si="1"/>
        <v>3.8500000000000005</v>
      </c>
      <c r="J41" s="39" t="s">
        <v>727</v>
      </c>
      <c r="K41" s="40" t="s">
        <v>707</v>
      </c>
      <c r="L41" s="51">
        <v>1.3</v>
      </c>
      <c r="M41" s="37">
        <v>1.1000000000000001</v>
      </c>
      <c r="N41" s="45">
        <f t="shared" si="2"/>
        <v>1.4300000000000002</v>
      </c>
    </row>
    <row r="42" spans="1:14" ht="17.25" thickBot="1" x14ac:dyDescent="0.3">
      <c r="A42" t="s">
        <v>83</v>
      </c>
      <c r="B42" s="2">
        <v>8</v>
      </c>
      <c r="C42" s="2">
        <v>350</v>
      </c>
      <c r="D42" s="47">
        <v>110</v>
      </c>
      <c r="E42" s="2">
        <f t="shared" si="0"/>
        <v>460</v>
      </c>
      <c r="F42" s="19">
        <f t="shared" si="5"/>
        <v>4.95</v>
      </c>
      <c r="G42" s="21">
        <f t="shared" si="1"/>
        <v>4.95</v>
      </c>
      <c r="J42" s="39" t="s">
        <v>727</v>
      </c>
      <c r="K42" s="40" t="s">
        <v>709</v>
      </c>
      <c r="L42" s="51">
        <v>1.5</v>
      </c>
      <c r="M42" s="37">
        <v>1.1000000000000001</v>
      </c>
      <c r="N42" s="45">
        <f t="shared" si="2"/>
        <v>1.6500000000000001</v>
      </c>
    </row>
    <row r="43" spans="1:14" ht="17.25" thickBot="1" x14ac:dyDescent="0.3">
      <c r="A43" t="s">
        <v>85</v>
      </c>
      <c r="B43" s="2">
        <v>8</v>
      </c>
      <c r="C43" s="2">
        <v>400</v>
      </c>
      <c r="D43" s="47">
        <v>110</v>
      </c>
      <c r="E43" s="2">
        <f t="shared" si="0"/>
        <v>510</v>
      </c>
      <c r="F43" s="19">
        <f t="shared" si="5"/>
        <v>5.5</v>
      </c>
      <c r="G43" s="21">
        <f t="shared" si="1"/>
        <v>5.5</v>
      </c>
      <c r="J43" s="39" t="s">
        <v>727</v>
      </c>
      <c r="K43" s="40" t="s">
        <v>711</v>
      </c>
      <c r="L43" s="51">
        <v>1.7</v>
      </c>
      <c r="M43" s="37">
        <v>1.1000000000000001</v>
      </c>
      <c r="N43" s="45">
        <f t="shared" si="2"/>
        <v>1.87</v>
      </c>
    </row>
    <row r="44" spans="1:14" ht="17.25" thickBot="1" x14ac:dyDescent="0.3">
      <c r="A44" t="s">
        <v>87</v>
      </c>
      <c r="B44" s="2">
        <v>8</v>
      </c>
      <c r="C44" s="2">
        <v>500</v>
      </c>
      <c r="D44" s="47">
        <v>110</v>
      </c>
      <c r="E44" s="2">
        <f t="shared" si="0"/>
        <v>610</v>
      </c>
      <c r="F44" s="19">
        <f>N26</f>
        <v>5.5</v>
      </c>
      <c r="G44" s="21">
        <f t="shared" si="1"/>
        <v>5.5</v>
      </c>
      <c r="J44" s="39" t="s">
        <v>727</v>
      </c>
      <c r="K44" s="40" t="s">
        <v>713</v>
      </c>
      <c r="L44" s="51">
        <v>2.2000000000000002</v>
      </c>
      <c r="M44" s="37">
        <v>1.1000000000000001</v>
      </c>
      <c r="N44" s="45">
        <f t="shared" si="2"/>
        <v>2.4200000000000004</v>
      </c>
    </row>
    <row r="45" spans="1:14" ht="17.25" thickBot="1" x14ac:dyDescent="0.3">
      <c r="A45" t="s">
        <v>167</v>
      </c>
      <c r="B45" s="2">
        <v>10</v>
      </c>
      <c r="C45" s="2">
        <v>200</v>
      </c>
      <c r="D45" s="47">
        <v>110</v>
      </c>
      <c r="E45" s="2">
        <f t="shared" si="0"/>
        <v>310</v>
      </c>
      <c r="F45" s="19">
        <f>N29</f>
        <v>2.4200000000000004</v>
      </c>
      <c r="G45" s="21">
        <f t="shared" si="1"/>
        <v>2.4200000000000004</v>
      </c>
      <c r="J45" s="39" t="s">
        <v>727</v>
      </c>
      <c r="K45" s="40" t="s">
        <v>718</v>
      </c>
      <c r="L45" s="51">
        <v>3.7</v>
      </c>
      <c r="M45" s="37">
        <v>1.1000000000000001</v>
      </c>
      <c r="N45" s="45">
        <f t="shared" si="2"/>
        <v>4.07</v>
      </c>
    </row>
    <row r="46" spans="1:14" ht="17.25" thickBot="1" x14ac:dyDescent="0.3">
      <c r="A46" t="s">
        <v>169</v>
      </c>
      <c r="B46" s="2">
        <v>10</v>
      </c>
      <c r="C46" s="2">
        <v>250</v>
      </c>
      <c r="D46" s="47">
        <v>110</v>
      </c>
      <c r="E46" s="2">
        <f t="shared" si="0"/>
        <v>360</v>
      </c>
      <c r="F46" s="19">
        <f>N30</f>
        <v>3.08</v>
      </c>
      <c r="G46" s="21">
        <f t="shared" si="1"/>
        <v>3.08</v>
      </c>
      <c r="J46" s="39" t="s">
        <v>727</v>
      </c>
      <c r="K46" s="40" t="s">
        <v>700</v>
      </c>
      <c r="L46" s="51">
        <v>4.7</v>
      </c>
      <c r="M46" s="37">
        <v>1.1000000000000001</v>
      </c>
      <c r="N46" s="45">
        <f t="shared" si="2"/>
        <v>5.1700000000000008</v>
      </c>
    </row>
    <row r="47" spans="1:14" ht="17.25" thickBot="1" x14ac:dyDescent="0.3">
      <c r="A47" t="s">
        <v>171</v>
      </c>
      <c r="B47" s="2">
        <v>10</v>
      </c>
      <c r="C47" s="2">
        <v>300</v>
      </c>
      <c r="D47" s="47">
        <v>110</v>
      </c>
      <c r="E47" s="2">
        <f t="shared" si="0"/>
        <v>410</v>
      </c>
      <c r="F47" s="19">
        <f>N31</f>
        <v>4.18</v>
      </c>
      <c r="G47" s="21">
        <f t="shared" si="1"/>
        <v>4.18</v>
      </c>
      <c r="J47" s="39" t="s">
        <v>727</v>
      </c>
      <c r="K47" s="40" t="s">
        <v>723</v>
      </c>
      <c r="L47" s="51">
        <v>5.2</v>
      </c>
      <c r="M47" s="37">
        <v>1.1000000000000001</v>
      </c>
      <c r="N47" s="45">
        <f t="shared" si="2"/>
        <v>5.7200000000000006</v>
      </c>
    </row>
    <row r="48" spans="1:14" ht="17.25" thickBot="1" x14ac:dyDescent="0.3">
      <c r="A48" t="s">
        <v>173</v>
      </c>
      <c r="B48" s="2">
        <v>10</v>
      </c>
      <c r="C48" s="2">
        <v>400</v>
      </c>
      <c r="D48" s="47">
        <v>110</v>
      </c>
      <c r="E48" s="2">
        <f t="shared" si="0"/>
        <v>510</v>
      </c>
      <c r="F48" s="19">
        <f>N33</f>
        <v>6.6000000000000005</v>
      </c>
      <c r="G48" s="21">
        <f t="shared" si="1"/>
        <v>6.6000000000000005</v>
      </c>
      <c r="J48" s="39" t="s">
        <v>728</v>
      </c>
      <c r="K48" s="40" t="s">
        <v>722</v>
      </c>
      <c r="L48" s="51">
        <v>1.6</v>
      </c>
      <c r="M48" s="37">
        <v>1.1000000000000001</v>
      </c>
      <c r="N48" s="45">
        <f t="shared" si="2"/>
        <v>1.7600000000000002</v>
      </c>
    </row>
    <row r="49" spans="1:14" ht="17.25" thickBot="1" x14ac:dyDescent="0.3">
      <c r="A49" t="s">
        <v>175</v>
      </c>
      <c r="B49" s="2">
        <v>10</v>
      </c>
      <c r="C49" s="2">
        <v>500</v>
      </c>
      <c r="D49" s="47">
        <v>110</v>
      </c>
      <c r="E49" s="2">
        <f t="shared" si="0"/>
        <v>610</v>
      </c>
      <c r="F49" s="19">
        <f>N33</f>
        <v>6.6000000000000005</v>
      </c>
      <c r="G49" s="21">
        <f t="shared" si="1"/>
        <v>6.6000000000000005</v>
      </c>
      <c r="J49" s="39" t="s">
        <v>728</v>
      </c>
      <c r="K49" s="40" t="s">
        <v>709</v>
      </c>
      <c r="L49" s="51">
        <v>2</v>
      </c>
      <c r="M49" s="37">
        <v>1.1000000000000001</v>
      </c>
      <c r="N49" s="45">
        <f t="shared" si="2"/>
        <v>2.2000000000000002</v>
      </c>
    </row>
    <row r="50" spans="1:14" ht="17.25" thickBot="1" x14ac:dyDescent="0.3">
      <c r="A50" t="s">
        <v>89</v>
      </c>
      <c r="B50" s="2">
        <v>3</v>
      </c>
      <c r="C50" s="2">
        <v>60</v>
      </c>
      <c r="D50" s="47">
        <v>70</v>
      </c>
      <c r="E50" s="2">
        <f t="shared" si="0"/>
        <v>130</v>
      </c>
      <c r="F50" s="19">
        <f>N34</f>
        <v>1.2100000000000002</v>
      </c>
      <c r="G50" s="21">
        <f t="shared" si="1"/>
        <v>1.2100000000000002</v>
      </c>
      <c r="J50" s="39" t="s">
        <v>728</v>
      </c>
      <c r="K50" s="40" t="s">
        <v>711</v>
      </c>
      <c r="L50" s="51">
        <v>2.2000000000000002</v>
      </c>
      <c r="M50" s="37">
        <v>1.1000000000000001</v>
      </c>
      <c r="N50" s="45">
        <f t="shared" si="2"/>
        <v>2.4200000000000004</v>
      </c>
    </row>
    <row r="51" spans="1:14" ht="17.25" thickBot="1" x14ac:dyDescent="0.3">
      <c r="A51" t="s">
        <v>91</v>
      </c>
      <c r="B51" s="2">
        <v>3</v>
      </c>
      <c r="C51" s="2">
        <v>80</v>
      </c>
      <c r="D51" s="47">
        <v>70</v>
      </c>
      <c r="E51" s="2">
        <f t="shared" si="0"/>
        <v>150</v>
      </c>
      <c r="F51" s="19">
        <f>N34</f>
        <v>1.2100000000000002</v>
      </c>
      <c r="G51" s="21">
        <f t="shared" si="1"/>
        <v>1.2100000000000002</v>
      </c>
      <c r="J51" s="39" t="s">
        <v>728</v>
      </c>
      <c r="K51" s="40" t="s">
        <v>713</v>
      </c>
      <c r="L51" s="51">
        <v>2.7</v>
      </c>
      <c r="M51" s="37">
        <v>1.1000000000000001</v>
      </c>
      <c r="N51" s="45">
        <f t="shared" si="2"/>
        <v>2.9700000000000006</v>
      </c>
    </row>
    <row r="52" spans="1:14" ht="17.25" thickBot="1" x14ac:dyDescent="0.3">
      <c r="A52" t="s">
        <v>93</v>
      </c>
      <c r="B52" s="2">
        <v>3</v>
      </c>
      <c r="C52" s="2">
        <v>100</v>
      </c>
      <c r="D52" s="47">
        <v>70</v>
      </c>
      <c r="E52" s="2">
        <f t="shared" si="0"/>
        <v>170</v>
      </c>
      <c r="F52" s="19">
        <f>N34</f>
        <v>1.2100000000000002</v>
      </c>
      <c r="G52" s="21">
        <f t="shared" si="1"/>
        <v>1.2100000000000002</v>
      </c>
      <c r="J52" s="39" t="s">
        <v>728</v>
      </c>
      <c r="K52" s="40" t="s">
        <v>718</v>
      </c>
      <c r="L52" s="51">
        <v>3.7</v>
      </c>
      <c r="M52" s="37">
        <v>1.1000000000000001</v>
      </c>
      <c r="N52" s="45">
        <f t="shared" si="2"/>
        <v>4.07</v>
      </c>
    </row>
    <row r="53" spans="1:14" ht="17.25" thickBot="1" x14ac:dyDescent="0.3">
      <c r="A53" t="s">
        <v>95</v>
      </c>
      <c r="B53" s="2">
        <v>3</v>
      </c>
      <c r="C53" s="2">
        <v>125</v>
      </c>
      <c r="D53" s="47">
        <v>70</v>
      </c>
      <c r="E53" s="2">
        <f t="shared" si="0"/>
        <v>195</v>
      </c>
      <c r="F53" s="19">
        <f>L34</f>
        <v>1.1000000000000001</v>
      </c>
      <c r="G53" s="21">
        <f t="shared" si="1"/>
        <v>1.1000000000000001</v>
      </c>
      <c r="J53" s="39" t="s">
        <v>728</v>
      </c>
      <c r="K53" s="40" t="s">
        <v>700</v>
      </c>
      <c r="L53" s="51">
        <v>4.7</v>
      </c>
      <c r="M53" s="37">
        <v>1.1000000000000001</v>
      </c>
      <c r="N53" s="45">
        <f t="shared" si="2"/>
        <v>5.1700000000000008</v>
      </c>
    </row>
    <row r="54" spans="1:14" ht="17.25" thickBot="1" x14ac:dyDescent="0.3">
      <c r="A54" t="s">
        <v>97</v>
      </c>
      <c r="B54" s="2">
        <v>3</v>
      </c>
      <c r="C54" s="2">
        <v>150</v>
      </c>
      <c r="D54" s="47">
        <v>70</v>
      </c>
      <c r="E54" s="2">
        <f t="shared" si="0"/>
        <v>220</v>
      </c>
      <c r="F54" s="19">
        <f>N35</f>
        <v>1.6500000000000001</v>
      </c>
      <c r="G54" s="21">
        <f t="shared" si="1"/>
        <v>1.6500000000000001</v>
      </c>
      <c r="J54" s="39" t="s">
        <v>728</v>
      </c>
      <c r="K54" s="40" t="s">
        <v>723</v>
      </c>
      <c r="L54" s="51">
        <v>5.2</v>
      </c>
      <c r="M54" s="37">
        <v>1.1000000000000001</v>
      </c>
      <c r="N54" s="45">
        <f t="shared" si="2"/>
        <v>5.7200000000000006</v>
      </c>
    </row>
    <row r="55" spans="1:14" ht="17.25" thickBot="1" x14ac:dyDescent="0.3">
      <c r="A55" t="s">
        <v>99</v>
      </c>
      <c r="B55" s="2">
        <v>3</v>
      </c>
      <c r="C55" s="2">
        <v>200</v>
      </c>
      <c r="D55" s="47">
        <v>70</v>
      </c>
      <c r="E55" s="2">
        <f t="shared" si="0"/>
        <v>270</v>
      </c>
      <c r="F55" s="19">
        <f>N36</f>
        <v>1.87</v>
      </c>
      <c r="G55" s="21">
        <f t="shared" si="1"/>
        <v>1.87</v>
      </c>
      <c r="J55" s="39" t="s">
        <v>729</v>
      </c>
      <c r="K55" s="40" t="s">
        <v>722</v>
      </c>
      <c r="L55" s="51">
        <v>1.8</v>
      </c>
      <c r="M55" s="37">
        <v>1.1000000000000001</v>
      </c>
      <c r="N55" s="45">
        <f t="shared" si="2"/>
        <v>1.9800000000000002</v>
      </c>
    </row>
    <row r="56" spans="1:14" ht="17.25" thickBot="1" x14ac:dyDescent="0.3">
      <c r="A56" t="s">
        <v>101</v>
      </c>
      <c r="B56" s="2">
        <v>3</v>
      </c>
      <c r="C56" s="2">
        <v>250</v>
      </c>
      <c r="D56" s="47">
        <v>70</v>
      </c>
      <c r="E56" s="2">
        <f t="shared" si="0"/>
        <v>320</v>
      </c>
      <c r="F56" s="19">
        <f>N37</f>
        <v>2.4200000000000004</v>
      </c>
      <c r="G56" s="21">
        <f t="shared" si="1"/>
        <v>2.4200000000000004</v>
      </c>
      <c r="J56" s="39" t="s">
        <v>729</v>
      </c>
      <c r="K56" s="40" t="s">
        <v>709</v>
      </c>
      <c r="L56" s="51">
        <v>2</v>
      </c>
      <c r="M56" s="37">
        <v>1.1000000000000001</v>
      </c>
      <c r="N56" s="45">
        <f t="shared" si="2"/>
        <v>2.2000000000000002</v>
      </c>
    </row>
    <row r="57" spans="1:14" ht="17.25" thickBot="1" x14ac:dyDescent="0.3">
      <c r="A57" t="s">
        <v>103</v>
      </c>
      <c r="B57" s="2">
        <v>3</v>
      </c>
      <c r="C57" s="2">
        <v>300</v>
      </c>
      <c r="D57" s="47">
        <v>70</v>
      </c>
      <c r="E57" s="2">
        <f t="shared" si="0"/>
        <v>370</v>
      </c>
      <c r="F57" s="19">
        <f>N38</f>
        <v>3.5200000000000005</v>
      </c>
      <c r="G57" s="21">
        <f t="shared" si="1"/>
        <v>3.5200000000000005</v>
      </c>
      <c r="J57" s="39" t="s">
        <v>729</v>
      </c>
      <c r="K57" s="40" t="s">
        <v>711</v>
      </c>
      <c r="L57" s="51">
        <v>2.4</v>
      </c>
      <c r="M57" s="37">
        <v>1.1000000000000001</v>
      </c>
      <c r="N57" s="45">
        <f t="shared" si="2"/>
        <v>2.64</v>
      </c>
    </row>
    <row r="58" spans="1:14" ht="17.25" thickBot="1" x14ac:dyDescent="0.3">
      <c r="A58" t="s">
        <v>105</v>
      </c>
      <c r="B58" s="2">
        <v>5</v>
      </c>
      <c r="C58" s="2">
        <v>38</v>
      </c>
      <c r="D58" s="47">
        <v>55</v>
      </c>
      <c r="E58" s="2">
        <f t="shared" si="0"/>
        <v>93</v>
      </c>
      <c r="F58" s="19">
        <f>N34</f>
        <v>1.2100000000000002</v>
      </c>
      <c r="G58" s="21">
        <f t="shared" si="1"/>
        <v>1.2100000000000002</v>
      </c>
      <c r="J58" s="39" t="s">
        <v>729</v>
      </c>
      <c r="K58" s="40" t="s">
        <v>713</v>
      </c>
      <c r="L58" s="51">
        <v>3</v>
      </c>
      <c r="M58" s="37">
        <v>1.1000000000000001</v>
      </c>
      <c r="N58" s="45">
        <f t="shared" si="2"/>
        <v>3.3000000000000003</v>
      </c>
    </row>
    <row r="59" spans="1:14" ht="17.25" thickBot="1" x14ac:dyDescent="0.3">
      <c r="A59" t="s">
        <v>107</v>
      </c>
      <c r="B59" s="2">
        <v>5</v>
      </c>
      <c r="C59" s="2">
        <v>80</v>
      </c>
      <c r="D59" s="47">
        <v>70</v>
      </c>
      <c r="E59" s="2">
        <f t="shared" si="0"/>
        <v>150</v>
      </c>
      <c r="F59" s="19">
        <f>N34</f>
        <v>1.2100000000000002</v>
      </c>
      <c r="G59" s="21">
        <f t="shared" si="1"/>
        <v>1.2100000000000002</v>
      </c>
      <c r="J59" s="39" t="s">
        <v>729</v>
      </c>
      <c r="K59" s="40" t="s">
        <v>718</v>
      </c>
      <c r="L59" s="51">
        <v>4</v>
      </c>
      <c r="M59" s="37">
        <v>1.1000000000000001</v>
      </c>
      <c r="N59" s="45">
        <f t="shared" si="2"/>
        <v>4.4000000000000004</v>
      </c>
    </row>
    <row r="60" spans="1:14" ht="17.25" thickBot="1" x14ac:dyDescent="0.3">
      <c r="A60" t="s">
        <v>109</v>
      </c>
      <c r="B60" s="2">
        <v>5</v>
      </c>
      <c r="C60" s="2">
        <v>100</v>
      </c>
      <c r="D60" s="47">
        <v>70</v>
      </c>
      <c r="E60" s="2">
        <f t="shared" si="0"/>
        <v>170</v>
      </c>
      <c r="F60" s="19">
        <f>N34</f>
        <v>1.2100000000000002</v>
      </c>
      <c r="G60" s="21">
        <f t="shared" si="1"/>
        <v>1.2100000000000002</v>
      </c>
      <c r="J60" s="39" t="s">
        <v>729</v>
      </c>
      <c r="K60" s="40" t="s">
        <v>700</v>
      </c>
      <c r="L60" s="51">
        <v>5</v>
      </c>
      <c r="M60" s="37">
        <v>1.1000000000000001</v>
      </c>
      <c r="N60" s="45">
        <f t="shared" si="2"/>
        <v>5.5</v>
      </c>
    </row>
    <row r="61" spans="1:14" ht="17.25" thickBot="1" x14ac:dyDescent="0.3">
      <c r="A61" t="s">
        <v>111</v>
      </c>
      <c r="B61" s="2">
        <v>5</v>
      </c>
      <c r="C61" s="2">
        <v>125</v>
      </c>
      <c r="D61" s="47">
        <v>70</v>
      </c>
      <c r="E61" s="2">
        <f t="shared" si="0"/>
        <v>195</v>
      </c>
      <c r="F61" s="19">
        <f>L40</f>
        <v>1.1000000000000001</v>
      </c>
      <c r="G61" s="21">
        <f t="shared" si="1"/>
        <v>1.1000000000000001</v>
      </c>
      <c r="J61" s="42" t="s">
        <v>729</v>
      </c>
      <c r="K61" s="43" t="s">
        <v>723</v>
      </c>
      <c r="L61" s="51">
        <v>6.2</v>
      </c>
      <c r="M61" s="37">
        <v>1.1000000000000001</v>
      </c>
      <c r="N61" s="45">
        <f t="shared" si="2"/>
        <v>6.8200000000000012</v>
      </c>
    </row>
    <row r="62" spans="1:14" ht="17.25" thickBot="1" x14ac:dyDescent="0.3">
      <c r="A62" t="s">
        <v>113</v>
      </c>
      <c r="B62" s="2">
        <v>5</v>
      </c>
      <c r="C62" s="2">
        <v>150</v>
      </c>
      <c r="D62" s="47">
        <v>70</v>
      </c>
      <c r="E62" s="2">
        <f t="shared" si="0"/>
        <v>220</v>
      </c>
      <c r="F62" s="19">
        <f>N35</f>
        <v>1.6500000000000001</v>
      </c>
      <c r="G62" s="21">
        <f t="shared" si="1"/>
        <v>1.6500000000000001</v>
      </c>
      <c r="J62" s="36" t="s">
        <v>770</v>
      </c>
      <c r="K62" s="37">
        <v>122</v>
      </c>
      <c r="L62" s="51">
        <v>2.38</v>
      </c>
      <c r="M62" s="37">
        <v>1.1000000000000001</v>
      </c>
      <c r="N62" s="45">
        <f t="shared" si="2"/>
        <v>2.6179999999999999</v>
      </c>
    </row>
    <row r="63" spans="1:14" ht="17.25" thickBot="1" x14ac:dyDescent="0.3">
      <c r="A63" t="s">
        <v>115</v>
      </c>
      <c r="B63" s="2">
        <v>5</v>
      </c>
      <c r="C63" s="2">
        <v>200</v>
      </c>
      <c r="D63" s="47">
        <v>70</v>
      </c>
      <c r="E63" s="2">
        <f t="shared" si="0"/>
        <v>270</v>
      </c>
      <c r="F63" s="19">
        <f>N36</f>
        <v>1.87</v>
      </c>
      <c r="G63" s="21">
        <f t="shared" si="1"/>
        <v>1.87</v>
      </c>
      <c r="J63" s="39" t="s">
        <v>731</v>
      </c>
      <c r="K63" s="40" t="s">
        <v>730</v>
      </c>
      <c r="L63" s="51">
        <v>1.2</v>
      </c>
      <c r="M63" s="37">
        <v>1.1000000000000001</v>
      </c>
      <c r="N63" s="45">
        <f t="shared" si="2"/>
        <v>1.32</v>
      </c>
    </row>
    <row r="64" spans="1:14" ht="17.25" thickBot="1" x14ac:dyDescent="0.3">
      <c r="A64" t="s">
        <v>117</v>
      </c>
      <c r="B64" s="2">
        <v>5</v>
      </c>
      <c r="C64" s="2">
        <v>250</v>
      </c>
      <c r="D64" s="47">
        <v>70</v>
      </c>
      <c r="E64" s="2">
        <f t="shared" si="0"/>
        <v>320</v>
      </c>
      <c r="F64" s="19">
        <f>N37</f>
        <v>2.4200000000000004</v>
      </c>
      <c r="G64" s="21">
        <f t="shared" si="1"/>
        <v>2.4200000000000004</v>
      </c>
      <c r="J64" s="39" t="s">
        <v>731</v>
      </c>
      <c r="K64" s="40" t="s">
        <v>707</v>
      </c>
      <c r="L64" s="51">
        <v>1.4</v>
      </c>
      <c r="M64" s="37">
        <v>1.1000000000000001</v>
      </c>
      <c r="N64" s="45">
        <f t="shared" si="2"/>
        <v>1.54</v>
      </c>
    </row>
    <row r="65" spans="1:14" ht="17.25" thickBot="1" x14ac:dyDescent="0.3">
      <c r="A65" t="s">
        <v>119</v>
      </c>
      <c r="B65" s="2">
        <v>5</v>
      </c>
      <c r="C65" s="2">
        <v>300</v>
      </c>
      <c r="D65" s="47">
        <v>70</v>
      </c>
      <c r="E65" s="2">
        <f t="shared" si="0"/>
        <v>370</v>
      </c>
      <c r="F65" s="19">
        <f>N38</f>
        <v>3.5200000000000005</v>
      </c>
      <c r="G65" s="21">
        <f t="shared" si="1"/>
        <v>3.5200000000000005</v>
      </c>
      <c r="J65" s="39" t="s">
        <v>731</v>
      </c>
      <c r="K65" s="40" t="s">
        <v>709</v>
      </c>
      <c r="L65" s="51">
        <v>1.8</v>
      </c>
      <c r="M65" s="37">
        <v>1.1000000000000001</v>
      </c>
      <c r="N65" s="45">
        <f t="shared" si="2"/>
        <v>1.9800000000000002</v>
      </c>
    </row>
    <row r="66" spans="1:14" ht="17.25" thickBot="1" x14ac:dyDescent="0.3">
      <c r="A66" t="s">
        <v>121</v>
      </c>
      <c r="B66" s="2">
        <v>5</v>
      </c>
      <c r="C66" s="2">
        <v>350</v>
      </c>
      <c r="D66" s="47">
        <v>70</v>
      </c>
      <c r="E66" s="2">
        <f t="shared" si="0"/>
        <v>420</v>
      </c>
      <c r="F66" s="19">
        <f>N38</f>
        <v>3.5200000000000005</v>
      </c>
      <c r="G66" s="21">
        <f t="shared" si="1"/>
        <v>3.5200000000000005</v>
      </c>
      <c r="J66" s="39" t="s">
        <v>731</v>
      </c>
      <c r="K66" s="40" t="s">
        <v>684</v>
      </c>
      <c r="L66" s="51">
        <v>2.2999999999999998</v>
      </c>
      <c r="M66" s="37">
        <v>1.1000000000000001</v>
      </c>
      <c r="N66" s="45">
        <f t="shared" si="2"/>
        <v>2.5299999999999998</v>
      </c>
    </row>
    <row r="67" spans="1:14" ht="17.25" thickBot="1" x14ac:dyDescent="0.3">
      <c r="A67" t="s">
        <v>123</v>
      </c>
      <c r="B67" s="2">
        <v>5</v>
      </c>
      <c r="C67" s="2">
        <v>400</v>
      </c>
      <c r="D67" s="47">
        <v>70</v>
      </c>
      <c r="E67" s="2">
        <f t="shared" si="0"/>
        <v>470</v>
      </c>
      <c r="F67" s="19">
        <f>N38</f>
        <v>3.5200000000000005</v>
      </c>
      <c r="G67" s="21">
        <f t="shared" si="1"/>
        <v>3.5200000000000005</v>
      </c>
      <c r="J67" s="39" t="s">
        <v>731</v>
      </c>
      <c r="K67" s="40" t="s">
        <v>718</v>
      </c>
      <c r="L67" s="51">
        <v>3</v>
      </c>
      <c r="M67" s="37">
        <v>1.1000000000000001</v>
      </c>
      <c r="N67" s="45">
        <f t="shared" si="2"/>
        <v>3.3000000000000003</v>
      </c>
    </row>
    <row r="68" spans="1:14" ht="17.25" thickBot="1" x14ac:dyDescent="0.3">
      <c r="A68" t="s">
        <v>125</v>
      </c>
      <c r="B68" s="2">
        <v>5</v>
      </c>
      <c r="C68" s="2">
        <v>500</v>
      </c>
      <c r="D68" s="47">
        <v>70</v>
      </c>
      <c r="E68" s="2">
        <f t="shared" si="0"/>
        <v>570</v>
      </c>
      <c r="F68" s="19">
        <f>N38</f>
        <v>3.5200000000000005</v>
      </c>
      <c r="G68" s="21">
        <f t="shared" si="1"/>
        <v>3.5200000000000005</v>
      </c>
      <c r="J68" s="39" t="s">
        <v>731</v>
      </c>
      <c r="K68" s="40" t="s">
        <v>700</v>
      </c>
      <c r="L68" s="51">
        <v>3.5</v>
      </c>
      <c r="M68" s="37">
        <v>1.1000000000000001</v>
      </c>
      <c r="N68" s="45">
        <f t="shared" si="2"/>
        <v>3.8500000000000005</v>
      </c>
    </row>
    <row r="69" spans="1:14" ht="17.25" thickBot="1" x14ac:dyDescent="0.3">
      <c r="A69" t="s">
        <v>127</v>
      </c>
      <c r="B69" s="2">
        <v>6</v>
      </c>
      <c r="C69" s="2">
        <v>38</v>
      </c>
      <c r="D69" s="47">
        <v>55</v>
      </c>
      <c r="E69" s="2">
        <f t="shared" si="0"/>
        <v>93</v>
      </c>
      <c r="F69" s="19">
        <f>N39</f>
        <v>1.1000000000000001</v>
      </c>
      <c r="G69" s="21">
        <f t="shared" si="1"/>
        <v>1.1000000000000001</v>
      </c>
      <c r="J69" s="39" t="s">
        <v>732</v>
      </c>
      <c r="K69" s="40" t="s">
        <v>733</v>
      </c>
      <c r="L69" s="51">
        <v>1.2</v>
      </c>
      <c r="M69" s="37">
        <v>1.1000000000000001</v>
      </c>
      <c r="N69" s="45">
        <f t="shared" si="2"/>
        <v>1.32</v>
      </c>
    </row>
    <row r="70" spans="1:14" ht="17.25" thickBot="1" x14ac:dyDescent="0.3">
      <c r="A70" t="s">
        <v>129</v>
      </c>
      <c r="B70" s="2">
        <v>6</v>
      </c>
      <c r="C70" s="2">
        <v>100</v>
      </c>
      <c r="D70" s="47">
        <v>90</v>
      </c>
      <c r="E70" s="2">
        <f t="shared" si="0"/>
        <v>190</v>
      </c>
      <c r="F70" s="19">
        <f>N40</f>
        <v>1.2100000000000002</v>
      </c>
      <c r="G70" s="21">
        <f t="shared" si="1"/>
        <v>1.2100000000000002</v>
      </c>
      <c r="J70" s="39" t="s">
        <v>732</v>
      </c>
      <c r="K70" s="40" t="s">
        <v>735</v>
      </c>
      <c r="L70" s="51">
        <v>1.4</v>
      </c>
      <c r="M70" s="37">
        <v>1.1000000000000001</v>
      </c>
      <c r="N70" s="45">
        <f t="shared" si="2"/>
        <v>1.54</v>
      </c>
    </row>
    <row r="71" spans="1:14" ht="17.25" thickBot="1" x14ac:dyDescent="0.3">
      <c r="A71" t="s">
        <v>131</v>
      </c>
      <c r="B71" s="2">
        <v>6</v>
      </c>
      <c r="C71" s="2">
        <v>125</v>
      </c>
      <c r="D71" s="47">
        <v>90</v>
      </c>
      <c r="E71" s="2">
        <f t="shared" ref="E71:E93" si="6">D71+C71</f>
        <v>215</v>
      </c>
      <c r="F71" s="19">
        <f>N41</f>
        <v>1.4300000000000002</v>
      </c>
      <c r="G71" s="21">
        <f t="shared" ref="G71:G134" si="7">F71</f>
        <v>1.4300000000000002</v>
      </c>
      <c r="J71" s="39" t="s">
        <v>732</v>
      </c>
      <c r="K71" s="40" t="s">
        <v>709</v>
      </c>
      <c r="L71" s="51">
        <v>1.8</v>
      </c>
      <c r="M71" s="37">
        <v>1.1000000000000001</v>
      </c>
      <c r="N71" s="45">
        <f t="shared" ref="N71:N135" si="8">M71*L71</f>
        <v>1.9800000000000002</v>
      </c>
    </row>
    <row r="72" spans="1:14" ht="17.25" thickBot="1" x14ac:dyDescent="0.3">
      <c r="A72" t="s">
        <v>133</v>
      </c>
      <c r="B72" s="2">
        <v>6</v>
      </c>
      <c r="C72" s="2">
        <v>150</v>
      </c>
      <c r="D72" s="47">
        <v>90</v>
      </c>
      <c r="E72" s="2">
        <f t="shared" si="6"/>
        <v>240</v>
      </c>
      <c r="F72" s="19">
        <f t="shared" ref="F72:F80" si="9">N41</f>
        <v>1.4300000000000002</v>
      </c>
      <c r="G72" s="21">
        <f t="shared" si="7"/>
        <v>1.4300000000000002</v>
      </c>
      <c r="J72" s="39" t="s">
        <v>732</v>
      </c>
      <c r="K72" s="40" t="s">
        <v>684</v>
      </c>
      <c r="L72" s="51">
        <v>2.4</v>
      </c>
      <c r="M72" s="37">
        <v>1.1000000000000001</v>
      </c>
      <c r="N72" s="45">
        <f t="shared" si="8"/>
        <v>2.64</v>
      </c>
    </row>
    <row r="73" spans="1:14" ht="17.25" thickBot="1" x14ac:dyDescent="0.3">
      <c r="A73" t="s">
        <v>135</v>
      </c>
      <c r="B73" s="2">
        <v>6</v>
      </c>
      <c r="C73" s="2">
        <v>200</v>
      </c>
      <c r="D73" s="47">
        <v>90</v>
      </c>
      <c r="E73" s="2">
        <f t="shared" si="6"/>
        <v>290</v>
      </c>
      <c r="F73" s="19">
        <f t="shared" si="9"/>
        <v>1.6500000000000001</v>
      </c>
      <c r="G73" s="21">
        <f t="shared" si="7"/>
        <v>1.6500000000000001</v>
      </c>
      <c r="J73" s="39" t="s">
        <v>732</v>
      </c>
      <c r="K73" s="40" t="s">
        <v>718</v>
      </c>
      <c r="L73" s="51">
        <v>3</v>
      </c>
      <c r="M73" s="37">
        <v>1.1000000000000001</v>
      </c>
      <c r="N73" s="45">
        <f t="shared" si="8"/>
        <v>3.3000000000000003</v>
      </c>
    </row>
    <row r="74" spans="1:14" ht="17.25" thickBot="1" x14ac:dyDescent="0.3">
      <c r="A74" t="s">
        <v>137</v>
      </c>
      <c r="B74" s="2">
        <v>6</v>
      </c>
      <c r="C74" s="2">
        <v>250</v>
      </c>
      <c r="D74" s="47">
        <v>90</v>
      </c>
      <c r="E74" s="2">
        <f t="shared" si="6"/>
        <v>340</v>
      </c>
      <c r="F74" s="19">
        <f t="shared" si="9"/>
        <v>1.87</v>
      </c>
      <c r="G74" s="21">
        <f t="shared" si="7"/>
        <v>1.87</v>
      </c>
      <c r="J74" s="39" t="s">
        <v>732</v>
      </c>
      <c r="K74" s="40" t="s">
        <v>700</v>
      </c>
      <c r="L74" s="51">
        <v>3.5</v>
      </c>
      <c r="M74" s="37">
        <v>1.1000000000000001</v>
      </c>
      <c r="N74" s="45">
        <f t="shared" si="8"/>
        <v>3.8500000000000005</v>
      </c>
    </row>
    <row r="75" spans="1:14" ht="17.25" thickBot="1" x14ac:dyDescent="0.3">
      <c r="A75" t="s">
        <v>139</v>
      </c>
      <c r="B75" s="2">
        <v>6</v>
      </c>
      <c r="C75" s="2">
        <v>300</v>
      </c>
      <c r="D75" s="47">
        <v>90</v>
      </c>
      <c r="E75" s="2">
        <f t="shared" si="6"/>
        <v>390</v>
      </c>
      <c r="F75" s="19">
        <f t="shared" si="9"/>
        <v>2.4200000000000004</v>
      </c>
      <c r="G75" s="21">
        <f t="shared" si="7"/>
        <v>2.4200000000000004</v>
      </c>
      <c r="J75" s="39" t="s">
        <v>736</v>
      </c>
      <c r="K75" s="40" t="s">
        <v>722</v>
      </c>
      <c r="L75" s="51">
        <v>1.4</v>
      </c>
      <c r="M75" s="37">
        <v>1.1000000000000001</v>
      </c>
      <c r="N75" s="45">
        <f t="shared" si="8"/>
        <v>1.54</v>
      </c>
    </row>
    <row r="76" spans="1:14" ht="17.25" thickBot="1" x14ac:dyDescent="0.3">
      <c r="A76" t="s">
        <v>141</v>
      </c>
      <c r="B76" s="2">
        <v>6</v>
      </c>
      <c r="C76" s="2">
        <v>350</v>
      </c>
      <c r="D76" s="47">
        <v>90</v>
      </c>
      <c r="E76" s="2">
        <f t="shared" si="6"/>
        <v>440</v>
      </c>
      <c r="F76" s="19">
        <f t="shared" si="9"/>
        <v>4.07</v>
      </c>
      <c r="G76" s="21">
        <f t="shared" si="7"/>
        <v>4.07</v>
      </c>
      <c r="J76" s="39" t="s">
        <v>736</v>
      </c>
      <c r="K76" s="40" t="s">
        <v>709</v>
      </c>
      <c r="L76" s="51">
        <v>1.8</v>
      </c>
      <c r="M76" s="37">
        <v>1.1000000000000001</v>
      </c>
      <c r="N76" s="45">
        <f t="shared" si="8"/>
        <v>1.9800000000000002</v>
      </c>
    </row>
    <row r="77" spans="1:14" ht="17.25" thickBot="1" x14ac:dyDescent="0.3">
      <c r="A77" t="s">
        <v>143</v>
      </c>
      <c r="B77" s="2">
        <v>6</v>
      </c>
      <c r="C77" s="2">
        <v>400</v>
      </c>
      <c r="D77" s="47">
        <v>90</v>
      </c>
      <c r="E77" s="2">
        <f t="shared" si="6"/>
        <v>490</v>
      </c>
      <c r="F77" s="19">
        <f t="shared" si="9"/>
        <v>5.1700000000000008</v>
      </c>
      <c r="G77" s="21">
        <f t="shared" si="7"/>
        <v>5.1700000000000008</v>
      </c>
      <c r="J77" s="39" t="s">
        <v>736</v>
      </c>
      <c r="K77" s="40" t="s">
        <v>711</v>
      </c>
      <c r="L77" s="51">
        <v>2.4</v>
      </c>
      <c r="M77" s="37">
        <v>1.1000000000000001</v>
      </c>
      <c r="N77" s="45">
        <f t="shared" si="8"/>
        <v>2.64</v>
      </c>
    </row>
    <row r="78" spans="1:14" ht="17.25" thickBot="1" x14ac:dyDescent="0.3">
      <c r="A78" t="s">
        <v>145</v>
      </c>
      <c r="B78" s="2">
        <v>6</v>
      </c>
      <c r="C78" s="2">
        <v>500</v>
      </c>
      <c r="D78" s="47">
        <v>90</v>
      </c>
      <c r="E78" s="2">
        <f t="shared" si="6"/>
        <v>590</v>
      </c>
      <c r="F78" s="19">
        <f t="shared" si="9"/>
        <v>5.7200000000000006</v>
      </c>
      <c r="G78" s="21">
        <f t="shared" si="7"/>
        <v>5.7200000000000006</v>
      </c>
      <c r="J78" s="39" t="s">
        <v>736</v>
      </c>
      <c r="K78" s="40" t="s">
        <v>713</v>
      </c>
      <c r="L78" s="51">
        <v>2.6</v>
      </c>
      <c r="M78" s="37">
        <v>1.1000000000000001</v>
      </c>
      <c r="N78" s="45">
        <f t="shared" si="8"/>
        <v>2.8600000000000003</v>
      </c>
    </row>
    <row r="79" spans="1:14" ht="17.25" thickBot="1" x14ac:dyDescent="0.3">
      <c r="A79" t="s">
        <v>147</v>
      </c>
      <c r="B79" s="2">
        <v>8</v>
      </c>
      <c r="C79" s="2">
        <v>100</v>
      </c>
      <c r="D79" s="47">
        <v>110</v>
      </c>
      <c r="E79" s="2">
        <f t="shared" si="6"/>
        <v>210</v>
      </c>
      <c r="F79" s="19">
        <f t="shared" si="9"/>
        <v>1.7600000000000002</v>
      </c>
      <c r="G79" s="21">
        <f t="shared" si="7"/>
        <v>1.7600000000000002</v>
      </c>
      <c r="J79" s="39" t="s">
        <v>736</v>
      </c>
      <c r="K79" s="40" t="s">
        <v>718</v>
      </c>
      <c r="L79" s="51">
        <v>3.4</v>
      </c>
      <c r="M79" s="37">
        <v>1.1000000000000001</v>
      </c>
      <c r="N79" s="45">
        <f t="shared" si="8"/>
        <v>3.74</v>
      </c>
    </row>
    <row r="80" spans="1:14" ht="17.25" thickBot="1" x14ac:dyDescent="0.3">
      <c r="A80" t="s">
        <v>149</v>
      </c>
      <c r="B80" s="2">
        <v>8</v>
      </c>
      <c r="C80" s="2">
        <v>125</v>
      </c>
      <c r="D80" s="47">
        <v>110</v>
      </c>
      <c r="E80" s="2">
        <f t="shared" si="6"/>
        <v>235</v>
      </c>
      <c r="F80" s="19">
        <f t="shared" si="9"/>
        <v>2.2000000000000002</v>
      </c>
      <c r="G80" s="21">
        <f t="shared" si="7"/>
        <v>2.2000000000000002</v>
      </c>
      <c r="J80" s="39" t="s">
        <v>736</v>
      </c>
      <c r="K80" s="40" t="s">
        <v>700</v>
      </c>
      <c r="L80" s="51">
        <v>3.8</v>
      </c>
      <c r="M80" s="37">
        <v>1.1000000000000001</v>
      </c>
      <c r="N80" s="45">
        <f t="shared" si="8"/>
        <v>4.18</v>
      </c>
    </row>
    <row r="81" spans="1:14" ht="17.25" thickBot="1" x14ac:dyDescent="0.3">
      <c r="A81" t="s">
        <v>151</v>
      </c>
      <c r="B81" s="2">
        <v>8</v>
      </c>
      <c r="C81" s="2">
        <v>150</v>
      </c>
      <c r="D81" s="47">
        <v>110</v>
      </c>
      <c r="E81" s="2">
        <f t="shared" si="6"/>
        <v>260</v>
      </c>
      <c r="F81" s="19">
        <f>N49</f>
        <v>2.2000000000000002</v>
      </c>
      <c r="G81" s="21">
        <f t="shared" si="7"/>
        <v>2.2000000000000002</v>
      </c>
      <c r="J81" s="42" t="s">
        <v>737</v>
      </c>
      <c r="K81" s="43">
        <v>400</v>
      </c>
      <c r="L81" s="51">
        <v>4</v>
      </c>
      <c r="M81" s="37">
        <v>1.1000000000000001</v>
      </c>
      <c r="N81" s="45">
        <f t="shared" si="8"/>
        <v>4.4000000000000004</v>
      </c>
    </row>
    <row r="82" spans="1:14" ht="17.25" thickBot="1" x14ac:dyDescent="0.3">
      <c r="A82" t="s">
        <v>153</v>
      </c>
      <c r="B82" s="2">
        <v>8</v>
      </c>
      <c r="C82" s="2">
        <v>175</v>
      </c>
      <c r="D82" s="47">
        <v>110</v>
      </c>
      <c r="E82" s="2">
        <f t="shared" si="6"/>
        <v>285</v>
      </c>
      <c r="F82" s="19">
        <f t="shared" ref="F82:F87" si="10">N49</f>
        <v>2.2000000000000002</v>
      </c>
      <c r="G82" s="21">
        <f t="shared" si="7"/>
        <v>2.2000000000000002</v>
      </c>
      <c r="J82" s="39" t="s">
        <v>779</v>
      </c>
      <c r="K82" s="40"/>
      <c r="L82" s="51">
        <v>3.4</v>
      </c>
      <c r="M82" s="37">
        <v>1.1000000000000001</v>
      </c>
      <c r="N82" s="45">
        <f t="shared" si="8"/>
        <v>3.74</v>
      </c>
    </row>
    <row r="83" spans="1:14" ht="17.25" thickBot="1" x14ac:dyDescent="0.3">
      <c r="A83" t="s">
        <v>155</v>
      </c>
      <c r="B83" s="2">
        <v>8</v>
      </c>
      <c r="C83" s="2">
        <v>200</v>
      </c>
      <c r="D83" s="47">
        <v>110</v>
      </c>
      <c r="E83" s="2">
        <f t="shared" si="6"/>
        <v>310</v>
      </c>
      <c r="F83" s="19">
        <f t="shared" si="10"/>
        <v>2.4200000000000004</v>
      </c>
      <c r="G83" s="21">
        <f t="shared" si="7"/>
        <v>2.4200000000000004</v>
      </c>
      <c r="J83" s="39" t="s">
        <v>780</v>
      </c>
      <c r="K83" s="40" t="s">
        <v>765</v>
      </c>
      <c r="L83" s="51">
        <v>1.2</v>
      </c>
      <c r="M83" s="37">
        <v>1.1000000000000001</v>
      </c>
      <c r="N83" s="45">
        <f t="shared" si="8"/>
        <v>1.32</v>
      </c>
    </row>
    <row r="84" spans="1:14" ht="17.25" thickBot="1" x14ac:dyDescent="0.3">
      <c r="A84" t="s">
        <v>157</v>
      </c>
      <c r="B84" s="2">
        <v>8</v>
      </c>
      <c r="C84" s="2">
        <v>250</v>
      </c>
      <c r="D84" s="47">
        <v>110</v>
      </c>
      <c r="E84" s="2">
        <f t="shared" si="6"/>
        <v>360</v>
      </c>
      <c r="F84" s="19">
        <f t="shared" si="10"/>
        <v>2.9700000000000006</v>
      </c>
      <c r="G84" s="21">
        <f t="shared" si="7"/>
        <v>2.9700000000000006</v>
      </c>
      <c r="J84" s="39" t="s">
        <v>780</v>
      </c>
      <c r="K84" s="40" t="s">
        <v>706</v>
      </c>
      <c r="L84" s="51">
        <v>1.4</v>
      </c>
      <c r="M84" s="37">
        <v>1.1000000000000001</v>
      </c>
      <c r="N84" s="45">
        <f t="shared" si="8"/>
        <v>1.54</v>
      </c>
    </row>
    <row r="85" spans="1:14" ht="17.25" thickBot="1" x14ac:dyDescent="0.3">
      <c r="A85" t="s">
        <v>159</v>
      </c>
      <c r="B85" s="2">
        <v>8</v>
      </c>
      <c r="C85" s="2">
        <v>300</v>
      </c>
      <c r="D85" s="47">
        <v>110</v>
      </c>
      <c r="E85" s="2">
        <f t="shared" si="6"/>
        <v>410</v>
      </c>
      <c r="F85" s="19">
        <f t="shared" si="10"/>
        <v>4.07</v>
      </c>
      <c r="G85" s="21">
        <f t="shared" si="7"/>
        <v>4.07</v>
      </c>
      <c r="J85" s="39" t="s">
        <v>781</v>
      </c>
      <c r="K85" s="40" t="s">
        <v>708</v>
      </c>
      <c r="L85" s="51">
        <v>1.8</v>
      </c>
      <c r="M85" s="37">
        <v>1.1000000000000001</v>
      </c>
      <c r="N85" s="45">
        <f t="shared" si="8"/>
        <v>1.9800000000000002</v>
      </c>
    </row>
    <row r="86" spans="1:14" ht="17.25" thickBot="1" x14ac:dyDescent="0.3">
      <c r="A86" t="s">
        <v>161</v>
      </c>
      <c r="B86" s="2">
        <v>8</v>
      </c>
      <c r="C86" s="2">
        <v>350</v>
      </c>
      <c r="D86" s="47">
        <v>110</v>
      </c>
      <c r="E86" s="2">
        <f t="shared" si="6"/>
        <v>460</v>
      </c>
      <c r="F86" s="19">
        <f t="shared" si="10"/>
        <v>5.1700000000000008</v>
      </c>
      <c r="G86" s="21">
        <f t="shared" si="7"/>
        <v>5.1700000000000008</v>
      </c>
      <c r="J86" s="39" t="s">
        <v>780</v>
      </c>
      <c r="K86" s="40" t="s">
        <v>683</v>
      </c>
      <c r="L86" s="51">
        <v>2.2999999999999998</v>
      </c>
      <c r="M86" s="37">
        <v>1.1000000000000001</v>
      </c>
      <c r="N86" s="45">
        <f t="shared" si="8"/>
        <v>2.5299999999999998</v>
      </c>
    </row>
    <row r="87" spans="1:14" ht="17.25" thickBot="1" x14ac:dyDescent="0.3">
      <c r="A87" t="s">
        <v>163</v>
      </c>
      <c r="B87" s="2">
        <v>8</v>
      </c>
      <c r="C87" s="2">
        <v>400</v>
      </c>
      <c r="D87" s="47">
        <v>110</v>
      </c>
      <c r="E87" s="2">
        <f t="shared" si="6"/>
        <v>510</v>
      </c>
      <c r="F87" s="19">
        <f t="shared" si="10"/>
        <v>5.7200000000000006</v>
      </c>
      <c r="G87" s="21">
        <f t="shared" si="7"/>
        <v>5.7200000000000006</v>
      </c>
      <c r="J87" s="39" t="s">
        <v>780</v>
      </c>
      <c r="K87" s="40" t="s">
        <v>717</v>
      </c>
      <c r="L87" s="51">
        <v>3</v>
      </c>
      <c r="M87" s="37">
        <v>1.1000000000000001</v>
      </c>
      <c r="N87" s="45">
        <f t="shared" si="8"/>
        <v>3.3000000000000003</v>
      </c>
    </row>
    <row r="88" spans="1:14" ht="17.25" thickBot="1" x14ac:dyDescent="0.3">
      <c r="A88" t="s">
        <v>165</v>
      </c>
      <c r="B88" s="2">
        <v>8</v>
      </c>
      <c r="C88" s="2">
        <v>500</v>
      </c>
      <c r="D88" s="47">
        <v>110</v>
      </c>
      <c r="E88" s="2">
        <f t="shared" si="6"/>
        <v>610</v>
      </c>
      <c r="F88" s="19">
        <f>N54</f>
        <v>5.7200000000000006</v>
      </c>
      <c r="G88" s="21">
        <f t="shared" si="7"/>
        <v>5.7200000000000006</v>
      </c>
      <c r="J88" s="39" t="s">
        <v>780</v>
      </c>
      <c r="K88" s="40" t="s">
        <v>694</v>
      </c>
      <c r="L88" s="51">
        <v>3.5</v>
      </c>
      <c r="M88" s="37">
        <v>1.1000000000000001</v>
      </c>
      <c r="N88" s="45">
        <f t="shared" si="8"/>
        <v>3.8500000000000005</v>
      </c>
    </row>
    <row r="89" spans="1:14" ht="17.25" thickBot="1" x14ac:dyDescent="0.3">
      <c r="A89" t="s">
        <v>177</v>
      </c>
      <c r="B89" s="2">
        <v>10</v>
      </c>
      <c r="C89" s="2">
        <v>200</v>
      </c>
      <c r="D89" s="47">
        <v>110</v>
      </c>
      <c r="E89" s="2">
        <f t="shared" si="6"/>
        <v>310</v>
      </c>
      <c r="F89" s="19">
        <f>N57</f>
        <v>2.64</v>
      </c>
      <c r="G89" s="21">
        <f t="shared" si="7"/>
        <v>2.64</v>
      </c>
      <c r="J89" s="39" t="s">
        <v>782</v>
      </c>
      <c r="K89" s="40" t="s">
        <v>766</v>
      </c>
      <c r="L89" s="51">
        <v>1.2</v>
      </c>
      <c r="M89" s="37">
        <v>1.1000000000000001</v>
      </c>
      <c r="N89" s="45">
        <f t="shared" si="8"/>
        <v>1.32</v>
      </c>
    </row>
    <row r="90" spans="1:14" ht="17.25" thickBot="1" x14ac:dyDescent="0.3">
      <c r="A90" t="s">
        <v>179</v>
      </c>
      <c r="B90" s="2">
        <v>10</v>
      </c>
      <c r="C90" s="2">
        <v>250</v>
      </c>
      <c r="D90" s="47">
        <v>110</v>
      </c>
      <c r="E90" s="2">
        <f t="shared" si="6"/>
        <v>360</v>
      </c>
      <c r="F90" s="19">
        <f>N58</f>
        <v>3.3000000000000003</v>
      </c>
      <c r="G90" s="21">
        <f t="shared" si="7"/>
        <v>3.3000000000000003</v>
      </c>
      <c r="J90" s="39" t="s">
        <v>783</v>
      </c>
      <c r="K90" s="40" t="s">
        <v>734</v>
      </c>
      <c r="L90" s="51">
        <v>1.4</v>
      </c>
      <c r="M90" s="37">
        <v>1.1000000000000001</v>
      </c>
      <c r="N90" s="45">
        <f t="shared" si="8"/>
        <v>1.54</v>
      </c>
    </row>
    <row r="91" spans="1:14" ht="17.25" thickBot="1" x14ac:dyDescent="0.3">
      <c r="A91" t="s">
        <v>181</v>
      </c>
      <c r="B91" s="2">
        <v>10</v>
      </c>
      <c r="C91" s="2">
        <v>300</v>
      </c>
      <c r="D91" s="47">
        <v>110</v>
      </c>
      <c r="E91" s="2">
        <f t="shared" si="6"/>
        <v>410</v>
      </c>
      <c r="F91" s="19">
        <f>N59</f>
        <v>4.4000000000000004</v>
      </c>
      <c r="G91" s="21">
        <f t="shared" si="7"/>
        <v>4.4000000000000004</v>
      </c>
      <c r="J91" s="39" t="s">
        <v>782</v>
      </c>
      <c r="K91" s="40" t="s">
        <v>708</v>
      </c>
      <c r="L91" s="51">
        <v>1.8</v>
      </c>
      <c r="M91" s="37">
        <v>1.1000000000000001</v>
      </c>
      <c r="N91" s="45">
        <f t="shared" si="8"/>
        <v>1.9800000000000002</v>
      </c>
    </row>
    <row r="92" spans="1:14" ht="17.25" thickBot="1" x14ac:dyDescent="0.3">
      <c r="A92" t="s">
        <v>183</v>
      </c>
      <c r="B92" s="2">
        <v>10</v>
      </c>
      <c r="C92" s="2">
        <v>400</v>
      </c>
      <c r="D92" s="47">
        <v>110</v>
      </c>
      <c r="E92" s="2">
        <f t="shared" si="6"/>
        <v>510</v>
      </c>
      <c r="F92" s="19">
        <f>N61</f>
        <v>6.8200000000000012</v>
      </c>
      <c r="G92" s="21">
        <f t="shared" si="7"/>
        <v>6.8200000000000012</v>
      </c>
      <c r="J92" s="39" t="s">
        <v>783</v>
      </c>
      <c r="K92" s="40" t="s">
        <v>683</v>
      </c>
      <c r="L92" s="51">
        <v>2.4</v>
      </c>
      <c r="M92" s="37">
        <v>1.1000000000000001</v>
      </c>
      <c r="N92" s="45">
        <f t="shared" si="8"/>
        <v>2.64</v>
      </c>
    </row>
    <row r="93" spans="1:14" ht="17.25" thickBot="1" x14ac:dyDescent="0.3">
      <c r="A93" t="s">
        <v>185</v>
      </c>
      <c r="B93" s="2">
        <v>10</v>
      </c>
      <c r="C93" s="2">
        <v>500</v>
      </c>
      <c r="D93" s="47">
        <v>110</v>
      </c>
      <c r="E93" s="2">
        <f t="shared" si="6"/>
        <v>610</v>
      </c>
      <c r="F93" s="19">
        <f>N61</f>
        <v>6.8200000000000012</v>
      </c>
      <c r="G93" s="21">
        <f t="shared" si="7"/>
        <v>6.8200000000000012</v>
      </c>
      <c r="J93" s="39" t="s">
        <v>782</v>
      </c>
      <c r="K93" s="40" t="s">
        <v>717</v>
      </c>
      <c r="L93" s="51">
        <v>3</v>
      </c>
      <c r="M93" s="37">
        <v>1.1000000000000001</v>
      </c>
      <c r="N93" s="45">
        <f t="shared" si="8"/>
        <v>3.3000000000000003</v>
      </c>
    </row>
    <row r="94" spans="1:14" ht="17.25" thickBot="1" x14ac:dyDescent="0.3">
      <c r="A94" t="s">
        <v>349</v>
      </c>
      <c r="B94" s="2">
        <v>3</v>
      </c>
      <c r="C94" s="2">
        <v>60</v>
      </c>
      <c r="D94" s="47">
        <v>70</v>
      </c>
      <c r="E94" s="2">
        <f t="shared" ref="E94:E141" si="11">D94+C94</f>
        <v>130</v>
      </c>
      <c r="F94" s="19">
        <f>N102</f>
        <v>1.87</v>
      </c>
      <c r="G94" s="21">
        <f t="shared" si="7"/>
        <v>1.87</v>
      </c>
      <c r="J94" s="39" t="s">
        <v>782</v>
      </c>
      <c r="K94" s="40" t="s">
        <v>694</v>
      </c>
      <c r="L94" s="51">
        <v>3.5</v>
      </c>
      <c r="M94" s="37">
        <v>1.1000000000000001</v>
      </c>
      <c r="N94" s="45">
        <f t="shared" si="8"/>
        <v>3.8500000000000005</v>
      </c>
    </row>
    <row r="95" spans="1:14" ht="17.25" thickBot="1" x14ac:dyDescent="0.3">
      <c r="A95" t="s">
        <v>351</v>
      </c>
      <c r="B95" s="2">
        <v>3</v>
      </c>
      <c r="C95" s="2">
        <v>75</v>
      </c>
      <c r="D95" s="47">
        <v>70</v>
      </c>
      <c r="E95" s="2">
        <f t="shared" si="11"/>
        <v>145</v>
      </c>
      <c r="F95" s="19">
        <f>N102</f>
        <v>1.87</v>
      </c>
      <c r="G95" s="21">
        <f t="shared" si="7"/>
        <v>1.87</v>
      </c>
      <c r="J95" s="39" t="s">
        <v>784</v>
      </c>
      <c r="K95" s="40" t="s">
        <v>767</v>
      </c>
      <c r="L95" s="51">
        <v>1.4</v>
      </c>
      <c r="M95" s="37">
        <v>1.1000000000000001</v>
      </c>
      <c r="N95" s="45">
        <f t="shared" si="8"/>
        <v>1.54</v>
      </c>
    </row>
    <row r="96" spans="1:14" ht="17.25" thickBot="1" x14ac:dyDescent="0.3">
      <c r="A96" t="s">
        <v>353</v>
      </c>
      <c r="B96" s="2">
        <v>3</v>
      </c>
      <c r="C96" s="2">
        <v>100</v>
      </c>
      <c r="D96" s="47">
        <v>70</v>
      </c>
      <c r="E96" s="2">
        <f t="shared" si="11"/>
        <v>170</v>
      </c>
      <c r="F96" s="19">
        <f>N102</f>
        <v>1.87</v>
      </c>
      <c r="G96" s="21">
        <f t="shared" si="7"/>
        <v>1.87</v>
      </c>
      <c r="J96" s="39" t="s">
        <v>784</v>
      </c>
      <c r="K96" s="40" t="s">
        <v>708</v>
      </c>
      <c r="L96" s="51">
        <v>1.8</v>
      </c>
      <c r="M96" s="37">
        <v>1.1000000000000001</v>
      </c>
      <c r="N96" s="45">
        <f t="shared" si="8"/>
        <v>1.9800000000000002</v>
      </c>
    </row>
    <row r="97" spans="1:14" ht="17.25" thickBot="1" x14ac:dyDescent="0.3">
      <c r="A97" t="s">
        <v>355</v>
      </c>
      <c r="B97" s="2">
        <v>3</v>
      </c>
      <c r="C97" s="2">
        <v>125</v>
      </c>
      <c r="D97" s="47">
        <v>70</v>
      </c>
      <c r="E97" s="2">
        <f t="shared" si="11"/>
        <v>195</v>
      </c>
      <c r="F97" s="19">
        <f>L102</f>
        <v>1.7</v>
      </c>
      <c r="G97" s="21">
        <f t="shared" si="7"/>
        <v>1.7</v>
      </c>
      <c r="J97" s="39" t="s">
        <v>784</v>
      </c>
      <c r="K97" s="40" t="s">
        <v>710</v>
      </c>
      <c r="L97" s="51">
        <v>2.4</v>
      </c>
      <c r="M97" s="37">
        <v>1.1000000000000001</v>
      </c>
      <c r="N97" s="45">
        <f t="shared" si="8"/>
        <v>2.64</v>
      </c>
    </row>
    <row r="98" spans="1:14" ht="17.25" thickBot="1" x14ac:dyDescent="0.3">
      <c r="A98" t="s">
        <v>357</v>
      </c>
      <c r="B98" s="2">
        <v>3</v>
      </c>
      <c r="C98" s="2">
        <v>150</v>
      </c>
      <c r="D98" s="47">
        <v>70</v>
      </c>
      <c r="E98" s="2">
        <f t="shared" si="11"/>
        <v>220</v>
      </c>
      <c r="F98" s="19">
        <f>N103</f>
        <v>1.9800000000000002</v>
      </c>
      <c r="G98" s="21">
        <f t="shared" si="7"/>
        <v>1.9800000000000002</v>
      </c>
      <c r="J98" s="39" t="s">
        <v>784</v>
      </c>
      <c r="K98" s="40" t="s">
        <v>712</v>
      </c>
      <c r="L98" s="51">
        <v>2.6</v>
      </c>
      <c r="M98" s="37">
        <v>1.1000000000000001</v>
      </c>
      <c r="N98" s="45">
        <f t="shared" si="8"/>
        <v>2.8600000000000003</v>
      </c>
    </row>
    <row r="99" spans="1:14" ht="17.25" thickBot="1" x14ac:dyDescent="0.3">
      <c r="A99" t="s">
        <v>359</v>
      </c>
      <c r="B99" s="2">
        <v>3</v>
      </c>
      <c r="C99" s="2">
        <v>200</v>
      </c>
      <c r="D99" s="47">
        <v>70</v>
      </c>
      <c r="E99" s="2">
        <f t="shared" si="11"/>
        <v>270</v>
      </c>
      <c r="F99" s="19">
        <f>N104</f>
        <v>2.4200000000000004</v>
      </c>
      <c r="G99" s="21">
        <f t="shared" si="7"/>
        <v>2.4200000000000004</v>
      </c>
      <c r="J99" s="39" t="s">
        <v>784</v>
      </c>
      <c r="K99" s="40" t="s">
        <v>717</v>
      </c>
      <c r="L99" s="51">
        <v>3.4</v>
      </c>
      <c r="M99" s="37">
        <v>1.1000000000000001</v>
      </c>
      <c r="N99" s="45">
        <f t="shared" si="8"/>
        <v>3.74</v>
      </c>
    </row>
    <row r="100" spans="1:14" ht="17.25" thickBot="1" x14ac:dyDescent="0.3">
      <c r="A100" t="s">
        <v>361</v>
      </c>
      <c r="B100" s="2">
        <v>3</v>
      </c>
      <c r="C100" s="2">
        <v>250</v>
      </c>
      <c r="D100" s="47">
        <v>70</v>
      </c>
      <c r="E100" s="2">
        <f t="shared" si="11"/>
        <v>320</v>
      </c>
      <c r="F100" s="19">
        <f>N105</f>
        <v>3.3000000000000003</v>
      </c>
      <c r="G100" s="21">
        <f t="shared" si="7"/>
        <v>3.3000000000000003</v>
      </c>
      <c r="J100" s="39" t="s">
        <v>784</v>
      </c>
      <c r="K100" s="40" t="s">
        <v>694</v>
      </c>
      <c r="L100" s="51">
        <v>3.8</v>
      </c>
      <c r="M100" s="37">
        <v>1.1000000000000001</v>
      </c>
      <c r="N100" s="45">
        <f t="shared" si="8"/>
        <v>4.18</v>
      </c>
    </row>
    <row r="101" spans="1:14" ht="17.25" thickBot="1" x14ac:dyDescent="0.3">
      <c r="A101" t="s">
        <v>363</v>
      </c>
      <c r="B101" s="2">
        <v>3</v>
      </c>
      <c r="C101" s="2">
        <v>300</v>
      </c>
      <c r="D101" s="47">
        <v>70</v>
      </c>
      <c r="E101" s="2">
        <f t="shared" si="11"/>
        <v>370</v>
      </c>
      <c r="F101" s="19">
        <f>N106</f>
        <v>3.9600000000000004</v>
      </c>
      <c r="G101" s="21">
        <f t="shared" si="7"/>
        <v>3.9600000000000004</v>
      </c>
      <c r="J101" s="39" t="s">
        <v>785</v>
      </c>
      <c r="K101" s="40">
        <v>400</v>
      </c>
      <c r="L101" s="51">
        <v>4</v>
      </c>
      <c r="M101" s="37">
        <v>1.1000000000000001</v>
      </c>
      <c r="N101" s="45">
        <f t="shared" si="8"/>
        <v>4.4000000000000004</v>
      </c>
    </row>
    <row r="102" spans="1:14" ht="17.25" thickBot="1" x14ac:dyDescent="0.3">
      <c r="A102" t="s">
        <v>365</v>
      </c>
      <c r="B102" s="2">
        <v>4</v>
      </c>
      <c r="C102" s="2">
        <v>80</v>
      </c>
      <c r="D102" s="47">
        <v>70</v>
      </c>
      <c r="E102" s="2">
        <f t="shared" si="11"/>
        <v>150</v>
      </c>
      <c r="F102" s="19">
        <f>N108</f>
        <v>1.87</v>
      </c>
      <c r="G102" s="21">
        <f t="shared" si="7"/>
        <v>1.87</v>
      </c>
      <c r="J102" s="36" t="s">
        <v>738</v>
      </c>
      <c r="K102" s="37" t="s">
        <v>726</v>
      </c>
      <c r="L102" s="51">
        <v>1.7</v>
      </c>
      <c r="M102" s="37">
        <v>1.1000000000000001</v>
      </c>
      <c r="N102" s="45">
        <f t="shared" si="8"/>
        <v>1.87</v>
      </c>
    </row>
    <row r="103" spans="1:14" ht="17.25" thickBot="1" x14ac:dyDescent="0.3">
      <c r="A103" t="s">
        <v>367</v>
      </c>
      <c r="B103" s="2">
        <v>4</v>
      </c>
      <c r="C103" s="2">
        <v>100</v>
      </c>
      <c r="D103" s="47">
        <v>70</v>
      </c>
      <c r="E103" s="2">
        <f t="shared" si="11"/>
        <v>170</v>
      </c>
      <c r="F103" s="19">
        <f>N108</f>
        <v>1.87</v>
      </c>
      <c r="G103" s="21">
        <f>F103</f>
        <v>1.87</v>
      </c>
      <c r="J103" s="39" t="s">
        <v>738</v>
      </c>
      <c r="K103" s="40" t="s">
        <v>707</v>
      </c>
      <c r="L103" s="51">
        <v>1.8</v>
      </c>
      <c r="M103" s="37">
        <v>1.1000000000000001</v>
      </c>
      <c r="N103" s="45">
        <f t="shared" si="8"/>
        <v>1.9800000000000002</v>
      </c>
    </row>
    <row r="104" spans="1:14" ht="17.25" thickBot="1" x14ac:dyDescent="0.3">
      <c r="A104" t="s">
        <v>369</v>
      </c>
      <c r="B104" s="2">
        <v>4</v>
      </c>
      <c r="C104" s="2">
        <v>125</v>
      </c>
      <c r="D104" s="47">
        <v>70</v>
      </c>
      <c r="E104" s="2">
        <f t="shared" si="11"/>
        <v>195</v>
      </c>
      <c r="F104" s="19">
        <f>N108</f>
        <v>1.87</v>
      </c>
      <c r="G104" s="21">
        <f t="shared" si="7"/>
        <v>1.87</v>
      </c>
      <c r="J104" s="39" t="s">
        <v>738</v>
      </c>
      <c r="K104" s="40" t="s">
        <v>709</v>
      </c>
      <c r="L104" s="51">
        <v>2.2000000000000002</v>
      </c>
      <c r="M104" s="37">
        <v>1.1000000000000001</v>
      </c>
      <c r="N104" s="45">
        <f t="shared" si="8"/>
        <v>2.4200000000000004</v>
      </c>
    </row>
    <row r="105" spans="1:14" ht="17.25" thickBot="1" x14ac:dyDescent="0.3">
      <c r="A105" t="s">
        <v>371</v>
      </c>
      <c r="B105" s="2">
        <v>4</v>
      </c>
      <c r="C105" s="2">
        <v>150</v>
      </c>
      <c r="D105" s="47">
        <v>70</v>
      </c>
      <c r="E105" s="2">
        <f t="shared" si="11"/>
        <v>220</v>
      </c>
      <c r="F105" s="19">
        <f t="shared" ref="F105:F110" si="12">N109</f>
        <v>2.09</v>
      </c>
      <c r="G105" s="21">
        <f t="shared" si="7"/>
        <v>2.09</v>
      </c>
      <c r="J105" s="39" t="s">
        <v>738</v>
      </c>
      <c r="K105" s="40" t="s">
        <v>711</v>
      </c>
      <c r="L105" s="51">
        <v>3</v>
      </c>
      <c r="M105" s="37">
        <v>1.1000000000000001</v>
      </c>
      <c r="N105" s="45">
        <f t="shared" si="8"/>
        <v>3.3000000000000003</v>
      </c>
    </row>
    <row r="106" spans="1:14" ht="17.25" thickBot="1" x14ac:dyDescent="0.3">
      <c r="A106" t="s">
        <v>373</v>
      </c>
      <c r="B106" s="2">
        <v>4</v>
      </c>
      <c r="C106" s="2">
        <v>200</v>
      </c>
      <c r="D106" s="47">
        <v>70</v>
      </c>
      <c r="E106" s="2">
        <f t="shared" si="11"/>
        <v>270</v>
      </c>
      <c r="F106" s="19">
        <f t="shared" si="12"/>
        <v>2.4200000000000004</v>
      </c>
      <c r="G106" s="21">
        <f t="shared" si="7"/>
        <v>2.4200000000000004</v>
      </c>
      <c r="J106" s="39" t="s">
        <v>738</v>
      </c>
      <c r="K106" s="40" t="s">
        <v>713</v>
      </c>
      <c r="L106" s="51">
        <v>3.6</v>
      </c>
      <c r="M106" s="37">
        <v>1.1000000000000001</v>
      </c>
      <c r="N106" s="45">
        <f t="shared" si="8"/>
        <v>3.9600000000000004</v>
      </c>
    </row>
    <row r="107" spans="1:14" ht="17.25" thickBot="1" x14ac:dyDescent="0.3">
      <c r="A107" t="s">
        <v>375</v>
      </c>
      <c r="B107" s="2">
        <v>4</v>
      </c>
      <c r="C107" s="2">
        <v>250</v>
      </c>
      <c r="D107" s="47">
        <v>70</v>
      </c>
      <c r="E107" s="2">
        <f t="shared" si="11"/>
        <v>320</v>
      </c>
      <c r="F107" s="19">
        <f t="shared" si="12"/>
        <v>3.08</v>
      </c>
      <c r="G107" s="21">
        <f t="shared" si="7"/>
        <v>3.08</v>
      </c>
      <c r="J107" s="39" t="s">
        <v>738</v>
      </c>
      <c r="K107" s="40" t="s">
        <v>718</v>
      </c>
      <c r="L107" s="51">
        <v>4</v>
      </c>
      <c r="M107" s="37">
        <v>1.1000000000000001</v>
      </c>
      <c r="N107" s="45">
        <f t="shared" si="8"/>
        <v>4.4000000000000004</v>
      </c>
    </row>
    <row r="108" spans="1:14" ht="17.25" thickBot="1" x14ac:dyDescent="0.3">
      <c r="A108" t="s">
        <v>377</v>
      </c>
      <c r="B108" s="2">
        <v>4</v>
      </c>
      <c r="C108" s="2">
        <v>300</v>
      </c>
      <c r="D108" s="47">
        <v>70</v>
      </c>
      <c r="E108" s="2">
        <f t="shared" si="11"/>
        <v>370</v>
      </c>
      <c r="F108" s="19">
        <f t="shared" si="12"/>
        <v>3.9600000000000004</v>
      </c>
      <c r="G108" s="21">
        <f t="shared" si="7"/>
        <v>3.9600000000000004</v>
      </c>
      <c r="J108" s="39" t="s">
        <v>739</v>
      </c>
      <c r="K108" s="40" t="s">
        <v>726</v>
      </c>
      <c r="L108" s="51">
        <v>1.7</v>
      </c>
      <c r="M108" s="37">
        <v>1.1000000000000001</v>
      </c>
      <c r="N108" s="45">
        <f t="shared" si="8"/>
        <v>1.87</v>
      </c>
    </row>
    <row r="109" spans="1:14" ht="17.25" thickBot="1" x14ac:dyDescent="0.3">
      <c r="A109" t="s">
        <v>379</v>
      </c>
      <c r="B109" s="2">
        <v>4</v>
      </c>
      <c r="C109" s="2">
        <v>350</v>
      </c>
      <c r="D109" s="47">
        <v>70</v>
      </c>
      <c r="E109" s="2">
        <f t="shared" si="11"/>
        <v>420</v>
      </c>
      <c r="F109" s="19">
        <f t="shared" si="12"/>
        <v>4.18</v>
      </c>
      <c r="G109" s="21">
        <f t="shared" si="7"/>
        <v>4.18</v>
      </c>
      <c r="J109" s="39" t="s">
        <v>739</v>
      </c>
      <c r="K109" s="40" t="s">
        <v>707</v>
      </c>
      <c r="L109" s="51">
        <v>1.9</v>
      </c>
      <c r="M109" s="37">
        <v>1.1000000000000001</v>
      </c>
      <c r="N109" s="45">
        <f t="shared" si="8"/>
        <v>2.09</v>
      </c>
    </row>
    <row r="110" spans="1:14" ht="17.25" thickBot="1" x14ac:dyDescent="0.3">
      <c r="A110" t="s">
        <v>381</v>
      </c>
      <c r="B110" s="2">
        <v>4</v>
      </c>
      <c r="C110" s="2">
        <v>400</v>
      </c>
      <c r="D110" s="47">
        <v>70</v>
      </c>
      <c r="E110" s="2">
        <f t="shared" si="11"/>
        <v>470</v>
      </c>
      <c r="F110" s="19">
        <f t="shared" si="12"/>
        <v>4.4000000000000004</v>
      </c>
      <c r="G110" s="21">
        <f t="shared" si="7"/>
        <v>4.4000000000000004</v>
      </c>
      <c r="J110" s="39" t="s">
        <v>739</v>
      </c>
      <c r="K110" s="40" t="s">
        <v>709</v>
      </c>
      <c r="L110" s="51">
        <v>2.2000000000000002</v>
      </c>
      <c r="M110" s="37">
        <v>1.1000000000000001</v>
      </c>
      <c r="N110" s="45">
        <f t="shared" si="8"/>
        <v>2.4200000000000004</v>
      </c>
    </row>
    <row r="111" spans="1:14" ht="17.25" thickBot="1" x14ac:dyDescent="0.3">
      <c r="A111" t="s">
        <v>383</v>
      </c>
      <c r="B111" s="2">
        <v>4</v>
      </c>
      <c r="C111" s="2">
        <v>500</v>
      </c>
      <c r="D111" s="47">
        <v>70</v>
      </c>
      <c r="E111" s="2">
        <f t="shared" si="11"/>
        <v>570</v>
      </c>
      <c r="F111" s="19">
        <f>N114</f>
        <v>4.4000000000000004</v>
      </c>
      <c r="G111" s="21">
        <f t="shared" si="7"/>
        <v>4.4000000000000004</v>
      </c>
      <c r="J111" s="39" t="s">
        <v>739</v>
      </c>
      <c r="K111" s="40" t="s">
        <v>711</v>
      </c>
      <c r="L111" s="51">
        <v>2.8</v>
      </c>
      <c r="M111" s="37">
        <v>1.1000000000000001</v>
      </c>
      <c r="N111" s="45">
        <f t="shared" si="8"/>
        <v>3.08</v>
      </c>
    </row>
    <row r="112" spans="1:14" ht="17.25" thickBot="1" x14ac:dyDescent="0.3">
      <c r="A112" t="s">
        <v>385</v>
      </c>
      <c r="B112" s="2">
        <v>5</v>
      </c>
      <c r="C112" s="2">
        <v>38</v>
      </c>
      <c r="D112" s="47">
        <v>55</v>
      </c>
      <c r="E112" s="2">
        <f t="shared" si="11"/>
        <v>93</v>
      </c>
      <c r="F112" s="19">
        <f>L115</f>
        <v>1.6</v>
      </c>
      <c r="G112" s="21">
        <f t="shared" si="7"/>
        <v>1.6</v>
      </c>
      <c r="J112" s="39" t="s">
        <v>739</v>
      </c>
      <c r="K112" s="40" t="s">
        <v>740</v>
      </c>
      <c r="L112" s="51">
        <v>3.6</v>
      </c>
      <c r="M112" s="37">
        <v>1.1000000000000001</v>
      </c>
      <c r="N112" s="45">
        <f t="shared" si="8"/>
        <v>3.9600000000000004</v>
      </c>
    </row>
    <row r="113" spans="1:14" ht="17.25" thickBot="1" x14ac:dyDescent="0.3">
      <c r="A113" t="s">
        <v>387</v>
      </c>
      <c r="B113" s="2">
        <v>5</v>
      </c>
      <c r="C113" s="2">
        <v>80</v>
      </c>
      <c r="D113" s="47">
        <v>70</v>
      </c>
      <c r="E113" s="2">
        <f t="shared" si="11"/>
        <v>150</v>
      </c>
      <c r="F113" s="19">
        <f>N116</f>
        <v>1.87</v>
      </c>
      <c r="G113" s="21">
        <f t="shared" si="7"/>
        <v>1.87</v>
      </c>
      <c r="J113" s="39" t="s">
        <v>739</v>
      </c>
      <c r="K113" s="40" t="s">
        <v>741</v>
      </c>
      <c r="L113" s="51">
        <v>3.8</v>
      </c>
      <c r="M113" s="37">
        <v>1.1000000000000001</v>
      </c>
      <c r="N113" s="45">
        <f t="shared" si="8"/>
        <v>4.18</v>
      </c>
    </row>
    <row r="114" spans="1:14" ht="17.25" thickBot="1" x14ac:dyDescent="0.3">
      <c r="A114" t="s">
        <v>389</v>
      </c>
      <c r="B114" s="2">
        <v>5</v>
      </c>
      <c r="C114" s="2">
        <v>100</v>
      </c>
      <c r="D114" s="47">
        <v>70</v>
      </c>
      <c r="E114" s="2">
        <f t="shared" si="11"/>
        <v>170</v>
      </c>
      <c r="F114" s="19">
        <f>N116</f>
        <v>1.87</v>
      </c>
      <c r="G114" s="21">
        <f t="shared" si="7"/>
        <v>1.87</v>
      </c>
      <c r="J114" s="39" t="s">
        <v>739</v>
      </c>
      <c r="K114" s="40" t="s">
        <v>742</v>
      </c>
      <c r="L114" s="51">
        <v>4</v>
      </c>
      <c r="M114" s="37">
        <v>1.1000000000000001</v>
      </c>
      <c r="N114" s="45">
        <f t="shared" si="8"/>
        <v>4.4000000000000004</v>
      </c>
    </row>
    <row r="115" spans="1:14" ht="17.25" thickBot="1" x14ac:dyDescent="0.3">
      <c r="A115" t="s">
        <v>391</v>
      </c>
      <c r="B115" s="2">
        <v>5</v>
      </c>
      <c r="C115" s="2">
        <v>125</v>
      </c>
      <c r="D115" s="47">
        <v>70</v>
      </c>
      <c r="E115" s="2">
        <f t="shared" si="11"/>
        <v>195</v>
      </c>
      <c r="F115" s="19">
        <f>N108</f>
        <v>1.87</v>
      </c>
      <c r="G115" s="21">
        <f t="shared" si="7"/>
        <v>1.87</v>
      </c>
      <c r="J115" s="39" t="s">
        <v>743</v>
      </c>
      <c r="K115" s="40" t="s">
        <v>744</v>
      </c>
      <c r="L115" s="51">
        <v>1.6</v>
      </c>
      <c r="M115" s="37">
        <v>1.1000000000000001</v>
      </c>
      <c r="N115" s="45">
        <f t="shared" si="8"/>
        <v>1.7600000000000002</v>
      </c>
    </row>
    <row r="116" spans="1:14" ht="17.25" thickBot="1" x14ac:dyDescent="0.3">
      <c r="A116" t="s">
        <v>393</v>
      </c>
      <c r="B116" s="2">
        <v>5</v>
      </c>
      <c r="C116" s="2">
        <v>150</v>
      </c>
      <c r="D116" s="47">
        <v>70</v>
      </c>
      <c r="E116" s="2">
        <f t="shared" si="11"/>
        <v>220</v>
      </c>
      <c r="F116" s="19">
        <f>N117</f>
        <v>2.09</v>
      </c>
      <c r="G116" s="21">
        <f t="shared" si="7"/>
        <v>2.09</v>
      </c>
      <c r="J116" s="39" t="s">
        <v>743</v>
      </c>
      <c r="K116" s="40" t="s">
        <v>745</v>
      </c>
      <c r="L116" s="51">
        <v>1.7</v>
      </c>
      <c r="M116" s="37">
        <v>1.1000000000000001</v>
      </c>
      <c r="N116" s="45">
        <f t="shared" si="8"/>
        <v>1.87</v>
      </c>
    </row>
    <row r="117" spans="1:14" ht="17.25" thickBot="1" x14ac:dyDescent="0.3">
      <c r="A117" t="s">
        <v>395</v>
      </c>
      <c r="B117" s="2">
        <v>5</v>
      </c>
      <c r="C117" s="2">
        <v>200</v>
      </c>
      <c r="D117" s="47">
        <v>70</v>
      </c>
      <c r="E117" s="2">
        <f t="shared" si="11"/>
        <v>270</v>
      </c>
      <c r="F117" s="19">
        <f t="shared" ref="F117:F122" si="13">N118</f>
        <v>2.4200000000000004</v>
      </c>
      <c r="G117" s="21">
        <f t="shared" si="7"/>
        <v>2.4200000000000004</v>
      </c>
      <c r="J117" s="39" t="s">
        <v>743</v>
      </c>
      <c r="K117" s="40" t="s">
        <v>746</v>
      </c>
      <c r="L117" s="51">
        <v>1.9</v>
      </c>
      <c r="M117" s="37">
        <v>1.1000000000000001</v>
      </c>
      <c r="N117" s="45">
        <f t="shared" si="8"/>
        <v>2.09</v>
      </c>
    </row>
    <row r="118" spans="1:14" ht="17.25" thickBot="1" x14ac:dyDescent="0.3">
      <c r="A118" t="s">
        <v>397</v>
      </c>
      <c r="B118" s="2">
        <v>5</v>
      </c>
      <c r="C118" s="2">
        <v>250</v>
      </c>
      <c r="D118" s="47">
        <v>70</v>
      </c>
      <c r="E118" s="2">
        <f t="shared" si="11"/>
        <v>320</v>
      </c>
      <c r="F118" s="19">
        <f>N119</f>
        <v>3.08</v>
      </c>
      <c r="G118" s="21">
        <f t="shared" si="7"/>
        <v>3.08</v>
      </c>
      <c r="J118" s="39" t="s">
        <v>743</v>
      </c>
      <c r="K118" s="40" t="s">
        <v>747</v>
      </c>
      <c r="L118" s="51">
        <v>2.2000000000000002</v>
      </c>
      <c r="M118" s="37">
        <v>1.1000000000000001</v>
      </c>
      <c r="N118" s="45">
        <f t="shared" si="8"/>
        <v>2.4200000000000004</v>
      </c>
    </row>
    <row r="119" spans="1:14" ht="17.25" thickBot="1" x14ac:dyDescent="0.3">
      <c r="A119" t="s">
        <v>399</v>
      </c>
      <c r="B119" s="2">
        <v>5</v>
      </c>
      <c r="C119" s="2">
        <v>300</v>
      </c>
      <c r="D119" s="47">
        <v>70</v>
      </c>
      <c r="E119" s="2">
        <f t="shared" si="11"/>
        <v>370</v>
      </c>
      <c r="F119" s="19">
        <f t="shared" si="13"/>
        <v>3.9600000000000004</v>
      </c>
      <c r="G119" s="21">
        <f t="shared" si="7"/>
        <v>3.9600000000000004</v>
      </c>
      <c r="J119" s="39" t="s">
        <v>743</v>
      </c>
      <c r="K119" s="40" t="s">
        <v>748</v>
      </c>
      <c r="L119" s="51">
        <v>2.8</v>
      </c>
      <c r="M119" s="37">
        <v>1.1000000000000001</v>
      </c>
      <c r="N119" s="45">
        <f t="shared" si="8"/>
        <v>3.08</v>
      </c>
    </row>
    <row r="120" spans="1:14" ht="17.25" thickBot="1" x14ac:dyDescent="0.3">
      <c r="A120" t="s">
        <v>401</v>
      </c>
      <c r="B120" s="2">
        <v>5</v>
      </c>
      <c r="C120" s="2">
        <v>350</v>
      </c>
      <c r="D120" s="47">
        <v>70</v>
      </c>
      <c r="E120" s="2">
        <f t="shared" si="11"/>
        <v>420</v>
      </c>
      <c r="F120" s="19">
        <f t="shared" si="13"/>
        <v>4.18</v>
      </c>
      <c r="G120" s="21">
        <f t="shared" si="7"/>
        <v>4.18</v>
      </c>
      <c r="J120" s="39" t="s">
        <v>743</v>
      </c>
      <c r="K120" s="40" t="s">
        <v>749</v>
      </c>
      <c r="L120" s="51">
        <v>3.6</v>
      </c>
      <c r="M120" s="37">
        <v>1.1000000000000001</v>
      </c>
      <c r="N120" s="45">
        <f t="shared" si="8"/>
        <v>3.9600000000000004</v>
      </c>
    </row>
    <row r="121" spans="1:14" ht="17.25" thickBot="1" x14ac:dyDescent="0.3">
      <c r="A121" t="s">
        <v>403</v>
      </c>
      <c r="B121" s="2">
        <v>5</v>
      </c>
      <c r="C121" s="2">
        <v>400</v>
      </c>
      <c r="D121" s="47">
        <v>70</v>
      </c>
      <c r="E121" s="2">
        <f t="shared" si="11"/>
        <v>470</v>
      </c>
      <c r="F121" s="19">
        <f t="shared" si="13"/>
        <v>4.4000000000000004</v>
      </c>
      <c r="G121" s="21">
        <f t="shared" si="7"/>
        <v>4.4000000000000004</v>
      </c>
      <c r="J121" s="39" t="s">
        <v>743</v>
      </c>
      <c r="K121" s="40" t="s">
        <v>750</v>
      </c>
      <c r="L121" s="51">
        <v>3.8</v>
      </c>
      <c r="M121" s="37">
        <v>1.1000000000000001</v>
      </c>
      <c r="N121" s="45">
        <f t="shared" si="8"/>
        <v>4.18</v>
      </c>
    </row>
    <row r="122" spans="1:14" ht="17.25" thickBot="1" x14ac:dyDescent="0.3">
      <c r="A122" t="s">
        <v>405</v>
      </c>
      <c r="B122" s="2">
        <v>5</v>
      </c>
      <c r="C122" s="2">
        <v>500</v>
      </c>
      <c r="D122" s="47">
        <v>70</v>
      </c>
      <c r="E122" s="2">
        <f t="shared" si="11"/>
        <v>570</v>
      </c>
      <c r="F122" s="19">
        <f t="shared" si="13"/>
        <v>5.5</v>
      </c>
      <c r="G122" s="21">
        <f t="shared" si="7"/>
        <v>5.5</v>
      </c>
      <c r="J122" s="39" t="s">
        <v>743</v>
      </c>
      <c r="K122" s="40" t="s">
        <v>751</v>
      </c>
      <c r="L122" s="51">
        <v>4</v>
      </c>
      <c r="M122" s="37">
        <v>1.1000000000000001</v>
      </c>
      <c r="N122" s="45">
        <f t="shared" si="8"/>
        <v>4.4000000000000004</v>
      </c>
    </row>
    <row r="123" spans="1:14" ht="17.25" thickBot="1" x14ac:dyDescent="0.3">
      <c r="A123" t="s">
        <v>456</v>
      </c>
      <c r="B123" s="2">
        <v>6</v>
      </c>
      <c r="C123" s="2">
        <v>38</v>
      </c>
      <c r="D123" s="47">
        <v>55</v>
      </c>
      <c r="E123" s="2">
        <f t="shared" si="11"/>
        <v>93</v>
      </c>
      <c r="F123" s="19">
        <f>L115</f>
        <v>1.6</v>
      </c>
      <c r="G123" s="21">
        <f t="shared" si="7"/>
        <v>1.6</v>
      </c>
      <c r="J123" s="39" t="s">
        <v>743</v>
      </c>
      <c r="K123" s="40" t="s">
        <v>752</v>
      </c>
      <c r="L123" s="51">
        <v>5</v>
      </c>
      <c r="M123" s="37">
        <v>1.1000000000000001</v>
      </c>
      <c r="N123" s="45">
        <f t="shared" si="8"/>
        <v>5.5</v>
      </c>
    </row>
    <row r="124" spans="1:14" ht="17.25" thickBot="1" x14ac:dyDescent="0.3">
      <c r="A124" t="s">
        <v>458</v>
      </c>
      <c r="B124" s="2">
        <v>6</v>
      </c>
      <c r="C124" s="2">
        <v>100</v>
      </c>
      <c r="D124" s="47">
        <v>90</v>
      </c>
      <c r="E124" s="2">
        <f t="shared" si="11"/>
        <v>190</v>
      </c>
      <c r="F124" s="19">
        <f>N116</f>
        <v>1.87</v>
      </c>
      <c r="G124" s="21">
        <f t="shared" si="7"/>
        <v>1.87</v>
      </c>
      <c r="J124" s="39" t="s">
        <v>753</v>
      </c>
      <c r="K124" s="40" t="s">
        <v>754</v>
      </c>
      <c r="L124" s="51">
        <v>2</v>
      </c>
      <c r="M124" s="37">
        <v>1.1000000000000001</v>
      </c>
      <c r="N124" s="45">
        <f t="shared" si="8"/>
        <v>2.2000000000000002</v>
      </c>
    </row>
    <row r="125" spans="1:14" ht="17.25" thickBot="1" x14ac:dyDescent="0.3">
      <c r="A125" t="s">
        <v>460</v>
      </c>
      <c r="B125" s="2">
        <v>6</v>
      </c>
      <c r="C125" s="2">
        <v>125</v>
      </c>
      <c r="D125" s="47">
        <v>90</v>
      </c>
      <c r="E125" s="2">
        <f t="shared" si="11"/>
        <v>215</v>
      </c>
      <c r="F125" s="19">
        <f>N117</f>
        <v>2.09</v>
      </c>
      <c r="G125" s="21">
        <f t="shared" si="7"/>
        <v>2.09</v>
      </c>
      <c r="J125" s="39" t="s">
        <v>753</v>
      </c>
      <c r="K125" s="40" t="s">
        <v>747</v>
      </c>
      <c r="L125" s="51">
        <v>2.5</v>
      </c>
      <c r="M125" s="37">
        <v>1.1000000000000001</v>
      </c>
      <c r="N125" s="45">
        <f t="shared" si="8"/>
        <v>2.75</v>
      </c>
    </row>
    <row r="126" spans="1:14" ht="17.25" thickBot="1" x14ac:dyDescent="0.3">
      <c r="A126" t="s">
        <v>462</v>
      </c>
      <c r="B126" s="2">
        <v>6</v>
      </c>
      <c r="C126" s="2">
        <v>150</v>
      </c>
      <c r="D126" s="47">
        <v>90</v>
      </c>
      <c r="E126" s="2">
        <f t="shared" si="11"/>
        <v>240</v>
      </c>
      <c r="F126" s="19">
        <f t="shared" ref="F126:F132" si="14">N117</f>
        <v>2.09</v>
      </c>
      <c r="G126" s="21">
        <f t="shared" si="7"/>
        <v>2.09</v>
      </c>
      <c r="J126" s="39" t="s">
        <v>753</v>
      </c>
      <c r="K126" s="40" t="s">
        <v>748</v>
      </c>
      <c r="L126" s="51">
        <v>3</v>
      </c>
      <c r="M126" s="37">
        <v>1.1000000000000001</v>
      </c>
      <c r="N126" s="45">
        <f t="shared" si="8"/>
        <v>3.3000000000000003</v>
      </c>
    </row>
    <row r="127" spans="1:14" ht="17.25" thickBot="1" x14ac:dyDescent="0.3">
      <c r="A127" t="s">
        <v>464</v>
      </c>
      <c r="B127" s="2">
        <v>6</v>
      </c>
      <c r="C127" s="2">
        <v>200</v>
      </c>
      <c r="D127" s="47">
        <v>90</v>
      </c>
      <c r="E127" s="2">
        <f t="shared" si="11"/>
        <v>290</v>
      </c>
      <c r="F127" s="19">
        <f t="shared" si="14"/>
        <v>2.4200000000000004</v>
      </c>
      <c r="G127" s="21">
        <f t="shared" si="7"/>
        <v>2.4200000000000004</v>
      </c>
      <c r="J127" s="39" t="s">
        <v>753</v>
      </c>
      <c r="K127" s="40" t="s">
        <v>740</v>
      </c>
      <c r="L127" s="51">
        <v>3.5</v>
      </c>
      <c r="M127" s="37">
        <v>1.1000000000000001</v>
      </c>
      <c r="N127" s="45">
        <f t="shared" si="8"/>
        <v>3.8500000000000005</v>
      </c>
    </row>
    <row r="128" spans="1:14" ht="17.25" thickBot="1" x14ac:dyDescent="0.3">
      <c r="A128" t="s">
        <v>466</v>
      </c>
      <c r="B128" s="2">
        <v>6</v>
      </c>
      <c r="C128" s="2">
        <v>250</v>
      </c>
      <c r="D128" s="47">
        <v>90</v>
      </c>
      <c r="E128" s="2">
        <f t="shared" si="11"/>
        <v>340</v>
      </c>
      <c r="F128" s="19">
        <f t="shared" si="14"/>
        <v>3.08</v>
      </c>
      <c r="G128" s="21">
        <f t="shared" si="7"/>
        <v>3.08</v>
      </c>
      <c r="J128" s="39" t="s">
        <v>753</v>
      </c>
      <c r="K128" s="40" t="s">
        <v>750</v>
      </c>
      <c r="L128" s="51">
        <v>4</v>
      </c>
      <c r="M128" s="37">
        <v>1.1000000000000001</v>
      </c>
      <c r="N128" s="45">
        <f t="shared" si="8"/>
        <v>4.4000000000000004</v>
      </c>
    </row>
    <row r="129" spans="1:14" ht="17.25" thickBot="1" x14ac:dyDescent="0.3">
      <c r="A129" t="s">
        <v>468</v>
      </c>
      <c r="B129" s="2">
        <v>6</v>
      </c>
      <c r="C129" s="2">
        <v>300</v>
      </c>
      <c r="D129" s="47">
        <v>90</v>
      </c>
      <c r="E129" s="2">
        <f t="shared" si="11"/>
        <v>390</v>
      </c>
      <c r="F129" s="19">
        <f t="shared" si="14"/>
        <v>3.9600000000000004</v>
      </c>
      <c r="G129" s="21">
        <f t="shared" si="7"/>
        <v>3.9600000000000004</v>
      </c>
      <c r="J129" s="39" t="s">
        <v>753</v>
      </c>
      <c r="K129" s="40" t="s">
        <v>751</v>
      </c>
      <c r="L129" s="51">
        <v>4.5</v>
      </c>
      <c r="M129" s="37">
        <v>1.1000000000000001</v>
      </c>
      <c r="N129" s="45">
        <f t="shared" si="8"/>
        <v>4.95</v>
      </c>
    </row>
    <row r="130" spans="1:14" ht="17.25" thickBot="1" x14ac:dyDescent="0.3">
      <c r="A130" t="s">
        <v>470</v>
      </c>
      <c r="B130" s="2">
        <v>6</v>
      </c>
      <c r="C130" s="2">
        <v>350</v>
      </c>
      <c r="D130" s="47">
        <v>90</v>
      </c>
      <c r="E130" s="2">
        <f t="shared" si="11"/>
        <v>440</v>
      </c>
      <c r="F130" s="19">
        <f t="shared" si="14"/>
        <v>4.18</v>
      </c>
      <c r="G130" s="21">
        <f t="shared" si="7"/>
        <v>4.18</v>
      </c>
      <c r="J130" s="39" t="s">
        <v>753</v>
      </c>
      <c r="K130" s="40" t="s">
        <v>723</v>
      </c>
      <c r="L130" s="51">
        <v>5</v>
      </c>
      <c r="M130" s="37">
        <v>1.1000000000000001</v>
      </c>
      <c r="N130" s="45">
        <f t="shared" si="8"/>
        <v>5.5</v>
      </c>
    </row>
    <row r="131" spans="1:14" ht="17.25" thickBot="1" x14ac:dyDescent="0.3">
      <c r="A131" t="s">
        <v>472</v>
      </c>
      <c r="B131" s="2">
        <v>6</v>
      </c>
      <c r="C131" s="2">
        <v>400</v>
      </c>
      <c r="D131" s="47">
        <v>90</v>
      </c>
      <c r="E131" s="2">
        <f t="shared" si="11"/>
        <v>490</v>
      </c>
      <c r="F131" s="19">
        <f t="shared" si="14"/>
        <v>4.4000000000000004</v>
      </c>
      <c r="G131" s="21">
        <f t="shared" si="7"/>
        <v>4.4000000000000004</v>
      </c>
      <c r="J131" s="39" t="s">
        <v>755</v>
      </c>
      <c r="K131" s="40" t="s">
        <v>754</v>
      </c>
      <c r="L131" s="51">
        <v>2.5</v>
      </c>
      <c r="M131" s="37">
        <v>1.1000000000000001</v>
      </c>
      <c r="N131" s="45">
        <f t="shared" si="8"/>
        <v>2.75</v>
      </c>
    </row>
    <row r="132" spans="1:14" ht="17.25" thickBot="1" x14ac:dyDescent="0.3">
      <c r="A132" t="s">
        <v>474</v>
      </c>
      <c r="B132" s="2">
        <v>6</v>
      </c>
      <c r="C132" s="2">
        <v>450</v>
      </c>
      <c r="D132" s="47">
        <v>90</v>
      </c>
      <c r="E132" s="2">
        <f t="shared" si="11"/>
        <v>540</v>
      </c>
      <c r="F132" s="19">
        <f t="shared" si="14"/>
        <v>5.5</v>
      </c>
      <c r="G132" s="21">
        <f>F132</f>
        <v>5.5</v>
      </c>
      <c r="J132" s="39" t="s">
        <v>755</v>
      </c>
      <c r="K132" s="40" t="s">
        <v>747</v>
      </c>
      <c r="L132" s="51">
        <v>3</v>
      </c>
      <c r="M132" s="37">
        <v>1.1000000000000001</v>
      </c>
      <c r="N132" s="45">
        <f t="shared" si="8"/>
        <v>3.3000000000000003</v>
      </c>
    </row>
    <row r="133" spans="1:14" ht="17.25" thickBot="1" x14ac:dyDescent="0.3">
      <c r="A133" t="s">
        <v>476</v>
      </c>
      <c r="B133" s="2">
        <v>6</v>
      </c>
      <c r="C133" s="2">
        <v>500</v>
      </c>
      <c r="D133" s="47">
        <v>90</v>
      </c>
      <c r="E133" s="2">
        <f t="shared" si="11"/>
        <v>590</v>
      </c>
      <c r="F133" s="19">
        <f>N123</f>
        <v>5.5</v>
      </c>
      <c r="G133" s="21">
        <f t="shared" si="7"/>
        <v>5.5</v>
      </c>
      <c r="J133" s="39" t="s">
        <v>755</v>
      </c>
      <c r="K133" s="40" t="s">
        <v>748</v>
      </c>
      <c r="L133" s="51">
        <v>3.5</v>
      </c>
      <c r="M133" s="37">
        <v>1.1000000000000001</v>
      </c>
      <c r="N133" s="45">
        <f t="shared" si="8"/>
        <v>3.8500000000000005</v>
      </c>
    </row>
    <row r="134" spans="1:14" ht="17.25" thickBot="1" x14ac:dyDescent="0.3">
      <c r="A134" t="s">
        <v>407</v>
      </c>
      <c r="B134" s="2">
        <v>8</v>
      </c>
      <c r="C134" s="2">
        <v>150</v>
      </c>
      <c r="D134" s="47">
        <v>110</v>
      </c>
      <c r="E134" s="2">
        <f t="shared" si="11"/>
        <v>260</v>
      </c>
      <c r="F134" s="19">
        <f>N125</f>
        <v>2.75</v>
      </c>
      <c r="G134" s="21">
        <f t="shared" si="7"/>
        <v>2.75</v>
      </c>
      <c r="J134" s="39" t="s">
        <v>755</v>
      </c>
      <c r="K134" s="40" t="s">
        <v>740</v>
      </c>
      <c r="L134" s="51">
        <v>4</v>
      </c>
      <c r="M134" s="37">
        <v>1.1000000000000001</v>
      </c>
      <c r="N134" s="45">
        <f t="shared" si="8"/>
        <v>4.4000000000000004</v>
      </c>
    </row>
    <row r="135" spans="1:14" ht="17.25" thickBot="1" x14ac:dyDescent="0.3">
      <c r="A135" t="s">
        <v>409</v>
      </c>
      <c r="B135" s="2">
        <v>8</v>
      </c>
      <c r="C135" s="2">
        <v>175</v>
      </c>
      <c r="D135" s="47">
        <v>110</v>
      </c>
      <c r="E135" s="2">
        <f t="shared" si="11"/>
        <v>285</v>
      </c>
      <c r="F135" s="19">
        <f t="shared" ref="F135:F140" si="15">N125</f>
        <v>2.75</v>
      </c>
      <c r="G135" s="21">
        <f t="shared" ref="G135:G174" si="16">F135</f>
        <v>2.75</v>
      </c>
      <c r="J135" s="39" t="s">
        <v>755</v>
      </c>
      <c r="K135" s="40" t="s">
        <v>750</v>
      </c>
      <c r="L135" s="51">
        <v>4.5</v>
      </c>
      <c r="M135" s="37">
        <v>1.1000000000000001</v>
      </c>
      <c r="N135" s="45">
        <f t="shared" si="8"/>
        <v>4.95</v>
      </c>
    </row>
    <row r="136" spans="1:14" ht="17.25" thickBot="1" x14ac:dyDescent="0.3">
      <c r="A136" t="s">
        <v>411</v>
      </c>
      <c r="B136" s="2">
        <v>8</v>
      </c>
      <c r="C136" s="2">
        <v>200</v>
      </c>
      <c r="D136" s="47">
        <v>110</v>
      </c>
      <c r="E136" s="2">
        <f t="shared" si="11"/>
        <v>310</v>
      </c>
      <c r="F136" s="19">
        <f t="shared" si="15"/>
        <v>3.3000000000000003</v>
      </c>
      <c r="G136" s="21">
        <f t="shared" si="16"/>
        <v>3.3000000000000003</v>
      </c>
      <c r="J136" s="39" t="s">
        <v>755</v>
      </c>
      <c r="K136" s="40" t="s">
        <v>751</v>
      </c>
      <c r="L136" s="51">
        <v>5</v>
      </c>
      <c r="M136" s="37">
        <v>1.1000000000000001</v>
      </c>
      <c r="N136" s="45">
        <f>M136*L136</f>
        <v>5.5</v>
      </c>
    </row>
    <row r="137" spans="1:14" ht="17.25" thickBot="1" x14ac:dyDescent="0.3">
      <c r="A137" t="s">
        <v>413</v>
      </c>
      <c r="B137" s="2">
        <v>8</v>
      </c>
      <c r="C137" s="2">
        <v>250</v>
      </c>
      <c r="D137" s="47">
        <v>110</v>
      </c>
      <c r="E137" s="2">
        <f t="shared" si="11"/>
        <v>360</v>
      </c>
      <c r="F137" s="19">
        <f t="shared" si="15"/>
        <v>3.8500000000000005</v>
      </c>
      <c r="G137" s="21">
        <f t="shared" si="16"/>
        <v>3.8500000000000005</v>
      </c>
      <c r="J137" s="42" t="s">
        <v>755</v>
      </c>
      <c r="K137" s="43" t="s">
        <v>723</v>
      </c>
      <c r="L137" s="53">
        <v>6</v>
      </c>
      <c r="M137" s="37">
        <v>1.1000000000000001</v>
      </c>
      <c r="N137" s="46">
        <f>M137*L137</f>
        <v>6.6000000000000005</v>
      </c>
    </row>
    <row r="138" spans="1:14" x14ac:dyDescent="0.25">
      <c r="A138" t="s">
        <v>415</v>
      </c>
      <c r="B138" s="2">
        <v>8</v>
      </c>
      <c r="C138" s="2">
        <v>300</v>
      </c>
      <c r="D138" s="47">
        <v>110</v>
      </c>
      <c r="E138" s="2">
        <f t="shared" si="11"/>
        <v>410</v>
      </c>
      <c r="F138" s="19">
        <f t="shared" si="15"/>
        <v>4.4000000000000004</v>
      </c>
      <c r="G138" s="21">
        <f t="shared" si="16"/>
        <v>4.4000000000000004</v>
      </c>
      <c r="J138" s="18"/>
    </row>
    <row r="139" spans="1:14" x14ac:dyDescent="0.25">
      <c r="A139" t="s">
        <v>417</v>
      </c>
      <c r="B139" s="2">
        <v>8</v>
      </c>
      <c r="C139" s="2">
        <v>350</v>
      </c>
      <c r="D139" s="47">
        <v>110</v>
      </c>
      <c r="E139" s="2">
        <f t="shared" si="11"/>
        <v>460</v>
      </c>
      <c r="F139" s="19">
        <f t="shared" si="15"/>
        <v>4.95</v>
      </c>
      <c r="G139" s="21">
        <f t="shared" si="16"/>
        <v>4.95</v>
      </c>
      <c r="J139" s="18"/>
    </row>
    <row r="140" spans="1:14" x14ac:dyDescent="0.25">
      <c r="A140" t="s">
        <v>419</v>
      </c>
      <c r="B140" s="2">
        <v>8</v>
      </c>
      <c r="C140" s="2">
        <v>400</v>
      </c>
      <c r="D140" s="47">
        <v>110</v>
      </c>
      <c r="E140" s="2">
        <f t="shared" si="11"/>
        <v>510</v>
      </c>
      <c r="F140" s="19">
        <f t="shared" si="15"/>
        <v>5.5</v>
      </c>
      <c r="G140" s="21">
        <f t="shared" si="16"/>
        <v>5.5</v>
      </c>
      <c r="J140" s="18"/>
    </row>
    <row r="141" spans="1:14" x14ac:dyDescent="0.25">
      <c r="A141" t="s">
        <v>421</v>
      </c>
      <c r="B141" s="2">
        <v>8</v>
      </c>
      <c r="C141" s="2">
        <v>450</v>
      </c>
      <c r="D141" s="47">
        <v>110</v>
      </c>
      <c r="E141" s="2">
        <f t="shared" si="11"/>
        <v>560</v>
      </c>
      <c r="F141" s="19">
        <f>N130</f>
        <v>5.5</v>
      </c>
      <c r="G141" s="21">
        <f t="shared" si="16"/>
        <v>5.5</v>
      </c>
      <c r="J141" s="18"/>
    </row>
    <row r="142" spans="1:14" x14ac:dyDescent="0.25">
      <c r="A142" t="s">
        <v>423</v>
      </c>
      <c r="B142" s="2">
        <v>8</v>
      </c>
      <c r="C142" s="2">
        <v>500</v>
      </c>
      <c r="D142" s="47">
        <v>110</v>
      </c>
      <c r="E142" s="2">
        <f t="shared" ref="E142:E174" si="17">D142+C142</f>
        <v>610</v>
      </c>
      <c r="F142" s="19">
        <f>N130</f>
        <v>5.5</v>
      </c>
      <c r="G142" s="21">
        <f t="shared" si="16"/>
        <v>5.5</v>
      </c>
      <c r="J142" s="18"/>
    </row>
    <row r="143" spans="1:14" x14ac:dyDescent="0.25">
      <c r="A143" t="s">
        <v>425</v>
      </c>
      <c r="B143" s="2">
        <v>10</v>
      </c>
      <c r="C143" s="2">
        <v>175</v>
      </c>
      <c r="D143" s="47">
        <v>110</v>
      </c>
      <c r="E143" s="2">
        <f t="shared" si="17"/>
        <v>285</v>
      </c>
      <c r="F143" s="19">
        <f t="shared" ref="F143:F148" si="18">N132</f>
        <v>3.3000000000000003</v>
      </c>
      <c r="G143" s="21">
        <f t="shared" si="16"/>
        <v>3.3000000000000003</v>
      </c>
      <c r="J143" s="18"/>
    </row>
    <row r="144" spans="1:14" x14ac:dyDescent="0.25">
      <c r="A144" t="s">
        <v>427</v>
      </c>
      <c r="B144" s="2">
        <v>10</v>
      </c>
      <c r="C144" s="2">
        <v>200</v>
      </c>
      <c r="D144" s="47">
        <v>110</v>
      </c>
      <c r="E144" s="2">
        <f t="shared" si="17"/>
        <v>310</v>
      </c>
      <c r="F144" s="19">
        <f t="shared" si="18"/>
        <v>3.8500000000000005</v>
      </c>
      <c r="G144" s="21">
        <f t="shared" si="16"/>
        <v>3.8500000000000005</v>
      </c>
      <c r="J144" s="18"/>
    </row>
    <row r="145" spans="1:10" x14ac:dyDescent="0.25">
      <c r="A145" t="s">
        <v>429</v>
      </c>
      <c r="B145" s="2">
        <v>10</v>
      </c>
      <c r="C145" s="2">
        <v>250</v>
      </c>
      <c r="D145" s="47">
        <v>110</v>
      </c>
      <c r="E145" s="2">
        <f t="shared" si="17"/>
        <v>360</v>
      </c>
      <c r="F145" s="19">
        <f t="shared" si="18"/>
        <v>4.4000000000000004</v>
      </c>
      <c r="G145" s="21">
        <f t="shared" si="16"/>
        <v>4.4000000000000004</v>
      </c>
      <c r="J145" s="18"/>
    </row>
    <row r="146" spans="1:10" x14ac:dyDescent="0.25">
      <c r="A146" t="s">
        <v>431</v>
      </c>
      <c r="B146" s="2">
        <v>10</v>
      </c>
      <c r="C146" s="2">
        <v>300</v>
      </c>
      <c r="D146" s="47">
        <v>110</v>
      </c>
      <c r="E146" s="2">
        <f t="shared" si="17"/>
        <v>410</v>
      </c>
      <c r="F146" s="19">
        <f t="shared" si="18"/>
        <v>4.95</v>
      </c>
      <c r="G146" s="21">
        <f t="shared" si="16"/>
        <v>4.95</v>
      </c>
      <c r="J146" s="18"/>
    </row>
    <row r="147" spans="1:10" x14ac:dyDescent="0.25">
      <c r="A147" t="s">
        <v>433</v>
      </c>
      <c r="B147" s="2">
        <v>10</v>
      </c>
      <c r="C147" s="2">
        <v>350</v>
      </c>
      <c r="D147" s="47">
        <v>110</v>
      </c>
      <c r="E147" s="2">
        <f t="shared" si="17"/>
        <v>460</v>
      </c>
      <c r="F147" s="19">
        <f t="shared" si="18"/>
        <v>5.5</v>
      </c>
      <c r="G147" s="21">
        <f t="shared" si="16"/>
        <v>5.5</v>
      </c>
      <c r="J147" s="18"/>
    </row>
    <row r="148" spans="1:10" x14ac:dyDescent="0.25">
      <c r="A148" t="s">
        <v>435</v>
      </c>
      <c r="B148" s="2">
        <v>10</v>
      </c>
      <c r="C148" s="2">
        <v>400</v>
      </c>
      <c r="D148" s="47">
        <v>110</v>
      </c>
      <c r="E148" s="2">
        <f t="shared" si="17"/>
        <v>510</v>
      </c>
      <c r="F148" s="19">
        <f t="shared" si="18"/>
        <v>6.6000000000000005</v>
      </c>
      <c r="G148" s="21">
        <f t="shared" si="16"/>
        <v>6.6000000000000005</v>
      </c>
      <c r="J148" s="18"/>
    </row>
    <row r="149" spans="1:10" x14ac:dyDescent="0.25">
      <c r="A149" t="s">
        <v>437</v>
      </c>
      <c r="B149" s="2">
        <v>10</v>
      </c>
      <c r="C149" s="2">
        <v>450</v>
      </c>
      <c r="D149" s="47">
        <v>110</v>
      </c>
      <c r="E149" s="2">
        <f t="shared" si="17"/>
        <v>560</v>
      </c>
      <c r="F149" s="19">
        <f>N137</f>
        <v>6.6000000000000005</v>
      </c>
      <c r="G149" s="21">
        <f t="shared" si="16"/>
        <v>6.6000000000000005</v>
      </c>
      <c r="J149" s="18"/>
    </row>
    <row r="150" spans="1:10" x14ac:dyDescent="0.25">
      <c r="A150" t="s">
        <v>439</v>
      </c>
      <c r="B150" s="2">
        <v>10</v>
      </c>
      <c r="C150" s="2">
        <v>500</v>
      </c>
      <c r="D150" s="47">
        <v>110</v>
      </c>
      <c r="E150" s="2">
        <f t="shared" si="17"/>
        <v>610</v>
      </c>
      <c r="F150" s="19">
        <f>N137</f>
        <v>6.6000000000000005</v>
      </c>
      <c r="G150" s="21">
        <f t="shared" si="16"/>
        <v>6.6000000000000005</v>
      </c>
      <c r="J150" s="18"/>
    </row>
    <row r="151" spans="1:10" x14ac:dyDescent="0.25">
      <c r="A151" t="s">
        <v>301</v>
      </c>
      <c r="B151" s="2">
        <v>3</v>
      </c>
      <c r="C151" s="2">
        <v>60</v>
      </c>
      <c r="D151" s="47">
        <v>70</v>
      </c>
      <c r="E151" s="2">
        <f t="shared" si="17"/>
        <v>130</v>
      </c>
      <c r="F151" s="19">
        <f>N62</f>
        <v>2.6179999999999999</v>
      </c>
      <c r="G151" s="21">
        <f t="shared" si="16"/>
        <v>2.6179999999999999</v>
      </c>
      <c r="J151" s="18"/>
    </row>
    <row r="152" spans="1:10" x14ac:dyDescent="0.25">
      <c r="A152" t="s">
        <v>303</v>
      </c>
      <c r="B152" s="2">
        <v>3</v>
      </c>
      <c r="C152" s="2">
        <v>60</v>
      </c>
      <c r="D152" s="47">
        <v>70</v>
      </c>
      <c r="E152" s="2">
        <f t="shared" si="17"/>
        <v>130</v>
      </c>
      <c r="F152" s="19">
        <f>N62</f>
        <v>2.6179999999999999</v>
      </c>
      <c r="G152" s="21">
        <f t="shared" si="16"/>
        <v>2.6179999999999999</v>
      </c>
      <c r="J152" s="18"/>
    </row>
    <row r="153" spans="1:10" x14ac:dyDescent="0.25">
      <c r="A153" t="s">
        <v>305</v>
      </c>
      <c r="B153" s="2">
        <v>3</v>
      </c>
      <c r="C153" s="2">
        <v>60</v>
      </c>
      <c r="D153" s="47">
        <v>70</v>
      </c>
      <c r="E153" s="2">
        <f t="shared" si="17"/>
        <v>130</v>
      </c>
      <c r="F153" s="19">
        <f>N62</f>
        <v>2.6179999999999999</v>
      </c>
      <c r="G153" s="21">
        <f t="shared" si="16"/>
        <v>2.6179999999999999</v>
      </c>
      <c r="J153" s="18"/>
    </row>
    <row r="154" spans="1:10" x14ac:dyDescent="0.25">
      <c r="A154" t="s">
        <v>307</v>
      </c>
      <c r="B154" s="2">
        <v>3</v>
      </c>
      <c r="C154" s="2">
        <v>60</v>
      </c>
      <c r="D154" s="47">
        <v>70</v>
      </c>
      <c r="E154" s="2">
        <f t="shared" si="17"/>
        <v>130</v>
      </c>
      <c r="F154" s="19">
        <f>N62</f>
        <v>2.6179999999999999</v>
      </c>
      <c r="G154" s="21">
        <f t="shared" si="16"/>
        <v>2.6179999999999999</v>
      </c>
      <c r="J154" s="18"/>
    </row>
    <row r="155" spans="1:10" x14ac:dyDescent="0.25">
      <c r="A155" t="s">
        <v>309</v>
      </c>
      <c r="B155" s="2">
        <v>4</v>
      </c>
      <c r="C155" s="2">
        <v>80</v>
      </c>
      <c r="D155" s="47">
        <v>70</v>
      </c>
      <c r="E155" s="2">
        <f t="shared" si="17"/>
        <v>150</v>
      </c>
      <c r="F155" s="19">
        <f>N63</f>
        <v>1.32</v>
      </c>
      <c r="G155" s="21">
        <f t="shared" si="16"/>
        <v>1.32</v>
      </c>
      <c r="J155" s="18"/>
    </row>
    <row r="156" spans="1:10" x14ac:dyDescent="0.25">
      <c r="A156" t="s">
        <v>311</v>
      </c>
      <c r="B156" s="2">
        <v>4</v>
      </c>
      <c r="C156" s="2">
        <v>80</v>
      </c>
      <c r="D156" s="47">
        <v>70</v>
      </c>
      <c r="E156" s="2">
        <f t="shared" si="17"/>
        <v>150</v>
      </c>
      <c r="F156" s="19">
        <f>N63</f>
        <v>1.32</v>
      </c>
      <c r="G156" s="21">
        <f t="shared" si="16"/>
        <v>1.32</v>
      </c>
      <c r="J156" s="18"/>
    </row>
    <row r="157" spans="1:10" x14ac:dyDescent="0.25">
      <c r="A157" t="s">
        <v>313</v>
      </c>
      <c r="B157" s="2">
        <v>5</v>
      </c>
      <c r="C157" s="2">
        <v>100</v>
      </c>
      <c r="D157" s="47">
        <v>70</v>
      </c>
      <c r="E157" s="2">
        <f t="shared" si="17"/>
        <v>170</v>
      </c>
      <c r="F157" s="19">
        <f>N63</f>
        <v>1.32</v>
      </c>
      <c r="G157" s="21">
        <f t="shared" si="16"/>
        <v>1.32</v>
      </c>
      <c r="J157" s="18"/>
    </row>
    <row r="158" spans="1:10" x14ac:dyDescent="0.25">
      <c r="A158" t="s">
        <v>315</v>
      </c>
      <c r="B158" s="2">
        <v>5</v>
      </c>
      <c r="C158" s="2">
        <v>100</v>
      </c>
      <c r="D158" s="47">
        <v>70</v>
      </c>
      <c r="E158" s="2">
        <f t="shared" si="17"/>
        <v>170</v>
      </c>
      <c r="F158" s="19">
        <f>N63</f>
        <v>1.32</v>
      </c>
      <c r="G158" s="21">
        <f t="shared" si="16"/>
        <v>1.32</v>
      </c>
      <c r="J158" s="18"/>
    </row>
    <row r="159" spans="1:10" x14ac:dyDescent="0.25">
      <c r="A159" t="s">
        <v>317</v>
      </c>
      <c r="B159" s="2">
        <v>6</v>
      </c>
      <c r="C159" s="2">
        <v>100</v>
      </c>
      <c r="D159" s="47">
        <v>90</v>
      </c>
      <c r="E159" s="2">
        <f t="shared" si="17"/>
        <v>190</v>
      </c>
      <c r="F159" s="19">
        <f>N69</f>
        <v>1.32</v>
      </c>
      <c r="G159" s="21">
        <f t="shared" si="16"/>
        <v>1.32</v>
      </c>
      <c r="J159" s="18"/>
    </row>
    <row r="160" spans="1:10" x14ac:dyDescent="0.25">
      <c r="A160" t="s">
        <v>319</v>
      </c>
      <c r="B160" s="2">
        <v>7</v>
      </c>
      <c r="C160" s="2">
        <v>125</v>
      </c>
      <c r="D160" s="47">
        <v>90</v>
      </c>
      <c r="E160" s="2">
        <f t="shared" si="17"/>
        <v>215</v>
      </c>
      <c r="F160" s="19">
        <f>N70</f>
        <v>1.54</v>
      </c>
      <c r="G160" s="21">
        <f t="shared" si="16"/>
        <v>1.54</v>
      </c>
      <c r="J160" s="18"/>
    </row>
    <row r="161" spans="1:10" x14ac:dyDescent="0.25">
      <c r="A161" t="s">
        <v>321</v>
      </c>
      <c r="B161" s="2">
        <v>8</v>
      </c>
      <c r="C161" s="2">
        <v>150</v>
      </c>
      <c r="D161" s="47">
        <v>110</v>
      </c>
      <c r="E161" s="2">
        <f t="shared" si="17"/>
        <v>260</v>
      </c>
      <c r="F161" s="19">
        <f>N76</f>
        <v>1.9800000000000002</v>
      </c>
      <c r="G161" s="21">
        <f t="shared" si="16"/>
        <v>1.9800000000000002</v>
      </c>
      <c r="J161" s="18"/>
    </row>
    <row r="162" spans="1:10" x14ac:dyDescent="0.25">
      <c r="A162" t="s">
        <v>323</v>
      </c>
      <c r="B162" s="2">
        <v>8</v>
      </c>
      <c r="C162" s="2">
        <v>200</v>
      </c>
      <c r="D162" s="47">
        <v>110</v>
      </c>
      <c r="E162" s="2">
        <f t="shared" si="17"/>
        <v>310</v>
      </c>
      <c r="F162" s="19">
        <f>N77</f>
        <v>2.64</v>
      </c>
      <c r="G162" s="21">
        <f t="shared" si="16"/>
        <v>2.64</v>
      </c>
      <c r="J162" s="18"/>
    </row>
    <row r="163" spans="1:10" x14ac:dyDescent="0.25">
      <c r="A163" t="s">
        <v>325</v>
      </c>
      <c r="B163" s="2">
        <v>3</v>
      </c>
      <c r="C163" s="2">
        <v>60</v>
      </c>
      <c r="D163" s="47">
        <v>70</v>
      </c>
      <c r="E163" s="2">
        <f t="shared" si="17"/>
        <v>130</v>
      </c>
      <c r="F163" s="19">
        <f>N82</f>
        <v>3.74</v>
      </c>
      <c r="G163" s="21">
        <f t="shared" si="16"/>
        <v>3.74</v>
      </c>
      <c r="J163" s="18"/>
    </row>
    <row r="164" spans="1:10" x14ac:dyDescent="0.25">
      <c r="A164" t="s">
        <v>327</v>
      </c>
      <c r="B164" s="2">
        <v>3</v>
      </c>
      <c r="C164" s="2">
        <v>60</v>
      </c>
      <c r="D164" s="47">
        <v>70</v>
      </c>
      <c r="E164" s="2">
        <f t="shared" si="17"/>
        <v>130</v>
      </c>
      <c r="F164" s="19">
        <f>N82</f>
        <v>3.74</v>
      </c>
      <c r="G164" s="21">
        <f t="shared" si="16"/>
        <v>3.74</v>
      </c>
      <c r="J164" s="18"/>
    </row>
    <row r="165" spans="1:10" x14ac:dyDescent="0.25">
      <c r="A165" t="s">
        <v>329</v>
      </c>
      <c r="B165" s="2">
        <v>3</v>
      </c>
      <c r="C165" s="2">
        <v>60</v>
      </c>
      <c r="D165" s="47">
        <v>70</v>
      </c>
      <c r="E165" s="2">
        <f t="shared" si="17"/>
        <v>130</v>
      </c>
      <c r="F165" s="19">
        <f>N82</f>
        <v>3.74</v>
      </c>
      <c r="G165" s="21">
        <f t="shared" si="16"/>
        <v>3.74</v>
      </c>
      <c r="J165" s="18"/>
    </row>
    <row r="166" spans="1:10" x14ac:dyDescent="0.25">
      <c r="A166" t="s">
        <v>331</v>
      </c>
      <c r="B166" s="2">
        <v>3</v>
      </c>
      <c r="C166" s="2">
        <v>60</v>
      </c>
      <c r="D166" s="47">
        <v>70</v>
      </c>
      <c r="E166" s="2">
        <f t="shared" si="17"/>
        <v>130</v>
      </c>
      <c r="F166" s="19">
        <f>N82</f>
        <v>3.74</v>
      </c>
      <c r="G166" s="21">
        <f t="shared" si="16"/>
        <v>3.74</v>
      </c>
      <c r="J166" s="18"/>
    </row>
    <row r="167" spans="1:10" x14ac:dyDescent="0.25">
      <c r="A167" t="s">
        <v>333</v>
      </c>
      <c r="B167" s="2">
        <v>4</v>
      </c>
      <c r="C167" s="2">
        <v>80</v>
      </c>
      <c r="D167" s="47">
        <v>70</v>
      </c>
      <c r="E167" s="2">
        <f t="shared" si="17"/>
        <v>150</v>
      </c>
      <c r="F167" s="19">
        <f>N63</f>
        <v>1.32</v>
      </c>
      <c r="G167" s="21">
        <f t="shared" si="16"/>
        <v>1.32</v>
      </c>
      <c r="J167" s="18"/>
    </row>
    <row r="168" spans="1:10" x14ac:dyDescent="0.25">
      <c r="A168" t="s">
        <v>335</v>
      </c>
      <c r="B168" s="2">
        <v>4</v>
      </c>
      <c r="C168" s="2">
        <v>80</v>
      </c>
      <c r="D168" s="47">
        <v>70</v>
      </c>
      <c r="E168" s="2">
        <f t="shared" si="17"/>
        <v>150</v>
      </c>
      <c r="F168" s="19">
        <f>N63</f>
        <v>1.32</v>
      </c>
      <c r="G168" s="21">
        <f t="shared" si="16"/>
        <v>1.32</v>
      </c>
      <c r="J168" s="18"/>
    </row>
    <row r="169" spans="1:10" x14ac:dyDescent="0.25">
      <c r="A169" t="s">
        <v>337</v>
      </c>
      <c r="B169" s="2">
        <v>5</v>
      </c>
      <c r="C169" s="2">
        <v>100</v>
      </c>
      <c r="D169" s="47">
        <v>70</v>
      </c>
      <c r="E169" s="2">
        <f t="shared" si="17"/>
        <v>170</v>
      </c>
      <c r="F169" s="19">
        <f>N63</f>
        <v>1.32</v>
      </c>
      <c r="G169" s="21">
        <f t="shared" si="16"/>
        <v>1.32</v>
      </c>
      <c r="J169" s="18"/>
    </row>
    <row r="170" spans="1:10" x14ac:dyDescent="0.25">
      <c r="A170" t="s">
        <v>339</v>
      </c>
      <c r="B170" s="2">
        <v>5</v>
      </c>
      <c r="C170" s="2">
        <v>100</v>
      </c>
      <c r="D170" s="47">
        <v>70</v>
      </c>
      <c r="E170" s="2">
        <f t="shared" si="17"/>
        <v>170</v>
      </c>
      <c r="F170" s="19">
        <f>N63</f>
        <v>1.32</v>
      </c>
      <c r="G170" s="21">
        <f t="shared" si="16"/>
        <v>1.32</v>
      </c>
      <c r="J170" s="18"/>
    </row>
    <row r="171" spans="1:10" x14ac:dyDescent="0.25">
      <c r="A171" t="s">
        <v>341</v>
      </c>
      <c r="B171" s="2">
        <v>6</v>
      </c>
      <c r="C171" s="2">
        <v>100</v>
      </c>
      <c r="D171" s="47">
        <v>90</v>
      </c>
      <c r="E171" s="2">
        <f t="shared" si="17"/>
        <v>190</v>
      </c>
      <c r="F171" s="19">
        <f>N69</f>
        <v>1.32</v>
      </c>
      <c r="G171" s="21">
        <f t="shared" si="16"/>
        <v>1.32</v>
      </c>
      <c r="J171" s="18"/>
    </row>
    <row r="172" spans="1:10" x14ac:dyDescent="0.25">
      <c r="A172" t="s">
        <v>343</v>
      </c>
      <c r="B172" s="2">
        <v>7</v>
      </c>
      <c r="C172" s="2">
        <v>125</v>
      </c>
      <c r="D172" s="47">
        <v>90</v>
      </c>
      <c r="E172" s="2">
        <f t="shared" si="17"/>
        <v>215</v>
      </c>
      <c r="F172" s="19">
        <f>N70</f>
        <v>1.54</v>
      </c>
      <c r="G172" s="21">
        <f t="shared" si="16"/>
        <v>1.54</v>
      </c>
      <c r="J172" s="18"/>
    </row>
    <row r="173" spans="1:10" x14ac:dyDescent="0.25">
      <c r="A173" t="s">
        <v>345</v>
      </c>
      <c r="B173" s="2">
        <v>8</v>
      </c>
      <c r="C173" s="2">
        <v>150</v>
      </c>
      <c r="D173" s="47">
        <v>110</v>
      </c>
      <c r="E173" s="2">
        <f t="shared" si="17"/>
        <v>260</v>
      </c>
      <c r="F173" s="19">
        <f>N76</f>
        <v>1.9800000000000002</v>
      </c>
      <c r="G173" s="21">
        <f t="shared" si="16"/>
        <v>1.9800000000000002</v>
      </c>
      <c r="J173" s="18"/>
    </row>
    <row r="174" spans="1:10" x14ac:dyDescent="0.25">
      <c r="A174" t="s">
        <v>347</v>
      </c>
      <c r="B174" s="2">
        <v>8</v>
      </c>
      <c r="C174" s="2">
        <v>200</v>
      </c>
      <c r="D174" s="47">
        <v>110</v>
      </c>
      <c r="E174" s="2">
        <f t="shared" si="17"/>
        <v>310</v>
      </c>
      <c r="F174" s="19">
        <f>N77</f>
        <v>2.64</v>
      </c>
      <c r="G174" s="21">
        <f t="shared" si="16"/>
        <v>2.64</v>
      </c>
      <c r="J174" s="18"/>
    </row>
    <row r="175" spans="1:10" x14ac:dyDescent="0.25">
      <c r="J175" s="18"/>
    </row>
    <row r="176" spans="1:10" x14ac:dyDescent="0.25">
      <c r="J176" s="18"/>
    </row>
    <row r="177" spans="10:10" x14ac:dyDescent="0.25">
      <c r="J177" s="18"/>
    </row>
    <row r="178" spans="10:10" x14ac:dyDescent="0.25">
      <c r="J178" s="18"/>
    </row>
    <row r="179" spans="10:10" x14ac:dyDescent="0.25">
      <c r="J179" s="18"/>
    </row>
    <row r="180" spans="10:10" x14ac:dyDescent="0.25">
      <c r="J180" s="18"/>
    </row>
    <row r="181" spans="10:10" x14ac:dyDescent="0.25">
      <c r="J181" s="18"/>
    </row>
    <row r="182" spans="10:10" x14ac:dyDescent="0.25">
      <c r="J182" s="18"/>
    </row>
    <row r="183" spans="10:10" x14ac:dyDescent="0.25">
      <c r="J183" s="18"/>
    </row>
    <row r="184" spans="10:10" x14ac:dyDescent="0.25">
      <c r="J184" s="18"/>
    </row>
    <row r="185" spans="10:10" x14ac:dyDescent="0.25">
      <c r="J185" s="18"/>
    </row>
    <row r="186" spans="10:10" x14ac:dyDescent="0.25">
      <c r="J186" s="18"/>
    </row>
    <row r="187" spans="10:10" x14ac:dyDescent="0.25">
      <c r="J187" s="18"/>
    </row>
    <row r="188" spans="10:10" x14ac:dyDescent="0.25">
      <c r="J188" s="18"/>
    </row>
    <row r="189" spans="10:10" x14ac:dyDescent="0.25">
      <c r="J189" s="18"/>
    </row>
    <row r="190" spans="10:10" x14ac:dyDescent="0.25">
      <c r="J190" s="18"/>
    </row>
    <row r="191" spans="10:10" x14ac:dyDescent="0.25">
      <c r="J191" s="18"/>
    </row>
    <row r="192" spans="10:10" x14ac:dyDescent="0.25">
      <c r="J192" s="18"/>
    </row>
    <row r="193" spans="10:10" x14ac:dyDescent="0.25">
      <c r="J193" s="18"/>
    </row>
    <row r="194" spans="10:10" x14ac:dyDescent="0.25">
      <c r="J194" s="18"/>
    </row>
    <row r="195" spans="10:10" x14ac:dyDescent="0.25">
      <c r="J195" s="18"/>
    </row>
    <row r="196" spans="10:10" x14ac:dyDescent="0.25">
      <c r="J196" s="18"/>
    </row>
    <row r="197" spans="10:10" x14ac:dyDescent="0.25">
      <c r="J197" s="18"/>
    </row>
    <row r="198" spans="10:10" x14ac:dyDescent="0.25">
      <c r="J198" s="18"/>
    </row>
    <row r="199" spans="10:10" x14ac:dyDescent="0.25">
      <c r="J199" s="18"/>
    </row>
    <row r="200" spans="10:10" x14ac:dyDescent="0.25">
      <c r="J200" s="18"/>
    </row>
    <row r="201" spans="10:10" x14ac:dyDescent="0.25">
      <c r="J201" s="18"/>
    </row>
    <row r="202" spans="10:10" x14ac:dyDescent="0.25">
      <c r="J202" s="18"/>
    </row>
    <row r="203" spans="10:10" x14ac:dyDescent="0.25">
      <c r="J203" s="18"/>
    </row>
    <row r="204" spans="10:10" x14ac:dyDescent="0.25">
      <c r="J204" s="18"/>
    </row>
    <row r="205" spans="10:10" x14ac:dyDescent="0.25">
      <c r="J205" s="18"/>
    </row>
    <row r="206" spans="10:10" x14ac:dyDescent="0.25">
      <c r="J206" s="18"/>
    </row>
    <row r="207" spans="10:10" x14ac:dyDescent="0.25">
      <c r="J207" s="18"/>
    </row>
    <row r="208" spans="10:10" x14ac:dyDescent="0.25">
      <c r="J208" s="18"/>
    </row>
    <row r="209" spans="10:10" x14ac:dyDescent="0.25">
      <c r="J209" s="18"/>
    </row>
    <row r="210" spans="10:10" x14ac:dyDescent="0.25">
      <c r="J210" s="18"/>
    </row>
    <row r="211" spans="10:10" x14ac:dyDescent="0.25">
      <c r="J211" s="18"/>
    </row>
    <row r="212" spans="10:10" x14ac:dyDescent="0.25">
      <c r="J212" s="18"/>
    </row>
    <row r="213" spans="10:10" x14ac:dyDescent="0.25">
      <c r="J213" s="18"/>
    </row>
    <row r="214" spans="10:10" x14ac:dyDescent="0.25">
      <c r="J214" s="18"/>
    </row>
    <row r="215" spans="10:10" x14ac:dyDescent="0.25">
      <c r="J215" s="18"/>
    </row>
    <row r="216" spans="10:10" x14ac:dyDescent="0.25">
      <c r="J216" s="18"/>
    </row>
    <row r="217" spans="10:10" x14ac:dyDescent="0.25">
      <c r="J217" s="18"/>
    </row>
    <row r="218" spans="10:10" x14ac:dyDescent="0.25">
      <c r="J218" s="18"/>
    </row>
    <row r="219" spans="10:10" x14ac:dyDescent="0.25">
      <c r="J219" s="18"/>
    </row>
    <row r="220" spans="10:10" x14ac:dyDescent="0.25">
      <c r="J220" s="18"/>
    </row>
    <row r="221" spans="10:10" x14ac:dyDescent="0.25">
      <c r="J221" s="18"/>
    </row>
    <row r="222" spans="10:10" x14ac:dyDescent="0.25">
      <c r="J222" s="18"/>
    </row>
    <row r="223" spans="10:10" x14ac:dyDescent="0.25">
      <c r="J223" s="18"/>
    </row>
    <row r="224" spans="10:10" x14ac:dyDescent="0.25">
      <c r="J224" s="18"/>
    </row>
    <row r="225" spans="10:10" x14ac:dyDescent="0.25">
      <c r="J225" s="18"/>
    </row>
    <row r="226" spans="10:10" x14ac:dyDescent="0.25">
      <c r="J226" s="18"/>
    </row>
    <row r="227" spans="10:10" x14ac:dyDescent="0.25">
      <c r="J227" s="18"/>
    </row>
    <row r="228" spans="10:10" x14ac:dyDescent="0.25">
      <c r="J228" s="18"/>
    </row>
    <row r="229" spans="10:10" x14ac:dyDescent="0.25">
      <c r="J229" s="18"/>
    </row>
    <row r="230" spans="10:10" x14ac:dyDescent="0.25">
      <c r="J230" s="18"/>
    </row>
    <row r="231" spans="10:10" x14ac:dyDescent="0.25">
      <c r="J231" s="18"/>
    </row>
    <row r="232" spans="10:10" x14ac:dyDescent="0.25">
      <c r="J232" s="18"/>
    </row>
    <row r="233" spans="10:10" x14ac:dyDescent="0.25">
      <c r="J233" s="18"/>
    </row>
    <row r="234" spans="10:10" x14ac:dyDescent="0.25">
      <c r="J234" s="18"/>
    </row>
    <row r="235" spans="10:10" x14ac:dyDescent="0.25">
      <c r="J235" s="18"/>
    </row>
    <row r="236" spans="10:10" x14ac:dyDescent="0.25">
      <c r="J236" s="18"/>
    </row>
    <row r="237" spans="10:10" x14ac:dyDescent="0.25">
      <c r="J237" s="18"/>
    </row>
    <row r="238" spans="10:10" x14ac:dyDescent="0.25">
      <c r="J238" s="18"/>
    </row>
    <row r="239" spans="10:10" x14ac:dyDescent="0.25">
      <c r="J239" s="18"/>
    </row>
    <row r="240" spans="10:10" x14ac:dyDescent="0.25">
      <c r="J240" s="18"/>
    </row>
    <row r="241" spans="10:10" x14ac:dyDescent="0.25">
      <c r="J241" s="18"/>
    </row>
    <row r="242" spans="10:10" x14ac:dyDescent="0.25">
      <c r="J242" s="1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4"/>
  <sheetViews>
    <sheetView topLeftCell="A22" workbookViewId="0">
      <selection activeCell="A49" sqref="A49:XFD49"/>
    </sheetView>
  </sheetViews>
  <sheetFormatPr defaultRowHeight="16.5" x14ac:dyDescent="0.25"/>
  <cols>
    <col min="1" max="1" width="15.625" customWidth="1"/>
    <col min="2" max="6" width="10.625" customWidth="1"/>
    <col min="7" max="7" width="10.625" style="1" customWidth="1"/>
    <col min="8" max="10" width="10.625" customWidth="1"/>
    <col min="11" max="12" width="10.625" style="2" customWidth="1"/>
    <col min="13" max="14" width="9" style="2"/>
  </cols>
  <sheetData>
    <row r="1" spans="1:13" ht="21" x14ac:dyDescent="0.25">
      <c r="A1" s="25" t="s">
        <v>605</v>
      </c>
      <c r="B1" s="25"/>
      <c r="C1" s="25"/>
      <c r="D1" s="25"/>
      <c r="E1" s="25"/>
      <c r="F1" s="25"/>
      <c r="G1" s="31"/>
      <c r="H1" s="25"/>
    </row>
    <row r="5" spans="1:13" ht="17.25" thickBot="1" x14ac:dyDescent="0.3"/>
    <row r="6" spans="1:13" x14ac:dyDescent="0.25">
      <c r="A6" t="s">
        <v>0</v>
      </c>
      <c r="B6" s="2" t="s">
        <v>443</v>
      </c>
      <c r="C6" s="2" t="s">
        <v>454</v>
      </c>
      <c r="D6" s="2" t="s">
        <v>646</v>
      </c>
      <c r="E6" s="2" t="s">
        <v>645</v>
      </c>
      <c r="F6" s="28" t="s">
        <v>647</v>
      </c>
      <c r="G6" s="33" t="s">
        <v>648</v>
      </c>
      <c r="I6" s="54" t="s">
        <v>597</v>
      </c>
      <c r="J6" s="55" t="s">
        <v>442</v>
      </c>
      <c r="K6" s="37" t="s">
        <v>975</v>
      </c>
      <c r="L6" s="37" t="s">
        <v>775</v>
      </c>
      <c r="M6" s="56" t="s">
        <v>777</v>
      </c>
    </row>
    <row r="7" spans="1:13" x14ac:dyDescent="0.25">
      <c r="A7" t="s">
        <v>299</v>
      </c>
      <c r="B7" s="2">
        <v>3</v>
      </c>
      <c r="C7" s="47">
        <v>70</v>
      </c>
      <c r="D7" s="2">
        <v>60</v>
      </c>
      <c r="E7" s="2">
        <f>C7+D7</f>
        <v>130</v>
      </c>
      <c r="F7" s="19">
        <f>M7</f>
        <v>1.54</v>
      </c>
      <c r="G7" s="21">
        <f>F7</f>
        <v>1.54</v>
      </c>
      <c r="I7" s="57" t="s">
        <v>607</v>
      </c>
      <c r="J7" s="58" t="s">
        <v>598</v>
      </c>
      <c r="K7" s="51">
        <v>1.4</v>
      </c>
      <c r="L7" s="40">
        <v>1.1000000000000001</v>
      </c>
      <c r="M7" s="45">
        <f>L7*K7</f>
        <v>1.54</v>
      </c>
    </row>
    <row r="8" spans="1:13" x14ac:dyDescent="0.25">
      <c r="A8" t="s">
        <v>187</v>
      </c>
      <c r="B8" s="2">
        <v>3</v>
      </c>
      <c r="C8" s="47">
        <v>70</v>
      </c>
      <c r="D8" s="2">
        <v>75</v>
      </c>
      <c r="E8" s="2">
        <f t="shared" ref="E8:E63" si="0">C8+D8</f>
        <v>145</v>
      </c>
      <c r="F8" s="19">
        <f>M7</f>
        <v>1.54</v>
      </c>
      <c r="G8" s="21">
        <f t="shared" ref="G8:G63" si="1">F8</f>
        <v>1.54</v>
      </c>
      <c r="I8" s="57" t="s">
        <v>607</v>
      </c>
      <c r="J8" s="58" t="s">
        <v>599</v>
      </c>
      <c r="K8" s="51">
        <v>1.5</v>
      </c>
      <c r="L8" s="40">
        <v>1.1000000000000001</v>
      </c>
      <c r="M8" s="45">
        <f t="shared" ref="M8:M16" si="2">L8*K8</f>
        <v>1.6500000000000001</v>
      </c>
    </row>
    <row r="9" spans="1:13" x14ac:dyDescent="0.25">
      <c r="A9" t="s">
        <v>189</v>
      </c>
      <c r="B9" s="2">
        <v>3</v>
      </c>
      <c r="C9" s="47">
        <v>70</v>
      </c>
      <c r="D9" s="2">
        <v>100</v>
      </c>
      <c r="E9" s="2">
        <f t="shared" si="0"/>
        <v>170</v>
      </c>
      <c r="F9" s="19">
        <f>K7</f>
        <v>1.4</v>
      </c>
      <c r="G9" s="21">
        <f t="shared" si="1"/>
        <v>1.4</v>
      </c>
      <c r="I9" s="57" t="s">
        <v>607</v>
      </c>
      <c r="J9" s="58" t="s">
        <v>600</v>
      </c>
      <c r="K9" s="51">
        <v>2.1</v>
      </c>
      <c r="L9" s="40">
        <v>1.1000000000000001</v>
      </c>
      <c r="M9" s="45">
        <f t="shared" si="2"/>
        <v>2.3100000000000005</v>
      </c>
    </row>
    <row r="10" spans="1:13" x14ac:dyDescent="0.25">
      <c r="A10" t="s">
        <v>191</v>
      </c>
      <c r="B10" s="2">
        <v>3</v>
      </c>
      <c r="C10" s="47">
        <v>70</v>
      </c>
      <c r="D10" s="2">
        <v>125</v>
      </c>
      <c r="E10" s="2">
        <f t="shared" si="0"/>
        <v>195</v>
      </c>
      <c r="F10" s="19">
        <f>M8</f>
        <v>1.6500000000000001</v>
      </c>
      <c r="G10" s="21">
        <f t="shared" si="1"/>
        <v>1.6500000000000001</v>
      </c>
      <c r="I10" s="57" t="s">
        <v>607</v>
      </c>
      <c r="J10" s="58" t="s">
        <v>601</v>
      </c>
      <c r="K10" s="51">
        <v>4</v>
      </c>
      <c r="L10" s="40">
        <v>1.1000000000000001</v>
      </c>
      <c r="M10" s="45">
        <f t="shared" si="2"/>
        <v>4.4000000000000004</v>
      </c>
    </row>
    <row r="11" spans="1:13" x14ac:dyDescent="0.25">
      <c r="A11" t="s">
        <v>193</v>
      </c>
      <c r="B11" s="2">
        <v>3</v>
      </c>
      <c r="C11" s="47">
        <v>70</v>
      </c>
      <c r="D11" s="2">
        <v>150</v>
      </c>
      <c r="E11" s="2">
        <f t="shared" si="0"/>
        <v>220</v>
      </c>
      <c r="F11" s="19">
        <f>M8</f>
        <v>1.6500000000000001</v>
      </c>
      <c r="G11" s="21">
        <f t="shared" si="1"/>
        <v>1.6500000000000001</v>
      </c>
      <c r="I11" s="57" t="s">
        <v>492</v>
      </c>
      <c r="J11" s="58" t="s">
        <v>602</v>
      </c>
      <c r="K11" s="51">
        <v>1.4</v>
      </c>
      <c r="L11" s="40">
        <v>1.1000000000000001</v>
      </c>
      <c r="M11" s="45">
        <f t="shared" si="2"/>
        <v>1.54</v>
      </c>
    </row>
    <row r="12" spans="1:13" x14ac:dyDescent="0.25">
      <c r="A12" t="s">
        <v>195</v>
      </c>
      <c r="B12" s="2">
        <v>3</v>
      </c>
      <c r="C12" s="47">
        <v>70</v>
      </c>
      <c r="D12" s="2">
        <v>200</v>
      </c>
      <c r="E12" s="2">
        <f t="shared" si="0"/>
        <v>270</v>
      </c>
      <c r="F12" s="19">
        <f>M8</f>
        <v>1.6500000000000001</v>
      </c>
      <c r="G12" s="21">
        <f t="shared" si="1"/>
        <v>1.6500000000000001</v>
      </c>
      <c r="I12" s="57" t="s">
        <v>492</v>
      </c>
      <c r="J12" s="58" t="s">
        <v>603</v>
      </c>
      <c r="K12" s="51">
        <v>2.1</v>
      </c>
      <c r="L12" s="40">
        <v>1.1000000000000001</v>
      </c>
      <c r="M12" s="45">
        <f t="shared" si="2"/>
        <v>2.3100000000000005</v>
      </c>
    </row>
    <row r="13" spans="1:13" x14ac:dyDescent="0.25">
      <c r="A13" t="s">
        <v>199</v>
      </c>
      <c r="B13" s="2">
        <v>3</v>
      </c>
      <c r="C13" s="47">
        <v>70</v>
      </c>
      <c r="D13" s="2">
        <v>250</v>
      </c>
      <c r="E13" s="2">
        <f t="shared" si="0"/>
        <v>320</v>
      </c>
      <c r="F13" s="19">
        <f>M9</f>
        <v>2.3100000000000005</v>
      </c>
      <c r="G13" s="21">
        <f t="shared" si="1"/>
        <v>2.3100000000000005</v>
      </c>
      <c r="I13" s="57" t="s">
        <v>492</v>
      </c>
      <c r="J13" s="58" t="s">
        <v>604</v>
      </c>
      <c r="K13" s="51">
        <v>4</v>
      </c>
      <c r="L13" s="40">
        <v>1.1000000000000001</v>
      </c>
      <c r="M13" s="45">
        <f t="shared" si="2"/>
        <v>4.4000000000000004</v>
      </c>
    </row>
    <row r="14" spans="1:13" x14ac:dyDescent="0.25">
      <c r="A14" t="s">
        <v>197</v>
      </c>
      <c r="B14" s="2">
        <v>3</v>
      </c>
      <c r="C14" s="47">
        <v>70</v>
      </c>
      <c r="D14" s="2">
        <v>300</v>
      </c>
      <c r="E14" s="2">
        <f t="shared" si="0"/>
        <v>370</v>
      </c>
      <c r="F14" s="19">
        <f>M9</f>
        <v>2.3100000000000005</v>
      </c>
      <c r="G14" s="21">
        <f t="shared" si="1"/>
        <v>2.3100000000000005</v>
      </c>
      <c r="I14" s="57" t="s">
        <v>608</v>
      </c>
      <c r="J14" s="58" t="s">
        <v>602</v>
      </c>
      <c r="K14" s="51">
        <v>1.6</v>
      </c>
      <c r="L14" s="40">
        <v>1.1000000000000001</v>
      </c>
      <c r="M14" s="45">
        <f t="shared" si="2"/>
        <v>1.7600000000000002</v>
      </c>
    </row>
    <row r="15" spans="1:13" x14ac:dyDescent="0.25">
      <c r="A15" t="s">
        <v>201</v>
      </c>
      <c r="B15" s="2">
        <v>4</v>
      </c>
      <c r="C15" s="47">
        <v>70</v>
      </c>
      <c r="D15" s="2">
        <v>80</v>
      </c>
      <c r="E15" s="2">
        <f t="shared" si="0"/>
        <v>150</v>
      </c>
      <c r="F15" s="19">
        <f>M7</f>
        <v>1.54</v>
      </c>
      <c r="G15" s="21">
        <f t="shared" si="1"/>
        <v>1.54</v>
      </c>
      <c r="I15" s="57" t="s">
        <v>608</v>
      </c>
      <c r="J15" s="58" t="s">
        <v>603</v>
      </c>
      <c r="K15" s="51">
        <v>2.2000000000000002</v>
      </c>
      <c r="L15" s="40">
        <v>1.1000000000000001</v>
      </c>
      <c r="M15" s="45">
        <f t="shared" si="2"/>
        <v>2.4200000000000004</v>
      </c>
    </row>
    <row r="16" spans="1:13" x14ac:dyDescent="0.25">
      <c r="A16" t="s">
        <v>203</v>
      </c>
      <c r="B16" s="2">
        <v>4</v>
      </c>
      <c r="C16" s="47">
        <v>70</v>
      </c>
      <c r="D16" s="2">
        <v>100</v>
      </c>
      <c r="E16" s="2">
        <f t="shared" si="0"/>
        <v>170</v>
      </c>
      <c r="F16" s="19">
        <f>K7</f>
        <v>1.4</v>
      </c>
      <c r="G16" s="21">
        <f t="shared" si="1"/>
        <v>1.4</v>
      </c>
      <c r="I16" s="57" t="s">
        <v>608</v>
      </c>
      <c r="J16" s="58" t="s">
        <v>604</v>
      </c>
      <c r="K16" s="51">
        <v>4</v>
      </c>
      <c r="L16" s="40">
        <v>1.1000000000000001</v>
      </c>
      <c r="M16" s="45">
        <f t="shared" si="2"/>
        <v>4.4000000000000004</v>
      </c>
    </row>
    <row r="17" spans="1:13" x14ac:dyDescent="0.25">
      <c r="A17" t="s">
        <v>205</v>
      </c>
      <c r="B17" s="2">
        <v>4</v>
      </c>
      <c r="C17" s="47">
        <v>70</v>
      </c>
      <c r="D17" s="2">
        <v>125</v>
      </c>
      <c r="E17" s="2">
        <f t="shared" si="0"/>
        <v>195</v>
      </c>
      <c r="F17" s="19">
        <f>M8</f>
        <v>1.6500000000000001</v>
      </c>
      <c r="G17" s="21">
        <f t="shared" si="1"/>
        <v>1.6500000000000001</v>
      </c>
      <c r="I17" s="57"/>
      <c r="J17" s="58"/>
      <c r="K17" s="40"/>
      <c r="L17" s="40"/>
      <c r="M17" s="41"/>
    </row>
    <row r="18" spans="1:13" x14ac:dyDescent="0.25">
      <c r="A18" t="s">
        <v>207</v>
      </c>
      <c r="B18" s="2">
        <v>4</v>
      </c>
      <c r="C18" s="47">
        <v>70</v>
      </c>
      <c r="D18" s="2">
        <v>150</v>
      </c>
      <c r="E18" s="2">
        <f t="shared" si="0"/>
        <v>220</v>
      </c>
      <c r="F18" s="19">
        <f>M8</f>
        <v>1.6500000000000001</v>
      </c>
      <c r="G18" s="21">
        <f t="shared" si="1"/>
        <v>1.6500000000000001</v>
      </c>
      <c r="I18" s="57"/>
      <c r="J18" s="58"/>
      <c r="K18" s="40"/>
      <c r="L18" s="40"/>
      <c r="M18" s="41"/>
    </row>
    <row r="19" spans="1:13" x14ac:dyDescent="0.25">
      <c r="A19" t="s">
        <v>209</v>
      </c>
      <c r="B19" s="2">
        <v>4</v>
      </c>
      <c r="C19" s="47">
        <v>70</v>
      </c>
      <c r="D19" s="2">
        <v>200</v>
      </c>
      <c r="E19" s="2">
        <f t="shared" si="0"/>
        <v>270</v>
      </c>
      <c r="F19" s="19">
        <f>M8</f>
        <v>1.6500000000000001</v>
      </c>
      <c r="G19" s="21">
        <f t="shared" si="1"/>
        <v>1.6500000000000001</v>
      </c>
      <c r="I19" s="57" t="s">
        <v>606</v>
      </c>
      <c r="J19" s="58"/>
      <c r="K19" s="40"/>
      <c r="L19" s="40"/>
      <c r="M19" s="41"/>
    </row>
    <row r="20" spans="1:13" x14ac:dyDescent="0.25">
      <c r="A20" t="s">
        <v>217</v>
      </c>
      <c r="B20" s="2">
        <v>4</v>
      </c>
      <c r="C20" s="47">
        <v>70</v>
      </c>
      <c r="D20" s="2">
        <v>250</v>
      </c>
      <c r="E20" s="2">
        <f t="shared" si="0"/>
        <v>320</v>
      </c>
      <c r="F20" s="19">
        <f>M9</f>
        <v>2.3100000000000005</v>
      </c>
      <c r="G20" s="21">
        <f t="shared" si="1"/>
        <v>2.3100000000000005</v>
      </c>
      <c r="I20" s="57" t="s">
        <v>597</v>
      </c>
      <c r="J20" s="58" t="s">
        <v>442</v>
      </c>
      <c r="K20" s="51"/>
      <c r="L20" s="40"/>
      <c r="M20" s="45"/>
    </row>
    <row r="21" spans="1:13" x14ac:dyDescent="0.25">
      <c r="A21" t="s">
        <v>211</v>
      </c>
      <c r="B21" s="2">
        <v>4</v>
      </c>
      <c r="C21" s="47">
        <v>70</v>
      </c>
      <c r="D21" s="2">
        <v>300</v>
      </c>
      <c r="E21" s="2">
        <f t="shared" si="0"/>
        <v>370</v>
      </c>
      <c r="F21" s="19">
        <f>M9</f>
        <v>2.3100000000000005</v>
      </c>
      <c r="G21" s="21">
        <f t="shared" si="1"/>
        <v>2.3100000000000005</v>
      </c>
      <c r="I21" s="57" t="s">
        <v>620</v>
      </c>
      <c r="J21" s="58" t="s">
        <v>609</v>
      </c>
      <c r="K21" s="51">
        <v>1.35</v>
      </c>
      <c r="L21" s="40">
        <v>1.1000000000000001</v>
      </c>
      <c r="M21" s="45">
        <f t="shared" ref="M21:M45" si="3">L21*K21</f>
        <v>1.4850000000000003</v>
      </c>
    </row>
    <row r="22" spans="1:13" x14ac:dyDescent="0.25">
      <c r="A22" t="s">
        <v>213</v>
      </c>
      <c r="B22" s="2">
        <v>4</v>
      </c>
      <c r="C22" s="47">
        <v>70</v>
      </c>
      <c r="D22" s="2">
        <v>350</v>
      </c>
      <c r="E22" s="2">
        <f t="shared" si="0"/>
        <v>420</v>
      </c>
      <c r="F22" s="19">
        <f>M9</f>
        <v>2.3100000000000005</v>
      </c>
      <c r="G22" s="21">
        <f t="shared" si="1"/>
        <v>2.3100000000000005</v>
      </c>
      <c r="I22" s="57" t="s">
        <v>619</v>
      </c>
      <c r="J22" s="58" t="s">
        <v>610</v>
      </c>
      <c r="K22" s="51">
        <v>1.35</v>
      </c>
      <c r="L22" s="40">
        <v>1.1000000000000001</v>
      </c>
      <c r="M22" s="45">
        <f t="shared" si="3"/>
        <v>1.4850000000000003</v>
      </c>
    </row>
    <row r="23" spans="1:13" x14ac:dyDescent="0.25">
      <c r="A23" t="s">
        <v>215</v>
      </c>
      <c r="B23" s="2">
        <v>4</v>
      </c>
      <c r="C23" s="47">
        <v>70</v>
      </c>
      <c r="D23" s="2">
        <v>400</v>
      </c>
      <c r="E23" s="2">
        <f t="shared" si="0"/>
        <v>470</v>
      </c>
      <c r="F23" s="19">
        <f>M10</f>
        <v>4.4000000000000004</v>
      </c>
      <c r="G23" s="21">
        <f t="shared" si="1"/>
        <v>4.4000000000000004</v>
      </c>
      <c r="I23" s="57" t="s">
        <v>621</v>
      </c>
      <c r="J23" s="58" t="s">
        <v>611</v>
      </c>
      <c r="K23" s="51">
        <v>2</v>
      </c>
      <c r="L23" s="40">
        <v>1.1000000000000001</v>
      </c>
      <c r="M23" s="45">
        <f t="shared" si="3"/>
        <v>2.2000000000000002</v>
      </c>
    </row>
    <row r="24" spans="1:13" x14ac:dyDescent="0.25">
      <c r="A24" t="s">
        <v>219</v>
      </c>
      <c r="B24" s="2">
        <v>4</v>
      </c>
      <c r="C24" s="47">
        <v>70</v>
      </c>
      <c r="D24" s="2">
        <v>500</v>
      </c>
      <c r="E24" s="2">
        <f t="shared" si="0"/>
        <v>570</v>
      </c>
      <c r="F24" s="19">
        <f>M10</f>
        <v>4.4000000000000004</v>
      </c>
      <c r="G24" s="21">
        <f t="shared" si="1"/>
        <v>4.4000000000000004</v>
      </c>
      <c r="I24" s="57" t="s">
        <v>622</v>
      </c>
      <c r="J24" s="58" t="s">
        <v>612</v>
      </c>
      <c r="K24" s="51">
        <v>1.35</v>
      </c>
      <c r="L24" s="40">
        <v>1.1000000000000001</v>
      </c>
      <c r="M24" s="45">
        <f t="shared" si="3"/>
        <v>1.4850000000000003</v>
      </c>
    </row>
    <row r="25" spans="1:13" x14ac:dyDescent="0.25">
      <c r="A25" t="s">
        <v>295</v>
      </c>
      <c r="B25" s="2">
        <v>5</v>
      </c>
      <c r="C25" s="47">
        <v>55</v>
      </c>
      <c r="D25" s="2">
        <v>38</v>
      </c>
      <c r="E25" s="2">
        <f t="shared" si="0"/>
        <v>93</v>
      </c>
      <c r="F25" s="19">
        <f>M7</f>
        <v>1.54</v>
      </c>
      <c r="G25" s="21">
        <f t="shared" si="1"/>
        <v>1.54</v>
      </c>
      <c r="I25" s="57" t="s">
        <v>622</v>
      </c>
      <c r="J25" s="58" t="s">
        <v>613</v>
      </c>
      <c r="K25" s="51">
        <v>2.5</v>
      </c>
      <c r="L25" s="40">
        <v>1.1000000000000001</v>
      </c>
      <c r="M25" s="45">
        <f t="shared" si="3"/>
        <v>2.75</v>
      </c>
    </row>
    <row r="26" spans="1:13" x14ac:dyDescent="0.25">
      <c r="A26" t="s">
        <v>221</v>
      </c>
      <c r="B26" s="2">
        <v>5</v>
      </c>
      <c r="C26" s="47">
        <v>70</v>
      </c>
      <c r="D26" s="2">
        <v>80</v>
      </c>
      <c r="E26" s="2">
        <f t="shared" si="0"/>
        <v>150</v>
      </c>
      <c r="F26" s="19">
        <f>M7</f>
        <v>1.54</v>
      </c>
      <c r="G26" s="21">
        <f t="shared" si="1"/>
        <v>1.54</v>
      </c>
      <c r="I26" s="57" t="s">
        <v>622</v>
      </c>
      <c r="J26" s="58" t="s">
        <v>614</v>
      </c>
      <c r="K26" s="51">
        <v>4</v>
      </c>
      <c r="L26" s="40">
        <v>1.1000000000000001</v>
      </c>
      <c r="M26" s="45">
        <f t="shared" si="3"/>
        <v>4.4000000000000004</v>
      </c>
    </row>
    <row r="27" spans="1:13" x14ac:dyDescent="0.25">
      <c r="A27" t="s">
        <v>223</v>
      </c>
      <c r="B27" s="2">
        <v>5</v>
      </c>
      <c r="C27" s="47">
        <v>70</v>
      </c>
      <c r="D27" s="2">
        <v>100</v>
      </c>
      <c r="E27" s="2">
        <f t="shared" si="0"/>
        <v>170</v>
      </c>
      <c r="F27" s="19">
        <f>K7</f>
        <v>1.4</v>
      </c>
      <c r="G27" s="21">
        <f t="shared" si="1"/>
        <v>1.4</v>
      </c>
      <c r="I27" s="57" t="s">
        <v>623</v>
      </c>
      <c r="J27" s="58" t="s">
        <v>615</v>
      </c>
      <c r="K27" s="51">
        <v>2.1</v>
      </c>
      <c r="L27" s="40">
        <v>1.1000000000000001</v>
      </c>
      <c r="M27" s="45">
        <f t="shared" si="3"/>
        <v>2.3100000000000005</v>
      </c>
    </row>
    <row r="28" spans="1:13" x14ac:dyDescent="0.25">
      <c r="A28" t="s">
        <v>225</v>
      </c>
      <c r="B28" s="2">
        <v>5</v>
      </c>
      <c r="C28" s="47">
        <v>70</v>
      </c>
      <c r="D28" s="2">
        <v>125</v>
      </c>
      <c r="E28" s="2">
        <f t="shared" si="0"/>
        <v>195</v>
      </c>
      <c r="F28" s="19">
        <f>M8</f>
        <v>1.6500000000000001</v>
      </c>
      <c r="G28" s="21">
        <f t="shared" si="1"/>
        <v>1.6500000000000001</v>
      </c>
      <c r="I28" s="57" t="s">
        <v>623</v>
      </c>
      <c r="J28" s="58" t="s">
        <v>616</v>
      </c>
      <c r="K28" s="51">
        <v>2.5</v>
      </c>
      <c r="L28" s="40">
        <v>1.1000000000000001</v>
      </c>
      <c r="M28" s="45">
        <f t="shared" si="3"/>
        <v>2.75</v>
      </c>
    </row>
    <row r="29" spans="1:13" x14ac:dyDescent="0.25">
      <c r="A29" t="s">
        <v>227</v>
      </c>
      <c r="B29" s="2">
        <v>5</v>
      </c>
      <c r="C29" s="47">
        <v>70</v>
      </c>
      <c r="D29" s="2">
        <v>150</v>
      </c>
      <c r="E29" s="2">
        <f t="shared" si="0"/>
        <v>220</v>
      </c>
      <c r="F29" s="19">
        <f>M8</f>
        <v>1.6500000000000001</v>
      </c>
      <c r="G29" s="21">
        <f t="shared" si="1"/>
        <v>1.6500000000000001</v>
      </c>
      <c r="I29" s="57" t="s">
        <v>623</v>
      </c>
      <c r="J29" s="58" t="s">
        <v>617</v>
      </c>
      <c r="K29" s="51">
        <v>3.5</v>
      </c>
      <c r="L29" s="40">
        <v>1.1000000000000001</v>
      </c>
      <c r="M29" s="45">
        <f t="shared" si="3"/>
        <v>3.8500000000000005</v>
      </c>
    </row>
    <row r="30" spans="1:13" x14ac:dyDescent="0.25">
      <c r="A30" t="s">
        <v>229</v>
      </c>
      <c r="B30" s="2">
        <v>5</v>
      </c>
      <c r="C30" s="47">
        <v>70</v>
      </c>
      <c r="D30" s="2">
        <v>200</v>
      </c>
      <c r="E30" s="2">
        <f t="shared" si="0"/>
        <v>270</v>
      </c>
      <c r="F30" s="19">
        <f>M8</f>
        <v>1.6500000000000001</v>
      </c>
      <c r="G30" s="21">
        <f t="shared" si="1"/>
        <v>1.6500000000000001</v>
      </c>
      <c r="I30" s="57" t="s">
        <v>623</v>
      </c>
      <c r="J30" s="58" t="s">
        <v>618</v>
      </c>
      <c r="K30" s="51">
        <v>4.5</v>
      </c>
      <c r="L30" s="40">
        <v>1.1000000000000001</v>
      </c>
      <c r="M30" s="45">
        <f t="shared" si="3"/>
        <v>4.95</v>
      </c>
    </row>
    <row r="31" spans="1:13" x14ac:dyDescent="0.25">
      <c r="A31" t="s">
        <v>231</v>
      </c>
      <c r="B31" s="2">
        <v>5</v>
      </c>
      <c r="C31" s="47">
        <v>70</v>
      </c>
      <c r="D31" s="2">
        <v>250</v>
      </c>
      <c r="E31" s="2">
        <f t="shared" si="0"/>
        <v>320</v>
      </c>
      <c r="F31" s="19">
        <f>M9</f>
        <v>2.3100000000000005</v>
      </c>
      <c r="G31" s="21">
        <f t="shared" si="1"/>
        <v>2.3100000000000005</v>
      </c>
      <c r="I31" s="57" t="s">
        <v>624</v>
      </c>
      <c r="J31" s="58" t="s">
        <v>626</v>
      </c>
      <c r="K31" s="51">
        <v>3</v>
      </c>
      <c r="L31" s="40">
        <v>1.1000000000000001</v>
      </c>
      <c r="M31" s="45">
        <f t="shared" si="3"/>
        <v>3.3000000000000003</v>
      </c>
    </row>
    <row r="32" spans="1:13" x14ac:dyDescent="0.25">
      <c r="A32" t="s">
        <v>233</v>
      </c>
      <c r="B32" s="2">
        <v>5</v>
      </c>
      <c r="C32" s="47">
        <v>70</v>
      </c>
      <c r="D32" s="2">
        <v>300</v>
      </c>
      <c r="E32" s="2">
        <f t="shared" si="0"/>
        <v>370</v>
      </c>
      <c r="F32" s="19">
        <f>M9</f>
        <v>2.3100000000000005</v>
      </c>
      <c r="G32" s="21">
        <f t="shared" si="1"/>
        <v>2.3100000000000005</v>
      </c>
      <c r="I32" s="57" t="s">
        <v>624</v>
      </c>
      <c r="J32" s="58" t="s">
        <v>627</v>
      </c>
      <c r="K32" s="51">
        <v>4</v>
      </c>
      <c r="L32" s="40">
        <v>1.1000000000000001</v>
      </c>
      <c r="M32" s="45">
        <f t="shared" si="3"/>
        <v>4.4000000000000004</v>
      </c>
    </row>
    <row r="33" spans="1:13" x14ac:dyDescent="0.25">
      <c r="A33" t="s">
        <v>235</v>
      </c>
      <c r="B33" s="2">
        <v>5</v>
      </c>
      <c r="C33" s="47">
        <v>70</v>
      </c>
      <c r="D33" s="2">
        <v>350</v>
      </c>
      <c r="E33" s="2">
        <f t="shared" si="0"/>
        <v>420</v>
      </c>
      <c r="F33" s="19">
        <f>M9</f>
        <v>2.3100000000000005</v>
      </c>
      <c r="G33" s="21">
        <f t="shared" si="1"/>
        <v>2.3100000000000005</v>
      </c>
      <c r="I33" s="57" t="s">
        <v>625</v>
      </c>
      <c r="J33" s="58" t="s">
        <v>628</v>
      </c>
      <c r="K33" s="51">
        <v>5.5</v>
      </c>
      <c r="L33" s="40">
        <v>1.1000000000000001</v>
      </c>
      <c r="M33" s="45">
        <f t="shared" si="3"/>
        <v>6.0500000000000007</v>
      </c>
    </row>
    <row r="34" spans="1:13" x14ac:dyDescent="0.25">
      <c r="A34" t="s">
        <v>237</v>
      </c>
      <c r="B34" s="2">
        <v>5</v>
      </c>
      <c r="C34" s="47">
        <v>70</v>
      </c>
      <c r="D34" s="2">
        <v>400</v>
      </c>
      <c r="E34" s="2">
        <f t="shared" si="0"/>
        <v>470</v>
      </c>
      <c r="F34" s="19">
        <f>M10</f>
        <v>4.4000000000000004</v>
      </c>
      <c r="G34" s="21">
        <f t="shared" si="1"/>
        <v>4.4000000000000004</v>
      </c>
      <c r="I34" s="57" t="s">
        <v>629</v>
      </c>
      <c r="J34" s="58" t="s">
        <v>631</v>
      </c>
      <c r="K34" s="51">
        <v>0.7</v>
      </c>
      <c r="L34" s="40">
        <v>1.1000000000000001</v>
      </c>
      <c r="M34" s="45">
        <f t="shared" si="3"/>
        <v>0.77</v>
      </c>
    </row>
    <row r="35" spans="1:13" x14ac:dyDescent="0.25">
      <c r="A35" t="s">
        <v>239</v>
      </c>
      <c r="B35" s="2">
        <v>5</v>
      </c>
      <c r="C35" s="47">
        <v>70</v>
      </c>
      <c r="D35" s="2">
        <v>500</v>
      </c>
      <c r="E35" s="2">
        <f t="shared" si="0"/>
        <v>570</v>
      </c>
      <c r="F35" s="19">
        <f>M10</f>
        <v>4.4000000000000004</v>
      </c>
      <c r="G35" s="21">
        <f t="shared" si="1"/>
        <v>4.4000000000000004</v>
      </c>
      <c r="I35" s="57" t="s">
        <v>630</v>
      </c>
      <c r="J35" s="58" t="s">
        <v>632</v>
      </c>
      <c r="K35" s="51">
        <v>0.85</v>
      </c>
      <c r="L35" s="40">
        <v>1.1000000000000001</v>
      </c>
      <c r="M35" s="45">
        <f t="shared" si="3"/>
        <v>0.93500000000000005</v>
      </c>
    </row>
    <row r="36" spans="1:13" x14ac:dyDescent="0.25">
      <c r="A36" t="s">
        <v>297</v>
      </c>
      <c r="B36" s="2">
        <v>6</v>
      </c>
      <c r="C36" s="47">
        <v>55</v>
      </c>
      <c r="D36" s="2">
        <v>38</v>
      </c>
      <c r="E36" s="2">
        <f t="shared" si="0"/>
        <v>93</v>
      </c>
      <c r="F36" s="19">
        <f>M11</f>
        <v>1.54</v>
      </c>
      <c r="G36" s="21">
        <f t="shared" si="1"/>
        <v>1.54</v>
      </c>
      <c r="I36" s="57" t="s">
        <v>630</v>
      </c>
      <c r="J36" s="58" t="s">
        <v>633</v>
      </c>
      <c r="K36" s="51">
        <v>1.05</v>
      </c>
      <c r="L36" s="40">
        <v>1.1000000000000001</v>
      </c>
      <c r="M36" s="45">
        <f t="shared" si="3"/>
        <v>1.1550000000000002</v>
      </c>
    </row>
    <row r="37" spans="1:13" x14ac:dyDescent="0.25">
      <c r="A37" t="s">
        <v>241</v>
      </c>
      <c r="B37" s="2">
        <v>6</v>
      </c>
      <c r="C37" s="47">
        <v>90</v>
      </c>
      <c r="D37" s="2">
        <v>100</v>
      </c>
      <c r="E37" s="2">
        <f t="shared" si="0"/>
        <v>190</v>
      </c>
      <c r="F37" s="19">
        <f>M11</f>
        <v>1.54</v>
      </c>
      <c r="G37" s="21">
        <f t="shared" si="1"/>
        <v>1.54</v>
      </c>
      <c r="I37" s="57" t="s">
        <v>630</v>
      </c>
      <c r="J37" s="58" t="s">
        <v>634</v>
      </c>
      <c r="K37" s="51">
        <v>1.75</v>
      </c>
      <c r="L37" s="40">
        <v>1.1000000000000001</v>
      </c>
      <c r="M37" s="45">
        <f t="shared" si="3"/>
        <v>1.9250000000000003</v>
      </c>
    </row>
    <row r="38" spans="1:13" x14ac:dyDescent="0.25">
      <c r="A38" t="s">
        <v>243</v>
      </c>
      <c r="B38" s="2">
        <v>6</v>
      </c>
      <c r="C38" s="47">
        <v>90</v>
      </c>
      <c r="D38" s="2">
        <v>125</v>
      </c>
      <c r="E38" s="2">
        <f t="shared" si="0"/>
        <v>215</v>
      </c>
      <c r="F38" s="19">
        <f>M11</f>
        <v>1.54</v>
      </c>
      <c r="G38" s="21">
        <f t="shared" si="1"/>
        <v>1.54</v>
      </c>
      <c r="I38" s="57" t="s">
        <v>635</v>
      </c>
      <c r="J38" s="58" t="s">
        <v>636</v>
      </c>
      <c r="K38" s="51">
        <v>0.85</v>
      </c>
      <c r="L38" s="40">
        <v>1.1000000000000001</v>
      </c>
      <c r="M38" s="45">
        <f t="shared" si="3"/>
        <v>0.93500000000000005</v>
      </c>
    </row>
    <row r="39" spans="1:13" x14ac:dyDescent="0.25">
      <c r="A39" t="s">
        <v>245</v>
      </c>
      <c r="B39" s="2">
        <v>6</v>
      </c>
      <c r="C39" s="47">
        <v>90</v>
      </c>
      <c r="D39" s="2">
        <v>150</v>
      </c>
      <c r="E39" s="2">
        <f t="shared" si="0"/>
        <v>240</v>
      </c>
      <c r="F39" s="19">
        <f>M11</f>
        <v>1.54</v>
      </c>
      <c r="G39" s="21">
        <f t="shared" si="1"/>
        <v>1.54</v>
      </c>
      <c r="I39" s="57" t="s">
        <v>635</v>
      </c>
      <c r="J39" s="58" t="s">
        <v>637</v>
      </c>
      <c r="K39" s="51">
        <v>1.75</v>
      </c>
      <c r="L39" s="40">
        <v>1.1000000000000001</v>
      </c>
      <c r="M39" s="45">
        <f t="shared" si="3"/>
        <v>1.9250000000000003</v>
      </c>
    </row>
    <row r="40" spans="1:13" x14ac:dyDescent="0.25">
      <c r="A40" t="s">
        <v>247</v>
      </c>
      <c r="B40" s="2">
        <v>6</v>
      </c>
      <c r="C40" s="47">
        <v>90</v>
      </c>
      <c r="D40" s="2">
        <v>200</v>
      </c>
      <c r="E40" s="2">
        <f t="shared" si="0"/>
        <v>290</v>
      </c>
      <c r="F40" s="19">
        <f>K11</f>
        <v>1.4</v>
      </c>
      <c r="G40" s="21">
        <f t="shared" si="1"/>
        <v>1.4</v>
      </c>
      <c r="I40" s="57" t="s">
        <v>635</v>
      </c>
      <c r="J40" s="58" t="s">
        <v>638</v>
      </c>
      <c r="K40" s="51">
        <v>2.2999999999999998</v>
      </c>
      <c r="L40" s="40">
        <v>1.1000000000000001</v>
      </c>
      <c r="M40" s="45">
        <f t="shared" si="3"/>
        <v>2.5299999999999998</v>
      </c>
    </row>
    <row r="41" spans="1:13" x14ac:dyDescent="0.25">
      <c r="A41" t="s">
        <v>249</v>
      </c>
      <c r="B41" s="2">
        <v>6</v>
      </c>
      <c r="C41" s="47">
        <v>90</v>
      </c>
      <c r="D41" s="2">
        <v>250</v>
      </c>
      <c r="E41" s="2">
        <f t="shared" si="0"/>
        <v>340</v>
      </c>
      <c r="F41" s="19">
        <f>M12</f>
        <v>2.3100000000000005</v>
      </c>
      <c r="G41" s="21">
        <f t="shared" si="1"/>
        <v>2.3100000000000005</v>
      </c>
      <c r="I41" s="57" t="s">
        <v>639</v>
      </c>
      <c r="J41" s="58" t="s">
        <v>640</v>
      </c>
      <c r="K41" s="51">
        <v>1.56</v>
      </c>
      <c r="L41" s="40">
        <v>1.1000000000000001</v>
      </c>
      <c r="M41" s="45">
        <f t="shared" si="3"/>
        <v>1.7160000000000002</v>
      </c>
    </row>
    <row r="42" spans="1:13" x14ac:dyDescent="0.25">
      <c r="A42" t="s">
        <v>251</v>
      </c>
      <c r="B42" s="2">
        <v>6</v>
      </c>
      <c r="C42" s="47">
        <v>90</v>
      </c>
      <c r="D42" s="2">
        <v>300</v>
      </c>
      <c r="E42" s="2">
        <f t="shared" si="0"/>
        <v>390</v>
      </c>
      <c r="F42" s="19">
        <f>M12</f>
        <v>2.3100000000000005</v>
      </c>
      <c r="G42" s="21">
        <f t="shared" si="1"/>
        <v>2.3100000000000005</v>
      </c>
      <c r="I42" s="57" t="s">
        <v>639</v>
      </c>
      <c r="J42" s="58" t="s">
        <v>641</v>
      </c>
      <c r="K42" s="51">
        <v>3</v>
      </c>
      <c r="L42" s="40">
        <v>1.1000000000000001</v>
      </c>
      <c r="M42" s="45">
        <f t="shared" si="3"/>
        <v>3.3000000000000003</v>
      </c>
    </row>
    <row r="43" spans="1:13" x14ac:dyDescent="0.25">
      <c r="A43" t="s">
        <v>253</v>
      </c>
      <c r="B43" s="2">
        <v>6</v>
      </c>
      <c r="C43" s="47">
        <v>90</v>
      </c>
      <c r="D43" s="2">
        <v>350</v>
      </c>
      <c r="E43" s="2">
        <f t="shared" si="0"/>
        <v>440</v>
      </c>
      <c r="F43" s="19">
        <f>M12</f>
        <v>2.3100000000000005</v>
      </c>
      <c r="G43" s="21">
        <f t="shared" si="1"/>
        <v>2.3100000000000005</v>
      </c>
      <c r="I43" s="57" t="s">
        <v>639</v>
      </c>
      <c r="J43" s="58" t="s">
        <v>642</v>
      </c>
      <c r="K43" s="51">
        <v>3.5</v>
      </c>
      <c r="L43" s="40">
        <v>1.1000000000000001</v>
      </c>
      <c r="M43" s="45">
        <f t="shared" si="3"/>
        <v>3.8500000000000005</v>
      </c>
    </row>
    <row r="44" spans="1:13" x14ac:dyDescent="0.25">
      <c r="A44" t="s">
        <v>255</v>
      </c>
      <c r="B44" s="2">
        <v>6</v>
      </c>
      <c r="C44" s="47">
        <v>90</v>
      </c>
      <c r="D44" s="2">
        <v>400</v>
      </c>
      <c r="E44" s="2">
        <f t="shared" si="0"/>
        <v>490</v>
      </c>
      <c r="F44" s="19">
        <f>M13</f>
        <v>4.4000000000000004</v>
      </c>
      <c r="G44" s="21">
        <f t="shared" si="1"/>
        <v>4.4000000000000004</v>
      </c>
      <c r="I44" s="57" t="s">
        <v>639</v>
      </c>
      <c r="J44" s="58" t="s">
        <v>643</v>
      </c>
      <c r="K44" s="51">
        <v>4</v>
      </c>
      <c r="L44" s="40">
        <v>1.1000000000000001</v>
      </c>
      <c r="M44" s="45">
        <f t="shared" si="3"/>
        <v>4.4000000000000004</v>
      </c>
    </row>
    <row r="45" spans="1:13" ht="17.25" thickBot="1" x14ac:dyDescent="0.3">
      <c r="A45" t="s">
        <v>257</v>
      </c>
      <c r="B45" s="2">
        <v>6</v>
      </c>
      <c r="C45" s="47">
        <v>90</v>
      </c>
      <c r="D45" s="2">
        <v>450</v>
      </c>
      <c r="E45" s="2">
        <f t="shared" si="0"/>
        <v>540</v>
      </c>
      <c r="F45" s="19">
        <f>M13</f>
        <v>4.4000000000000004</v>
      </c>
      <c r="G45" s="21">
        <f t="shared" si="1"/>
        <v>4.4000000000000004</v>
      </c>
      <c r="I45" s="59" t="s">
        <v>639</v>
      </c>
      <c r="J45" s="60" t="s">
        <v>644</v>
      </c>
      <c r="K45" s="53">
        <v>5</v>
      </c>
      <c r="L45" s="40">
        <v>1.1000000000000001</v>
      </c>
      <c r="M45" s="46">
        <f t="shared" si="3"/>
        <v>5.5</v>
      </c>
    </row>
    <row r="46" spans="1:13" x14ac:dyDescent="0.25">
      <c r="A46" t="s">
        <v>259</v>
      </c>
      <c r="B46" s="2">
        <v>6</v>
      </c>
      <c r="C46" s="47">
        <v>90</v>
      </c>
      <c r="D46" s="2">
        <v>500</v>
      </c>
      <c r="E46" s="2">
        <f t="shared" si="0"/>
        <v>590</v>
      </c>
      <c r="F46" s="19">
        <f>M13</f>
        <v>4.4000000000000004</v>
      </c>
      <c r="G46" s="21">
        <f t="shared" si="1"/>
        <v>4.4000000000000004</v>
      </c>
    </row>
    <row r="47" spans="1:13" x14ac:dyDescent="0.25">
      <c r="A47" t="s">
        <v>261</v>
      </c>
      <c r="B47" s="2">
        <v>7</v>
      </c>
      <c r="C47" s="47">
        <v>110</v>
      </c>
      <c r="D47" s="2">
        <v>150</v>
      </c>
      <c r="E47" s="2">
        <f t="shared" si="0"/>
        <v>260</v>
      </c>
      <c r="F47" s="19">
        <f>M14</f>
        <v>1.7600000000000002</v>
      </c>
      <c r="G47" s="21">
        <f t="shared" si="1"/>
        <v>1.7600000000000002</v>
      </c>
    </row>
    <row r="48" spans="1:13" x14ac:dyDescent="0.25">
      <c r="A48" t="s">
        <v>263</v>
      </c>
      <c r="B48" s="2">
        <v>7</v>
      </c>
      <c r="C48" s="47">
        <v>110</v>
      </c>
      <c r="D48" s="2">
        <v>175</v>
      </c>
      <c r="E48" s="2">
        <f t="shared" si="0"/>
        <v>285</v>
      </c>
      <c r="F48" s="19">
        <f>M14</f>
        <v>1.7600000000000002</v>
      </c>
      <c r="G48" s="21">
        <f t="shared" si="1"/>
        <v>1.7600000000000002</v>
      </c>
    </row>
    <row r="49" spans="1:7" x14ac:dyDescent="0.25">
      <c r="A49" t="s">
        <v>265</v>
      </c>
      <c r="B49" s="2">
        <v>7</v>
      </c>
      <c r="C49" s="47">
        <v>110</v>
      </c>
      <c r="D49" s="2">
        <v>200</v>
      </c>
      <c r="E49" s="2">
        <f t="shared" si="0"/>
        <v>310</v>
      </c>
      <c r="F49" s="19">
        <f>M15</f>
        <v>2.4200000000000004</v>
      </c>
      <c r="G49" s="21">
        <f t="shared" si="1"/>
        <v>2.4200000000000004</v>
      </c>
    </row>
    <row r="50" spans="1:7" x14ac:dyDescent="0.25">
      <c r="A50" t="s">
        <v>267</v>
      </c>
      <c r="B50" s="2">
        <v>7</v>
      </c>
      <c r="C50" s="47">
        <v>110</v>
      </c>
      <c r="D50" s="2">
        <v>250</v>
      </c>
      <c r="E50" s="2">
        <f t="shared" si="0"/>
        <v>360</v>
      </c>
      <c r="F50" s="19">
        <f>M15</f>
        <v>2.4200000000000004</v>
      </c>
      <c r="G50" s="21">
        <f t="shared" si="1"/>
        <v>2.4200000000000004</v>
      </c>
    </row>
    <row r="51" spans="1:7" x14ac:dyDescent="0.25">
      <c r="A51" t="s">
        <v>269</v>
      </c>
      <c r="B51" s="2">
        <v>7</v>
      </c>
      <c r="C51" s="47">
        <v>110</v>
      </c>
      <c r="D51" s="2">
        <v>300</v>
      </c>
      <c r="E51" s="2">
        <f t="shared" si="0"/>
        <v>410</v>
      </c>
      <c r="F51" s="19">
        <f>M15</f>
        <v>2.4200000000000004</v>
      </c>
      <c r="G51" s="21">
        <f t="shared" si="1"/>
        <v>2.4200000000000004</v>
      </c>
    </row>
    <row r="52" spans="1:7" x14ac:dyDescent="0.25">
      <c r="A52" t="s">
        <v>271</v>
      </c>
      <c r="B52" s="2">
        <v>7</v>
      </c>
      <c r="C52" s="47">
        <v>110</v>
      </c>
      <c r="D52" s="2">
        <v>350</v>
      </c>
      <c r="E52" s="2">
        <f t="shared" si="0"/>
        <v>460</v>
      </c>
      <c r="F52" s="19">
        <f>M16</f>
        <v>4.4000000000000004</v>
      </c>
      <c r="G52" s="21">
        <f t="shared" si="1"/>
        <v>4.4000000000000004</v>
      </c>
    </row>
    <row r="53" spans="1:7" x14ac:dyDescent="0.25">
      <c r="A53" t="s">
        <v>273</v>
      </c>
      <c r="B53" s="2">
        <v>7</v>
      </c>
      <c r="C53" s="47">
        <v>110</v>
      </c>
      <c r="D53" s="2">
        <v>400</v>
      </c>
      <c r="E53" s="2">
        <f t="shared" si="0"/>
        <v>510</v>
      </c>
      <c r="F53" s="19">
        <f>M16</f>
        <v>4.4000000000000004</v>
      </c>
      <c r="G53" s="21">
        <f t="shared" si="1"/>
        <v>4.4000000000000004</v>
      </c>
    </row>
    <row r="54" spans="1:7" x14ac:dyDescent="0.25">
      <c r="A54" t="s">
        <v>275</v>
      </c>
      <c r="B54" s="2">
        <v>7</v>
      </c>
      <c r="C54" s="47">
        <v>110</v>
      </c>
      <c r="D54" s="2">
        <v>450</v>
      </c>
      <c r="E54" s="2">
        <f t="shared" si="0"/>
        <v>560</v>
      </c>
      <c r="F54" s="19">
        <f>M16</f>
        <v>4.4000000000000004</v>
      </c>
      <c r="G54" s="21">
        <f t="shared" si="1"/>
        <v>4.4000000000000004</v>
      </c>
    </row>
    <row r="55" spans="1:7" x14ac:dyDescent="0.25">
      <c r="A55" t="s">
        <v>277</v>
      </c>
      <c r="B55" s="2">
        <v>7</v>
      </c>
      <c r="C55" s="47">
        <v>110</v>
      </c>
      <c r="D55" s="2">
        <v>500</v>
      </c>
      <c r="E55" s="2">
        <f t="shared" si="0"/>
        <v>610</v>
      </c>
      <c r="F55" s="19">
        <f>M16</f>
        <v>4.4000000000000004</v>
      </c>
      <c r="G55" s="21">
        <f t="shared" si="1"/>
        <v>4.4000000000000004</v>
      </c>
    </row>
    <row r="56" spans="1:7" x14ac:dyDescent="0.25">
      <c r="A56" t="s">
        <v>279</v>
      </c>
      <c r="B56" s="2">
        <v>8</v>
      </c>
      <c r="C56" s="47">
        <v>110</v>
      </c>
      <c r="D56" s="2">
        <v>175</v>
      </c>
      <c r="E56" s="2">
        <f t="shared" si="0"/>
        <v>285</v>
      </c>
      <c r="F56" s="19">
        <f>M14</f>
        <v>1.7600000000000002</v>
      </c>
      <c r="G56" s="21">
        <f t="shared" si="1"/>
        <v>1.7600000000000002</v>
      </c>
    </row>
    <row r="57" spans="1:7" x14ac:dyDescent="0.25">
      <c r="A57" t="s">
        <v>281</v>
      </c>
      <c r="B57" s="2">
        <v>8</v>
      </c>
      <c r="C57" s="47">
        <v>110</v>
      </c>
      <c r="D57" s="2">
        <v>200</v>
      </c>
      <c r="E57" s="2">
        <f t="shared" si="0"/>
        <v>310</v>
      </c>
      <c r="F57" s="19">
        <f>M15</f>
        <v>2.4200000000000004</v>
      </c>
      <c r="G57" s="21">
        <f t="shared" si="1"/>
        <v>2.4200000000000004</v>
      </c>
    </row>
    <row r="58" spans="1:7" x14ac:dyDescent="0.25">
      <c r="A58" t="s">
        <v>283</v>
      </c>
      <c r="B58" s="2">
        <v>8</v>
      </c>
      <c r="C58" s="47">
        <v>110</v>
      </c>
      <c r="D58" s="2">
        <v>250</v>
      </c>
      <c r="E58" s="2">
        <f t="shared" si="0"/>
        <v>360</v>
      </c>
      <c r="F58" s="19">
        <f>M15</f>
        <v>2.4200000000000004</v>
      </c>
      <c r="G58" s="21">
        <f t="shared" si="1"/>
        <v>2.4200000000000004</v>
      </c>
    </row>
    <row r="59" spans="1:7" x14ac:dyDescent="0.25">
      <c r="A59" t="s">
        <v>285</v>
      </c>
      <c r="B59" s="2">
        <v>8</v>
      </c>
      <c r="C59" s="47">
        <v>110</v>
      </c>
      <c r="D59" s="2">
        <v>300</v>
      </c>
      <c r="E59" s="2">
        <f t="shared" si="0"/>
        <v>410</v>
      </c>
      <c r="F59" s="19">
        <f>M15</f>
        <v>2.4200000000000004</v>
      </c>
      <c r="G59" s="21">
        <f t="shared" si="1"/>
        <v>2.4200000000000004</v>
      </c>
    </row>
    <row r="60" spans="1:7" x14ac:dyDescent="0.25">
      <c r="A60" t="s">
        <v>287</v>
      </c>
      <c r="B60" s="2">
        <v>8</v>
      </c>
      <c r="C60" s="47">
        <v>110</v>
      </c>
      <c r="D60" s="2">
        <v>350</v>
      </c>
      <c r="E60" s="2">
        <f t="shared" si="0"/>
        <v>460</v>
      </c>
      <c r="F60" s="19">
        <f>M16</f>
        <v>4.4000000000000004</v>
      </c>
      <c r="G60" s="21">
        <f t="shared" si="1"/>
        <v>4.4000000000000004</v>
      </c>
    </row>
    <row r="61" spans="1:7" x14ac:dyDescent="0.25">
      <c r="A61" t="s">
        <v>289</v>
      </c>
      <c r="B61" s="2">
        <v>8</v>
      </c>
      <c r="C61" s="47">
        <v>110</v>
      </c>
      <c r="D61" s="2">
        <v>400</v>
      </c>
      <c r="E61" s="2">
        <f t="shared" si="0"/>
        <v>510</v>
      </c>
      <c r="F61" s="19">
        <f>M16</f>
        <v>4.4000000000000004</v>
      </c>
      <c r="G61" s="21">
        <f t="shared" si="1"/>
        <v>4.4000000000000004</v>
      </c>
    </row>
    <row r="62" spans="1:7" x14ac:dyDescent="0.25">
      <c r="A62" t="s">
        <v>291</v>
      </c>
      <c r="B62" s="2">
        <v>8</v>
      </c>
      <c r="C62" s="47">
        <v>110</v>
      </c>
      <c r="D62" s="2">
        <v>450</v>
      </c>
      <c r="E62" s="2">
        <f t="shared" si="0"/>
        <v>560</v>
      </c>
      <c r="F62" s="19">
        <f>M16</f>
        <v>4.4000000000000004</v>
      </c>
      <c r="G62" s="21">
        <f t="shared" si="1"/>
        <v>4.4000000000000004</v>
      </c>
    </row>
    <row r="63" spans="1:7" x14ac:dyDescent="0.25">
      <c r="A63" t="s">
        <v>293</v>
      </c>
      <c r="B63" s="2">
        <v>8</v>
      </c>
      <c r="C63" s="47">
        <v>110</v>
      </c>
      <c r="D63" s="2">
        <v>500</v>
      </c>
      <c r="E63" s="2">
        <f t="shared" si="0"/>
        <v>610</v>
      </c>
      <c r="F63" s="19">
        <f>M16</f>
        <v>4.4000000000000004</v>
      </c>
      <c r="G63" s="21">
        <f t="shared" si="1"/>
        <v>4.4000000000000004</v>
      </c>
    </row>
    <row r="64" spans="1:7" x14ac:dyDescent="0.25">
      <c r="B64" s="2"/>
      <c r="C64" s="2"/>
      <c r="D64" s="2"/>
      <c r="E64" s="2"/>
    </row>
    <row r="65" spans="1:7" x14ac:dyDescent="0.25">
      <c r="B65" s="2"/>
      <c r="C65" s="2"/>
      <c r="D65" s="2"/>
      <c r="E65" s="2"/>
    </row>
    <row r="66" spans="1:7" x14ac:dyDescent="0.25">
      <c r="B66" s="2"/>
      <c r="C66" s="2"/>
      <c r="D66" s="2"/>
      <c r="E66" s="2"/>
    </row>
    <row r="67" spans="1:7" ht="19.5" x14ac:dyDescent="0.25">
      <c r="A67" s="82" t="s">
        <v>832</v>
      </c>
      <c r="B67" s="2"/>
      <c r="C67" s="2"/>
      <c r="D67" s="2"/>
      <c r="E67" s="2"/>
    </row>
    <row r="68" spans="1:7" x14ac:dyDescent="0.25">
      <c r="A68" s="4" t="s">
        <v>0</v>
      </c>
      <c r="B68" s="28" t="s">
        <v>443</v>
      </c>
      <c r="C68" s="28" t="s">
        <v>452</v>
      </c>
      <c r="D68" s="28" t="s">
        <v>454</v>
      </c>
      <c r="E68" s="28" t="s">
        <v>830</v>
      </c>
      <c r="F68" s="4" t="s">
        <v>446</v>
      </c>
      <c r="G68" s="83" t="s">
        <v>448</v>
      </c>
    </row>
    <row r="69" spans="1:7" x14ac:dyDescent="0.25">
      <c r="A69" s="4" t="s">
        <v>833</v>
      </c>
      <c r="B69" s="28">
        <v>5</v>
      </c>
      <c r="C69" s="28">
        <v>75</v>
      </c>
      <c r="D69" s="28">
        <v>90</v>
      </c>
      <c r="E69" s="28">
        <v>165</v>
      </c>
      <c r="F69" s="19">
        <f>M34</f>
        <v>0.77</v>
      </c>
      <c r="G69" s="21">
        <f>F69</f>
        <v>0.77</v>
      </c>
    </row>
    <row r="70" spans="1:7" x14ac:dyDescent="0.25">
      <c r="A70" s="4" t="s">
        <v>835</v>
      </c>
      <c r="B70" s="28">
        <v>5</v>
      </c>
      <c r="C70" s="28">
        <v>100</v>
      </c>
      <c r="D70" s="28">
        <v>90</v>
      </c>
      <c r="E70" s="28">
        <v>190</v>
      </c>
      <c r="F70" s="19">
        <f>M34</f>
        <v>0.77</v>
      </c>
      <c r="G70" s="21">
        <f t="shared" ref="G70:G124" si="4">F70</f>
        <v>0.77</v>
      </c>
    </row>
    <row r="71" spans="1:7" x14ac:dyDescent="0.25">
      <c r="A71" s="4" t="s">
        <v>837</v>
      </c>
      <c r="B71" s="28">
        <v>5</v>
      </c>
      <c r="C71" s="28">
        <v>150</v>
      </c>
      <c r="D71" s="28">
        <v>90</v>
      </c>
      <c r="E71" s="28">
        <v>240</v>
      </c>
      <c r="F71" s="19">
        <f>M35</f>
        <v>0.93500000000000005</v>
      </c>
      <c r="G71" s="21">
        <f t="shared" si="4"/>
        <v>0.93500000000000005</v>
      </c>
    </row>
    <row r="72" spans="1:7" x14ac:dyDescent="0.25">
      <c r="A72" s="4" t="s">
        <v>839</v>
      </c>
      <c r="B72" s="28">
        <v>5</v>
      </c>
      <c r="C72" s="28">
        <v>200</v>
      </c>
      <c r="D72" s="28">
        <v>90</v>
      </c>
      <c r="E72" s="28">
        <v>290</v>
      </c>
      <c r="F72" s="19">
        <f>M35</f>
        <v>0.93500000000000005</v>
      </c>
      <c r="G72" s="21">
        <f t="shared" si="4"/>
        <v>0.93500000000000005</v>
      </c>
    </row>
    <row r="73" spans="1:7" x14ac:dyDescent="0.25">
      <c r="A73" s="4" t="s">
        <v>841</v>
      </c>
      <c r="B73" s="28">
        <v>5</v>
      </c>
      <c r="C73" s="28">
        <v>250</v>
      </c>
      <c r="D73" s="28">
        <v>90</v>
      </c>
      <c r="E73" s="28">
        <v>340</v>
      </c>
      <c r="F73" s="19">
        <f>M36</f>
        <v>1.1550000000000002</v>
      </c>
      <c r="G73" s="21">
        <f t="shared" si="4"/>
        <v>1.1550000000000002</v>
      </c>
    </row>
    <row r="74" spans="1:7" x14ac:dyDescent="0.25">
      <c r="A74" s="4" t="s">
        <v>843</v>
      </c>
      <c r="B74" s="28">
        <v>5</v>
      </c>
      <c r="C74" s="28">
        <v>300</v>
      </c>
      <c r="D74" s="28">
        <v>90</v>
      </c>
      <c r="E74" s="28">
        <v>390</v>
      </c>
      <c r="F74" s="19">
        <f>M37</f>
        <v>1.9250000000000003</v>
      </c>
      <c r="G74" s="21">
        <f t="shared" si="4"/>
        <v>1.9250000000000003</v>
      </c>
    </row>
    <row r="75" spans="1:7" x14ac:dyDescent="0.25">
      <c r="A75" s="4" t="s">
        <v>845</v>
      </c>
      <c r="B75" s="28">
        <v>6</v>
      </c>
      <c r="C75" s="28">
        <v>100</v>
      </c>
      <c r="D75" s="28">
        <v>110</v>
      </c>
      <c r="E75" s="28">
        <v>210</v>
      </c>
      <c r="F75" s="19">
        <f>M38</f>
        <v>0.93500000000000005</v>
      </c>
      <c r="G75" s="21">
        <f t="shared" si="4"/>
        <v>0.93500000000000005</v>
      </c>
    </row>
    <row r="76" spans="1:7" x14ac:dyDescent="0.25">
      <c r="A76" s="4" t="s">
        <v>847</v>
      </c>
      <c r="B76" s="28">
        <v>6</v>
      </c>
      <c r="C76" s="28">
        <v>125</v>
      </c>
      <c r="D76" s="28">
        <v>110</v>
      </c>
      <c r="E76" s="28">
        <v>235</v>
      </c>
      <c r="F76" s="19">
        <f>M38</f>
        <v>0.93500000000000005</v>
      </c>
      <c r="G76" s="21">
        <f t="shared" si="4"/>
        <v>0.93500000000000005</v>
      </c>
    </row>
    <row r="77" spans="1:7" x14ac:dyDescent="0.25">
      <c r="A77" s="4" t="s">
        <v>849</v>
      </c>
      <c r="B77" s="28">
        <v>6</v>
      </c>
      <c r="C77" s="28">
        <v>150</v>
      </c>
      <c r="D77" s="28">
        <v>110</v>
      </c>
      <c r="E77" s="28">
        <v>260</v>
      </c>
      <c r="F77" s="19">
        <f>M38</f>
        <v>0.93500000000000005</v>
      </c>
      <c r="G77" s="21">
        <f t="shared" si="4"/>
        <v>0.93500000000000005</v>
      </c>
    </row>
    <row r="78" spans="1:7" x14ac:dyDescent="0.25">
      <c r="A78" s="4" t="s">
        <v>851</v>
      </c>
      <c r="B78" s="28">
        <v>6</v>
      </c>
      <c r="C78" s="28">
        <v>200</v>
      </c>
      <c r="D78" s="28">
        <v>110</v>
      </c>
      <c r="E78" s="28">
        <v>310</v>
      </c>
      <c r="F78" s="19">
        <f>M38</f>
        <v>0.93500000000000005</v>
      </c>
      <c r="G78" s="21">
        <f t="shared" si="4"/>
        <v>0.93500000000000005</v>
      </c>
    </row>
    <row r="79" spans="1:7" x14ac:dyDescent="0.25">
      <c r="A79" s="4" t="s">
        <v>853</v>
      </c>
      <c r="B79" s="28">
        <v>6</v>
      </c>
      <c r="C79" s="28">
        <v>250</v>
      </c>
      <c r="D79" s="28">
        <v>110</v>
      </c>
      <c r="E79" s="28">
        <v>360</v>
      </c>
      <c r="F79" s="19">
        <f>M39</f>
        <v>1.9250000000000003</v>
      </c>
      <c r="G79" s="21">
        <f t="shared" si="4"/>
        <v>1.9250000000000003</v>
      </c>
    </row>
    <row r="80" spans="1:7" x14ac:dyDescent="0.25">
      <c r="A80" s="4" t="s">
        <v>855</v>
      </c>
      <c r="B80" s="28">
        <v>6</v>
      </c>
      <c r="C80" s="28">
        <v>300</v>
      </c>
      <c r="D80" s="28">
        <v>110</v>
      </c>
      <c r="E80" s="28">
        <v>410</v>
      </c>
      <c r="F80" s="19">
        <f>M39</f>
        <v>1.9250000000000003</v>
      </c>
      <c r="G80" s="21">
        <f t="shared" si="4"/>
        <v>1.9250000000000003</v>
      </c>
    </row>
    <row r="81" spans="1:7" x14ac:dyDescent="0.25">
      <c r="A81" s="4" t="s">
        <v>857</v>
      </c>
      <c r="B81" s="28">
        <v>6</v>
      </c>
      <c r="C81" s="28">
        <v>350</v>
      </c>
      <c r="D81" s="28">
        <v>110</v>
      </c>
      <c r="E81" s="28">
        <v>460</v>
      </c>
      <c r="F81" s="19">
        <f>M40</f>
        <v>2.5299999999999998</v>
      </c>
      <c r="G81" s="21">
        <f t="shared" si="4"/>
        <v>2.5299999999999998</v>
      </c>
    </row>
    <row r="82" spans="1:7" x14ac:dyDescent="0.25">
      <c r="A82" s="4" t="s">
        <v>859</v>
      </c>
      <c r="B82" s="28">
        <v>6</v>
      </c>
      <c r="C82" s="28">
        <v>400</v>
      </c>
      <c r="D82" s="28">
        <v>110</v>
      </c>
      <c r="E82" s="28">
        <v>510</v>
      </c>
      <c r="F82" s="19">
        <f>M40</f>
        <v>2.5299999999999998</v>
      </c>
      <c r="G82" s="21">
        <f t="shared" si="4"/>
        <v>2.5299999999999998</v>
      </c>
    </row>
    <row r="83" spans="1:7" x14ac:dyDescent="0.25">
      <c r="A83" s="4" t="s">
        <v>861</v>
      </c>
      <c r="B83" s="28">
        <v>8</v>
      </c>
      <c r="C83" s="28">
        <v>125</v>
      </c>
      <c r="D83" s="28">
        <v>125</v>
      </c>
      <c r="E83" s="28">
        <v>250</v>
      </c>
      <c r="F83" s="19">
        <f>M41</f>
        <v>1.7160000000000002</v>
      </c>
      <c r="G83" s="21">
        <f t="shared" si="4"/>
        <v>1.7160000000000002</v>
      </c>
    </row>
    <row r="84" spans="1:7" x14ac:dyDescent="0.25">
      <c r="A84" s="4" t="s">
        <v>863</v>
      </c>
      <c r="B84" s="28">
        <v>8</v>
      </c>
      <c r="C84" s="28">
        <v>150</v>
      </c>
      <c r="D84" s="28">
        <v>125</v>
      </c>
      <c r="E84" s="28">
        <v>275</v>
      </c>
      <c r="F84" s="19">
        <f>M41</f>
        <v>1.7160000000000002</v>
      </c>
      <c r="G84" s="21">
        <f t="shared" si="4"/>
        <v>1.7160000000000002</v>
      </c>
    </row>
    <row r="85" spans="1:7" x14ac:dyDescent="0.25">
      <c r="A85" s="4" t="s">
        <v>865</v>
      </c>
      <c r="B85" s="28">
        <v>8</v>
      </c>
      <c r="C85" s="28">
        <v>200</v>
      </c>
      <c r="D85" s="28">
        <v>125</v>
      </c>
      <c r="E85" s="28">
        <v>325</v>
      </c>
      <c r="F85" s="19">
        <f>M42</f>
        <v>3.3000000000000003</v>
      </c>
      <c r="G85" s="21">
        <f t="shared" si="4"/>
        <v>3.3000000000000003</v>
      </c>
    </row>
    <row r="86" spans="1:7" x14ac:dyDescent="0.25">
      <c r="A86" s="4" t="s">
        <v>867</v>
      </c>
      <c r="B86" s="28">
        <v>8</v>
      </c>
      <c r="C86" s="28">
        <v>250</v>
      </c>
      <c r="D86" s="28">
        <v>125</v>
      </c>
      <c r="E86" s="28">
        <v>375</v>
      </c>
      <c r="F86" s="19">
        <f>M43</f>
        <v>3.8500000000000005</v>
      </c>
      <c r="G86" s="21">
        <f t="shared" si="4"/>
        <v>3.8500000000000005</v>
      </c>
    </row>
    <row r="87" spans="1:7" x14ac:dyDescent="0.25">
      <c r="A87" s="4" t="s">
        <v>869</v>
      </c>
      <c r="B87" s="28">
        <v>8</v>
      </c>
      <c r="C87" s="28">
        <v>300</v>
      </c>
      <c r="D87" s="28">
        <v>125</v>
      </c>
      <c r="E87" s="28">
        <v>425</v>
      </c>
      <c r="F87" s="19">
        <f>M44</f>
        <v>4.4000000000000004</v>
      </c>
      <c r="G87" s="21">
        <f t="shared" si="4"/>
        <v>4.4000000000000004</v>
      </c>
    </row>
    <row r="88" spans="1:7" x14ac:dyDescent="0.25">
      <c r="A88" s="4" t="s">
        <v>871</v>
      </c>
      <c r="B88" s="28">
        <v>8</v>
      </c>
      <c r="C88" s="28">
        <v>350</v>
      </c>
      <c r="D88" s="28">
        <v>125</v>
      </c>
      <c r="E88" s="28">
        <v>475</v>
      </c>
      <c r="F88" s="19">
        <f>M45</f>
        <v>5.5</v>
      </c>
      <c r="G88" s="21">
        <f t="shared" si="4"/>
        <v>5.5</v>
      </c>
    </row>
    <row r="89" spans="1:7" x14ac:dyDescent="0.25">
      <c r="A89" s="4" t="s">
        <v>873</v>
      </c>
      <c r="B89" s="28">
        <v>8</v>
      </c>
      <c r="C89" s="28">
        <v>400</v>
      </c>
      <c r="D89" s="28">
        <v>125</v>
      </c>
      <c r="E89" s="28">
        <v>525</v>
      </c>
      <c r="F89" s="19">
        <f>M45</f>
        <v>5.5</v>
      </c>
      <c r="G89" s="21">
        <f t="shared" si="4"/>
        <v>5.5</v>
      </c>
    </row>
    <row r="90" spans="1:7" x14ac:dyDescent="0.25">
      <c r="A90" s="4" t="s">
        <v>875</v>
      </c>
      <c r="B90" s="28">
        <v>8</v>
      </c>
      <c r="C90" s="28">
        <v>450</v>
      </c>
      <c r="D90" s="28">
        <v>125</v>
      </c>
      <c r="E90" s="28">
        <v>575</v>
      </c>
      <c r="F90" s="19">
        <f>M45</f>
        <v>5.5</v>
      </c>
      <c r="G90" s="21">
        <f t="shared" si="4"/>
        <v>5.5</v>
      </c>
    </row>
    <row r="91" spans="1:7" x14ac:dyDescent="0.25">
      <c r="A91" s="4" t="s">
        <v>877</v>
      </c>
      <c r="B91" s="28">
        <v>8</v>
      </c>
      <c r="C91" s="28">
        <v>500</v>
      </c>
      <c r="D91" s="28">
        <v>125</v>
      </c>
      <c r="E91" s="28">
        <v>625</v>
      </c>
      <c r="F91" s="19">
        <f>M45</f>
        <v>5.5</v>
      </c>
      <c r="G91" s="21">
        <f t="shared" si="4"/>
        <v>5.5</v>
      </c>
    </row>
    <row r="92" spans="1:7" x14ac:dyDescent="0.25">
      <c r="A92" s="4" t="s">
        <v>879</v>
      </c>
      <c r="B92" s="28">
        <v>4</v>
      </c>
      <c r="C92" s="28">
        <v>75</v>
      </c>
      <c r="D92" s="28">
        <v>98</v>
      </c>
      <c r="E92" s="28">
        <v>173</v>
      </c>
      <c r="F92" s="19">
        <f>M21</f>
        <v>1.4850000000000003</v>
      </c>
      <c r="G92" s="21">
        <f t="shared" si="4"/>
        <v>1.4850000000000003</v>
      </c>
    </row>
    <row r="93" spans="1:7" x14ac:dyDescent="0.25">
      <c r="A93" s="4" t="s">
        <v>881</v>
      </c>
      <c r="B93" s="28">
        <v>4</v>
      </c>
      <c r="C93" s="28">
        <v>100</v>
      </c>
      <c r="D93" s="28">
        <v>98</v>
      </c>
      <c r="E93" s="28">
        <v>198</v>
      </c>
      <c r="F93" s="19">
        <f>M21</f>
        <v>1.4850000000000003</v>
      </c>
      <c r="G93" s="21">
        <f t="shared" si="4"/>
        <v>1.4850000000000003</v>
      </c>
    </row>
    <row r="94" spans="1:7" x14ac:dyDescent="0.25">
      <c r="A94" s="4" t="s">
        <v>883</v>
      </c>
      <c r="B94" s="28">
        <v>5</v>
      </c>
      <c r="C94" s="28">
        <v>100</v>
      </c>
      <c r="D94" s="28">
        <v>98</v>
      </c>
      <c r="E94" s="28">
        <v>198</v>
      </c>
      <c r="F94" s="19">
        <f>M22</f>
        <v>1.4850000000000003</v>
      </c>
      <c r="G94" s="21">
        <f t="shared" si="4"/>
        <v>1.4850000000000003</v>
      </c>
    </row>
    <row r="95" spans="1:7" x14ac:dyDescent="0.25">
      <c r="A95" s="4" t="s">
        <v>885</v>
      </c>
      <c r="B95" s="28">
        <v>5</v>
      </c>
      <c r="C95" s="28">
        <v>125</v>
      </c>
      <c r="D95" s="28">
        <v>98</v>
      </c>
      <c r="E95" s="28">
        <v>223</v>
      </c>
      <c r="F95" s="19">
        <f>M22</f>
        <v>1.4850000000000003</v>
      </c>
      <c r="G95" s="21">
        <f t="shared" si="4"/>
        <v>1.4850000000000003</v>
      </c>
    </row>
    <row r="96" spans="1:7" x14ac:dyDescent="0.25">
      <c r="A96" s="4" t="s">
        <v>887</v>
      </c>
      <c r="B96" s="28">
        <v>5</v>
      </c>
      <c r="C96" s="28">
        <v>150</v>
      </c>
      <c r="D96" s="28">
        <v>98</v>
      </c>
      <c r="E96" s="28">
        <v>248</v>
      </c>
      <c r="F96" s="19">
        <f>M22</f>
        <v>1.4850000000000003</v>
      </c>
      <c r="G96" s="21">
        <f t="shared" si="4"/>
        <v>1.4850000000000003</v>
      </c>
    </row>
    <row r="97" spans="1:7" x14ac:dyDescent="0.25">
      <c r="A97" s="4" t="s">
        <v>889</v>
      </c>
      <c r="B97" s="28">
        <v>5</v>
      </c>
      <c r="C97" s="28">
        <v>200</v>
      </c>
      <c r="D97" s="28">
        <v>98</v>
      </c>
      <c r="E97" s="28">
        <v>298</v>
      </c>
      <c r="F97" s="19">
        <f>M23</f>
        <v>2.2000000000000002</v>
      </c>
      <c r="G97" s="21">
        <f t="shared" si="4"/>
        <v>2.2000000000000002</v>
      </c>
    </row>
    <row r="98" spans="1:7" x14ac:dyDescent="0.25">
      <c r="A98" s="4" t="s">
        <v>891</v>
      </c>
      <c r="B98" s="28">
        <v>5</v>
      </c>
      <c r="C98" s="28">
        <v>250</v>
      </c>
      <c r="D98" s="28">
        <v>98</v>
      </c>
      <c r="E98" s="28">
        <v>348</v>
      </c>
      <c r="F98" s="19">
        <f>M23</f>
        <v>2.2000000000000002</v>
      </c>
      <c r="G98" s="21">
        <f t="shared" si="4"/>
        <v>2.2000000000000002</v>
      </c>
    </row>
    <row r="99" spans="1:7" x14ac:dyDescent="0.25">
      <c r="A99" s="4" t="s">
        <v>893</v>
      </c>
      <c r="B99" s="28">
        <v>5</v>
      </c>
      <c r="C99" s="28">
        <v>300</v>
      </c>
      <c r="D99" s="28">
        <v>98</v>
      </c>
      <c r="E99" s="28">
        <v>398</v>
      </c>
      <c r="F99" s="19">
        <f>M23</f>
        <v>2.2000000000000002</v>
      </c>
      <c r="G99" s="21">
        <f t="shared" si="4"/>
        <v>2.2000000000000002</v>
      </c>
    </row>
    <row r="100" spans="1:7" x14ac:dyDescent="0.25">
      <c r="A100" s="4" t="s">
        <v>895</v>
      </c>
      <c r="B100" s="28">
        <v>6</v>
      </c>
      <c r="C100" s="28">
        <v>100</v>
      </c>
      <c r="D100" s="28">
        <v>119</v>
      </c>
      <c r="E100" s="28">
        <v>219</v>
      </c>
      <c r="F100" s="19">
        <f>M24</f>
        <v>1.4850000000000003</v>
      </c>
      <c r="G100" s="21">
        <f t="shared" si="4"/>
        <v>1.4850000000000003</v>
      </c>
    </row>
    <row r="101" spans="1:7" x14ac:dyDescent="0.25">
      <c r="A101" s="4" t="s">
        <v>897</v>
      </c>
      <c r="B101" s="28">
        <v>6</v>
      </c>
      <c r="C101" s="28">
        <v>125</v>
      </c>
      <c r="D101" s="28">
        <v>119</v>
      </c>
      <c r="E101" s="28">
        <v>244</v>
      </c>
      <c r="F101" s="19">
        <f>M24</f>
        <v>1.4850000000000003</v>
      </c>
      <c r="G101" s="21">
        <f t="shared" si="4"/>
        <v>1.4850000000000003</v>
      </c>
    </row>
    <row r="102" spans="1:7" x14ac:dyDescent="0.25">
      <c r="A102" s="4" t="s">
        <v>899</v>
      </c>
      <c r="B102" s="28">
        <v>6</v>
      </c>
      <c r="C102" s="28">
        <v>150</v>
      </c>
      <c r="D102" s="28">
        <v>119</v>
      </c>
      <c r="E102" s="28">
        <v>269</v>
      </c>
      <c r="F102" s="19">
        <f>M24</f>
        <v>1.4850000000000003</v>
      </c>
      <c r="G102" s="21">
        <f t="shared" si="4"/>
        <v>1.4850000000000003</v>
      </c>
    </row>
    <row r="103" spans="1:7" x14ac:dyDescent="0.25">
      <c r="A103" s="4" t="s">
        <v>901</v>
      </c>
      <c r="B103" s="28">
        <v>6</v>
      </c>
      <c r="C103" s="28">
        <v>200</v>
      </c>
      <c r="D103" s="28">
        <v>119</v>
      </c>
      <c r="E103" s="28">
        <v>319</v>
      </c>
      <c r="F103" s="19">
        <f>M25</f>
        <v>2.75</v>
      </c>
      <c r="G103" s="21">
        <f t="shared" si="4"/>
        <v>2.75</v>
      </c>
    </row>
    <row r="104" spans="1:7" x14ac:dyDescent="0.25">
      <c r="A104" s="4" t="s">
        <v>903</v>
      </c>
      <c r="B104" s="28">
        <v>6</v>
      </c>
      <c r="C104" s="28">
        <v>250</v>
      </c>
      <c r="D104" s="28">
        <v>119</v>
      </c>
      <c r="E104" s="28">
        <v>369</v>
      </c>
      <c r="F104" s="19">
        <f>M25</f>
        <v>2.75</v>
      </c>
      <c r="G104" s="21">
        <f t="shared" si="4"/>
        <v>2.75</v>
      </c>
    </row>
    <row r="105" spans="1:7" x14ac:dyDescent="0.25">
      <c r="A105" s="4" t="s">
        <v>905</v>
      </c>
      <c r="B105" s="28">
        <v>6</v>
      </c>
      <c r="C105" s="28">
        <v>300</v>
      </c>
      <c r="D105" s="28">
        <v>119</v>
      </c>
      <c r="E105" s="28">
        <v>419</v>
      </c>
      <c r="F105" s="19">
        <f>M25</f>
        <v>2.75</v>
      </c>
      <c r="G105" s="21">
        <f t="shared" si="4"/>
        <v>2.75</v>
      </c>
    </row>
    <row r="106" spans="1:7" x14ac:dyDescent="0.25">
      <c r="A106" s="4" t="s">
        <v>907</v>
      </c>
      <c r="B106" s="28">
        <v>6</v>
      </c>
      <c r="C106" s="28">
        <v>350</v>
      </c>
      <c r="D106" s="28">
        <v>119</v>
      </c>
      <c r="E106" s="28">
        <v>469</v>
      </c>
      <c r="F106" s="19">
        <f>M26</f>
        <v>4.4000000000000004</v>
      </c>
      <c r="G106" s="21">
        <f t="shared" si="4"/>
        <v>4.4000000000000004</v>
      </c>
    </row>
    <row r="107" spans="1:7" x14ac:dyDescent="0.25">
      <c r="A107" s="4" t="s">
        <v>909</v>
      </c>
      <c r="B107" s="28">
        <v>6</v>
      </c>
      <c r="C107" s="28">
        <v>400</v>
      </c>
      <c r="D107" s="28">
        <v>119</v>
      </c>
      <c r="E107" s="28">
        <v>519</v>
      </c>
      <c r="F107" s="19">
        <f>M26</f>
        <v>4.4000000000000004</v>
      </c>
      <c r="G107" s="21">
        <f t="shared" si="4"/>
        <v>4.4000000000000004</v>
      </c>
    </row>
    <row r="108" spans="1:7" x14ac:dyDescent="0.25">
      <c r="A108" s="4" t="s">
        <v>911</v>
      </c>
      <c r="B108" s="28">
        <v>7</v>
      </c>
      <c r="C108" s="28">
        <v>150</v>
      </c>
      <c r="D108" s="28">
        <v>134</v>
      </c>
      <c r="E108" s="28">
        <v>284</v>
      </c>
      <c r="F108" s="19">
        <f>M27</f>
        <v>2.3100000000000005</v>
      </c>
      <c r="G108" s="21">
        <f t="shared" si="4"/>
        <v>2.3100000000000005</v>
      </c>
    </row>
    <row r="109" spans="1:7" x14ac:dyDescent="0.25">
      <c r="A109" s="4" t="s">
        <v>913</v>
      </c>
      <c r="B109" s="28">
        <v>7</v>
      </c>
      <c r="C109" s="28">
        <v>175</v>
      </c>
      <c r="D109" s="28">
        <v>134</v>
      </c>
      <c r="E109" s="28">
        <v>309</v>
      </c>
      <c r="F109" s="19">
        <f>M27</f>
        <v>2.3100000000000005</v>
      </c>
      <c r="G109" s="21">
        <f t="shared" si="4"/>
        <v>2.3100000000000005</v>
      </c>
    </row>
    <row r="110" spans="1:7" x14ac:dyDescent="0.25">
      <c r="A110" s="4" t="s">
        <v>915</v>
      </c>
      <c r="B110" s="28">
        <v>7</v>
      </c>
      <c r="C110" s="28">
        <v>200</v>
      </c>
      <c r="D110" s="28">
        <v>134</v>
      </c>
      <c r="E110" s="28">
        <v>334</v>
      </c>
      <c r="F110" s="19">
        <f>M29</f>
        <v>3.8500000000000005</v>
      </c>
      <c r="G110" s="21">
        <f t="shared" si="4"/>
        <v>3.8500000000000005</v>
      </c>
    </row>
    <row r="111" spans="1:7" x14ac:dyDescent="0.25">
      <c r="A111" s="4" t="s">
        <v>917</v>
      </c>
      <c r="B111" s="28">
        <v>7</v>
      </c>
      <c r="C111" s="28">
        <v>250</v>
      </c>
      <c r="D111" s="28">
        <v>134</v>
      </c>
      <c r="E111" s="28">
        <v>384</v>
      </c>
      <c r="F111" s="19">
        <f>M30</f>
        <v>4.95</v>
      </c>
      <c r="G111" s="21">
        <f t="shared" si="4"/>
        <v>4.95</v>
      </c>
    </row>
    <row r="112" spans="1:7" x14ac:dyDescent="0.25">
      <c r="A112" s="4" t="s">
        <v>919</v>
      </c>
      <c r="B112" s="28">
        <v>7</v>
      </c>
      <c r="C112" s="28">
        <v>300</v>
      </c>
      <c r="D112" s="28">
        <v>134</v>
      </c>
      <c r="E112" s="28">
        <v>434</v>
      </c>
      <c r="F112" s="19">
        <f>M30</f>
        <v>4.95</v>
      </c>
      <c r="G112" s="21">
        <f t="shared" si="4"/>
        <v>4.95</v>
      </c>
    </row>
    <row r="113" spans="1:7" x14ac:dyDescent="0.25">
      <c r="A113" s="4" t="s">
        <v>921</v>
      </c>
      <c r="B113" s="28">
        <v>7</v>
      </c>
      <c r="C113" s="28">
        <v>350</v>
      </c>
      <c r="D113" s="28">
        <v>134</v>
      </c>
      <c r="E113" s="28">
        <v>484</v>
      </c>
      <c r="F113" s="19">
        <f>M30</f>
        <v>4.95</v>
      </c>
      <c r="G113" s="21">
        <f t="shared" si="4"/>
        <v>4.95</v>
      </c>
    </row>
    <row r="114" spans="1:7" x14ac:dyDescent="0.25">
      <c r="A114" s="4" t="s">
        <v>923</v>
      </c>
      <c r="B114" s="28">
        <v>7</v>
      </c>
      <c r="C114" s="28">
        <v>400</v>
      </c>
      <c r="D114" s="28">
        <v>134</v>
      </c>
      <c r="E114" s="28">
        <v>534</v>
      </c>
      <c r="F114" s="19">
        <f>M30</f>
        <v>4.95</v>
      </c>
      <c r="G114" s="21">
        <f t="shared" si="4"/>
        <v>4.95</v>
      </c>
    </row>
    <row r="115" spans="1:7" x14ac:dyDescent="0.25">
      <c r="A115" s="4" t="s">
        <v>925</v>
      </c>
      <c r="B115" s="28">
        <v>7</v>
      </c>
      <c r="C115" s="28">
        <v>450</v>
      </c>
      <c r="D115" s="28">
        <v>134</v>
      </c>
      <c r="E115" s="28">
        <v>584</v>
      </c>
      <c r="F115" s="19">
        <f>M30</f>
        <v>4.95</v>
      </c>
      <c r="G115" s="21">
        <f t="shared" si="4"/>
        <v>4.95</v>
      </c>
    </row>
    <row r="116" spans="1:7" x14ac:dyDescent="0.25">
      <c r="A116" s="4" t="s">
        <v>927</v>
      </c>
      <c r="B116" s="28">
        <v>7</v>
      </c>
      <c r="C116" s="28">
        <v>500</v>
      </c>
      <c r="D116" s="28">
        <v>134</v>
      </c>
      <c r="E116" s="28">
        <v>634</v>
      </c>
      <c r="F116" s="19">
        <f>M30</f>
        <v>4.95</v>
      </c>
      <c r="G116" s="21">
        <f t="shared" si="4"/>
        <v>4.95</v>
      </c>
    </row>
    <row r="117" spans="1:7" x14ac:dyDescent="0.25">
      <c r="A117" s="4" t="s">
        <v>929</v>
      </c>
      <c r="B117" s="28">
        <v>8</v>
      </c>
      <c r="C117" s="28">
        <v>175</v>
      </c>
      <c r="D117" s="28">
        <v>134</v>
      </c>
      <c r="E117" s="28">
        <v>309</v>
      </c>
      <c r="F117" s="19">
        <f>M31</f>
        <v>3.3000000000000003</v>
      </c>
      <c r="G117" s="21">
        <f t="shared" si="4"/>
        <v>3.3000000000000003</v>
      </c>
    </row>
    <row r="118" spans="1:7" x14ac:dyDescent="0.25">
      <c r="A118" s="4" t="s">
        <v>931</v>
      </c>
      <c r="B118" s="28">
        <v>8</v>
      </c>
      <c r="C118" s="28">
        <v>200</v>
      </c>
      <c r="D118" s="28">
        <v>134</v>
      </c>
      <c r="E118" s="28">
        <v>334</v>
      </c>
      <c r="F118" s="19">
        <f>M32</f>
        <v>4.4000000000000004</v>
      </c>
      <c r="G118" s="21">
        <f t="shared" si="4"/>
        <v>4.4000000000000004</v>
      </c>
    </row>
    <row r="119" spans="1:7" x14ac:dyDescent="0.25">
      <c r="A119" s="4" t="s">
        <v>933</v>
      </c>
      <c r="B119" s="28">
        <v>8</v>
      </c>
      <c r="C119" s="28">
        <v>250</v>
      </c>
      <c r="D119" s="28">
        <v>134</v>
      </c>
      <c r="E119" s="28">
        <v>384</v>
      </c>
      <c r="F119" s="19">
        <f>M32</f>
        <v>4.4000000000000004</v>
      </c>
      <c r="G119" s="21">
        <f t="shared" si="4"/>
        <v>4.4000000000000004</v>
      </c>
    </row>
    <row r="120" spans="1:7" x14ac:dyDescent="0.25">
      <c r="A120" s="4" t="s">
        <v>935</v>
      </c>
      <c r="B120" s="28">
        <v>8</v>
      </c>
      <c r="C120" s="28">
        <v>300</v>
      </c>
      <c r="D120" s="28">
        <v>134</v>
      </c>
      <c r="E120" s="28">
        <v>434</v>
      </c>
      <c r="F120" s="19">
        <f>M33</f>
        <v>6.0500000000000007</v>
      </c>
      <c r="G120" s="21">
        <f t="shared" si="4"/>
        <v>6.0500000000000007</v>
      </c>
    </row>
    <row r="121" spans="1:7" x14ac:dyDescent="0.25">
      <c r="A121" s="4" t="s">
        <v>937</v>
      </c>
      <c r="B121" s="28">
        <v>8</v>
      </c>
      <c r="C121" s="28">
        <v>350</v>
      </c>
      <c r="D121" s="28">
        <v>134</v>
      </c>
      <c r="E121" s="28">
        <v>484</v>
      </c>
      <c r="F121" s="19">
        <f>M33</f>
        <v>6.0500000000000007</v>
      </c>
      <c r="G121" s="21">
        <f t="shared" si="4"/>
        <v>6.0500000000000007</v>
      </c>
    </row>
    <row r="122" spans="1:7" x14ac:dyDescent="0.25">
      <c r="A122" s="4" t="s">
        <v>939</v>
      </c>
      <c r="B122" s="28">
        <v>8</v>
      </c>
      <c r="C122" s="28">
        <v>400</v>
      </c>
      <c r="D122" s="28">
        <v>134</v>
      </c>
      <c r="E122" s="28">
        <v>534</v>
      </c>
      <c r="F122" s="19">
        <f>M33</f>
        <v>6.0500000000000007</v>
      </c>
      <c r="G122" s="21">
        <f t="shared" si="4"/>
        <v>6.0500000000000007</v>
      </c>
    </row>
    <row r="123" spans="1:7" x14ac:dyDescent="0.25">
      <c r="A123" s="4" t="s">
        <v>941</v>
      </c>
      <c r="B123" s="28">
        <v>8</v>
      </c>
      <c r="C123" s="28">
        <v>450</v>
      </c>
      <c r="D123" s="28">
        <v>134</v>
      </c>
      <c r="E123" s="28">
        <v>584</v>
      </c>
      <c r="F123" s="19">
        <f>M33</f>
        <v>6.0500000000000007</v>
      </c>
      <c r="G123" s="21">
        <f t="shared" si="4"/>
        <v>6.0500000000000007</v>
      </c>
    </row>
    <row r="124" spans="1:7" x14ac:dyDescent="0.25">
      <c r="A124" s="4" t="s">
        <v>943</v>
      </c>
      <c r="B124" s="28">
        <v>8</v>
      </c>
      <c r="C124" s="28">
        <v>500</v>
      </c>
      <c r="D124" s="28">
        <v>134</v>
      </c>
      <c r="E124" s="28">
        <v>634</v>
      </c>
      <c r="F124" s="19">
        <f>M33</f>
        <v>6.0500000000000007</v>
      </c>
      <c r="G124" s="21">
        <f t="shared" si="4"/>
        <v>6.0500000000000007</v>
      </c>
    </row>
    <row r="125" spans="1:7" x14ac:dyDescent="0.25">
      <c r="B125" s="2"/>
      <c r="C125" s="2"/>
      <c r="D125" s="2"/>
      <c r="E125" s="2"/>
    </row>
    <row r="126" spans="1:7" x14ac:dyDescent="0.25">
      <c r="B126" s="2"/>
      <c r="C126" s="2"/>
      <c r="D126" s="2"/>
      <c r="E126" s="2"/>
    </row>
    <row r="127" spans="1:7" x14ac:dyDescent="0.25">
      <c r="B127" s="2"/>
      <c r="C127" s="2"/>
      <c r="D127" s="2"/>
      <c r="E127" s="2"/>
    </row>
    <row r="128" spans="1:7" x14ac:dyDescent="0.25">
      <c r="B128" s="2"/>
      <c r="C128" s="2"/>
      <c r="D128" s="2"/>
      <c r="E128" s="2"/>
    </row>
    <row r="129" spans="2:5" x14ac:dyDescent="0.25">
      <c r="B129" s="2"/>
      <c r="C129" s="2"/>
      <c r="D129" s="2"/>
      <c r="E129" s="2"/>
    </row>
    <row r="130" spans="2:5" x14ac:dyDescent="0.25">
      <c r="B130" s="2"/>
      <c r="C130" s="2"/>
      <c r="D130" s="2"/>
      <c r="E130" s="2"/>
    </row>
    <row r="131" spans="2:5" x14ac:dyDescent="0.25">
      <c r="B131" s="2"/>
      <c r="C131" s="2"/>
      <c r="D131" s="2"/>
      <c r="E131" s="2"/>
    </row>
    <row r="132" spans="2:5" x14ac:dyDescent="0.25">
      <c r="B132" s="2"/>
      <c r="C132" s="2"/>
      <c r="D132" s="2"/>
      <c r="E132" s="2"/>
    </row>
    <row r="133" spans="2:5" x14ac:dyDescent="0.25">
      <c r="B133" s="2"/>
      <c r="C133" s="2"/>
      <c r="D133" s="2"/>
      <c r="E133" s="2"/>
    </row>
    <row r="134" spans="2:5" x14ac:dyDescent="0.25">
      <c r="B134" s="2"/>
      <c r="C134" s="2"/>
      <c r="D134" s="2"/>
      <c r="E134" s="2"/>
    </row>
    <row r="135" spans="2:5" x14ac:dyDescent="0.25">
      <c r="B135" s="2"/>
      <c r="C135" s="2"/>
      <c r="D135" s="2"/>
      <c r="E135" s="2"/>
    </row>
    <row r="136" spans="2:5" x14ac:dyDescent="0.25">
      <c r="B136" s="2"/>
      <c r="C136" s="2"/>
      <c r="D136" s="2"/>
      <c r="E136" s="2"/>
    </row>
    <row r="137" spans="2:5" x14ac:dyDescent="0.25">
      <c r="B137" s="2"/>
      <c r="C137" s="2"/>
      <c r="D137" s="2"/>
      <c r="E137" s="2"/>
    </row>
    <row r="138" spans="2:5" x14ac:dyDescent="0.25">
      <c r="B138" s="2"/>
      <c r="C138" s="2"/>
      <c r="D138" s="2"/>
      <c r="E138" s="2"/>
    </row>
    <row r="139" spans="2:5" x14ac:dyDescent="0.25">
      <c r="B139" s="2"/>
      <c r="C139" s="2"/>
      <c r="D139" s="2"/>
      <c r="E139" s="2"/>
    </row>
    <row r="140" spans="2:5" x14ac:dyDescent="0.25">
      <c r="B140" s="2"/>
      <c r="C140" s="2"/>
      <c r="D140" s="2"/>
      <c r="E140" s="2"/>
    </row>
    <row r="141" spans="2:5" x14ac:dyDescent="0.25">
      <c r="B141" s="2"/>
      <c r="C141" s="2"/>
      <c r="D141" s="2"/>
      <c r="E141" s="2"/>
    </row>
    <row r="142" spans="2:5" x14ac:dyDescent="0.25">
      <c r="B142" s="2"/>
      <c r="C142" s="2"/>
      <c r="D142" s="2"/>
      <c r="E142" s="2"/>
    </row>
    <row r="143" spans="2:5" x14ac:dyDescent="0.25">
      <c r="B143" s="2"/>
      <c r="C143" s="2"/>
      <c r="D143" s="2"/>
      <c r="E143" s="2"/>
    </row>
    <row r="144" spans="2:5" x14ac:dyDescent="0.25">
      <c r="B144" s="2"/>
      <c r="C144" s="2"/>
      <c r="D144" s="2"/>
      <c r="E144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D32"/>
  <sheetViews>
    <sheetView workbookViewId="0">
      <selection activeCell="F36" sqref="F36"/>
    </sheetView>
  </sheetViews>
  <sheetFormatPr defaultRowHeight="16.5" x14ac:dyDescent="0.25"/>
  <cols>
    <col min="1" max="2" width="12.75" customWidth="1"/>
    <col min="3" max="30" width="9" style="2"/>
  </cols>
  <sheetData>
    <row r="2" spans="1:9" x14ac:dyDescent="0.25">
      <c r="C2" s="2" t="s">
        <v>825</v>
      </c>
    </row>
    <row r="4" spans="1:9" x14ac:dyDescent="0.25">
      <c r="B4" s="2" t="s">
        <v>828</v>
      </c>
      <c r="C4" s="2" t="s">
        <v>454</v>
      </c>
      <c r="D4" s="2" t="s">
        <v>453</v>
      </c>
      <c r="E4" s="2" t="s">
        <v>645</v>
      </c>
      <c r="G4" s="2" t="s">
        <v>975</v>
      </c>
      <c r="H4" s="2" t="s">
        <v>826</v>
      </c>
      <c r="I4" s="2" t="s">
        <v>827</v>
      </c>
    </row>
    <row r="5" spans="1:9" x14ac:dyDescent="0.25">
      <c r="A5" t="s">
        <v>808</v>
      </c>
      <c r="B5" s="2">
        <v>2</v>
      </c>
      <c r="C5" s="2">
        <f>E5-D5</f>
        <v>50</v>
      </c>
      <c r="D5" s="2">
        <v>75</v>
      </c>
      <c r="E5" s="2">
        <v>125</v>
      </c>
      <c r="G5" s="78">
        <v>1.1000000000000001</v>
      </c>
      <c r="H5" s="2">
        <v>1.1000000000000001</v>
      </c>
      <c r="I5" s="79">
        <f>H5*G5</f>
        <v>1.2100000000000002</v>
      </c>
    </row>
    <row r="6" spans="1:9" x14ac:dyDescent="0.25">
      <c r="A6" t="s">
        <v>816</v>
      </c>
      <c r="B6" s="2">
        <v>2.5</v>
      </c>
      <c r="C6" s="2">
        <f t="shared" ref="C6:C31" si="0">E6-D6</f>
        <v>50</v>
      </c>
      <c r="D6" s="2">
        <v>100</v>
      </c>
      <c r="E6" s="2">
        <v>150</v>
      </c>
      <c r="G6" s="78">
        <v>1.5</v>
      </c>
      <c r="H6" s="2">
        <v>1.1000000000000001</v>
      </c>
      <c r="I6" s="79">
        <f t="shared" ref="I6:I31" si="1">H6*G6</f>
        <v>1.6500000000000001</v>
      </c>
    </row>
    <row r="7" spans="1:9" x14ac:dyDescent="0.25">
      <c r="A7" t="s">
        <v>809</v>
      </c>
      <c r="B7" s="2">
        <v>3</v>
      </c>
      <c r="C7" s="2">
        <f t="shared" si="0"/>
        <v>50</v>
      </c>
      <c r="D7" s="2">
        <v>100</v>
      </c>
      <c r="E7" s="2">
        <v>150</v>
      </c>
      <c r="G7" s="78">
        <v>1.75</v>
      </c>
      <c r="H7" s="2">
        <v>1.1000000000000001</v>
      </c>
      <c r="I7" s="79">
        <f t="shared" si="1"/>
        <v>1.9250000000000003</v>
      </c>
    </row>
    <row r="8" spans="1:9" x14ac:dyDescent="0.25">
      <c r="A8" t="s">
        <v>810</v>
      </c>
      <c r="B8" s="2">
        <v>4</v>
      </c>
      <c r="C8" s="2">
        <f t="shared" si="0"/>
        <v>60</v>
      </c>
      <c r="D8" s="2">
        <v>100</v>
      </c>
      <c r="E8" s="2">
        <v>160</v>
      </c>
      <c r="G8" s="78">
        <v>2.1</v>
      </c>
      <c r="H8" s="2">
        <v>1.1000000000000001</v>
      </c>
      <c r="I8" s="79">
        <f t="shared" si="1"/>
        <v>2.3100000000000005</v>
      </c>
    </row>
    <row r="9" spans="1:9" x14ac:dyDescent="0.25">
      <c r="A9" t="s">
        <v>811</v>
      </c>
      <c r="B9" s="2">
        <v>5</v>
      </c>
      <c r="C9" s="2">
        <f t="shared" si="0"/>
        <v>60</v>
      </c>
      <c r="D9" s="2">
        <v>100</v>
      </c>
      <c r="E9" s="2">
        <v>160</v>
      </c>
      <c r="G9" s="78">
        <v>2.85</v>
      </c>
      <c r="H9" s="2">
        <v>1.1000000000000001</v>
      </c>
      <c r="I9" s="79">
        <f t="shared" si="1"/>
        <v>3.1350000000000002</v>
      </c>
    </row>
    <row r="10" spans="1:9" x14ac:dyDescent="0.25">
      <c r="A10" t="s">
        <v>812</v>
      </c>
      <c r="B10" s="2">
        <v>6</v>
      </c>
      <c r="C10" s="2">
        <f t="shared" si="0"/>
        <v>80</v>
      </c>
      <c r="D10" s="2">
        <v>125</v>
      </c>
      <c r="E10" s="2">
        <v>205</v>
      </c>
      <c r="G10" s="78">
        <v>4.1500000000000004</v>
      </c>
      <c r="H10" s="2">
        <v>1.1000000000000001</v>
      </c>
      <c r="I10" s="79">
        <f t="shared" si="1"/>
        <v>4.5650000000000004</v>
      </c>
    </row>
    <row r="11" spans="1:9" x14ac:dyDescent="0.25">
      <c r="A11" t="s">
        <v>813</v>
      </c>
      <c r="B11" s="2">
        <v>6</v>
      </c>
      <c r="C11" s="2">
        <f t="shared" si="0"/>
        <v>80</v>
      </c>
      <c r="D11" s="2">
        <v>150</v>
      </c>
      <c r="E11" s="2">
        <v>230</v>
      </c>
      <c r="G11" s="78">
        <v>4.5999999999999996</v>
      </c>
      <c r="H11" s="2">
        <v>1.1000000000000001</v>
      </c>
      <c r="I11" s="79">
        <f t="shared" si="1"/>
        <v>5.0599999999999996</v>
      </c>
    </row>
    <row r="12" spans="1:9" x14ac:dyDescent="0.25">
      <c r="A12" t="s">
        <v>814</v>
      </c>
      <c r="B12" s="2">
        <v>8</v>
      </c>
      <c r="C12" s="2">
        <f t="shared" si="0"/>
        <v>95</v>
      </c>
      <c r="D12" s="2">
        <v>150</v>
      </c>
      <c r="E12" s="2">
        <v>245</v>
      </c>
      <c r="G12" s="78">
        <v>8.5500000000000007</v>
      </c>
      <c r="H12" s="2">
        <v>1.1000000000000001</v>
      </c>
      <c r="I12" s="79">
        <f t="shared" si="1"/>
        <v>9.4050000000000011</v>
      </c>
    </row>
    <row r="13" spans="1:9" x14ac:dyDescent="0.25">
      <c r="A13" t="s">
        <v>815</v>
      </c>
      <c r="B13" s="2">
        <v>10</v>
      </c>
      <c r="C13" s="2">
        <f t="shared" si="0"/>
        <v>84</v>
      </c>
      <c r="D13" s="2">
        <v>200</v>
      </c>
      <c r="E13" s="2">
        <v>284</v>
      </c>
      <c r="G13" s="78">
        <v>14</v>
      </c>
      <c r="H13" s="2">
        <v>1.1000000000000001</v>
      </c>
      <c r="I13" s="79">
        <f t="shared" si="1"/>
        <v>15.400000000000002</v>
      </c>
    </row>
    <row r="14" spans="1:9" x14ac:dyDescent="0.25">
      <c r="A14" t="s">
        <v>799</v>
      </c>
      <c r="B14" s="2">
        <v>2</v>
      </c>
      <c r="C14" s="2">
        <f t="shared" si="0"/>
        <v>50</v>
      </c>
      <c r="D14" s="2">
        <v>75</v>
      </c>
      <c r="E14" s="2">
        <v>125</v>
      </c>
      <c r="G14" s="78">
        <v>1.6</v>
      </c>
      <c r="H14" s="2">
        <v>1.1000000000000001</v>
      </c>
      <c r="I14" s="79">
        <f t="shared" si="1"/>
        <v>1.7600000000000002</v>
      </c>
    </row>
    <row r="15" spans="1:9" x14ac:dyDescent="0.25">
      <c r="A15" t="s">
        <v>800</v>
      </c>
      <c r="B15" s="2">
        <v>2.5</v>
      </c>
      <c r="C15" s="2">
        <f t="shared" si="0"/>
        <v>50</v>
      </c>
      <c r="D15" s="2">
        <v>100</v>
      </c>
      <c r="E15" s="2">
        <v>150</v>
      </c>
      <c r="G15" s="78">
        <v>1.9</v>
      </c>
      <c r="H15" s="2">
        <v>1.1000000000000001</v>
      </c>
      <c r="I15" s="79">
        <f t="shared" si="1"/>
        <v>2.09</v>
      </c>
    </row>
    <row r="16" spans="1:9" x14ac:dyDescent="0.25">
      <c r="A16" t="s">
        <v>801</v>
      </c>
      <c r="B16" s="2">
        <v>3</v>
      </c>
      <c r="C16" s="2">
        <f t="shared" si="0"/>
        <v>50</v>
      </c>
      <c r="D16" s="2">
        <v>100</v>
      </c>
      <c r="E16" s="2">
        <v>150</v>
      </c>
      <c r="G16" s="78">
        <v>2.25</v>
      </c>
      <c r="H16" s="2">
        <v>1.1000000000000001</v>
      </c>
      <c r="I16" s="79">
        <f t="shared" si="1"/>
        <v>2.4750000000000001</v>
      </c>
    </row>
    <row r="17" spans="1:30" x14ac:dyDescent="0.25">
      <c r="A17" t="s">
        <v>802</v>
      </c>
      <c r="B17" s="2">
        <v>4</v>
      </c>
      <c r="C17" s="2">
        <f t="shared" si="0"/>
        <v>60</v>
      </c>
      <c r="D17" s="2">
        <v>100</v>
      </c>
      <c r="E17" s="2">
        <v>160</v>
      </c>
      <c r="G17" s="78">
        <v>2.7</v>
      </c>
      <c r="H17" s="2">
        <v>1.1000000000000001</v>
      </c>
      <c r="I17" s="79">
        <f t="shared" si="1"/>
        <v>2.9700000000000006</v>
      </c>
    </row>
    <row r="18" spans="1:30" x14ac:dyDescent="0.25">
      <c r="A18" t="s">
        <v>803</v>
      </c>
      <c r="B18" s="2">
        <v>5</v>
      </c>
      <c r="C18" s="2">
        <f t="shared" si="0"/>
        <v>60</v>
      </c>
      <c r="D18" s="2">
        <v>100</v>
      </c>
      <c r="E18" s="2">
        <v>160</v>
      </c>
      <c r="G18" s="78">
        <v>3.45</v>
      </c>
      <c r="H18" s="2">
        <v>1.1000000000000001</v>
      </c>
      <c r="I18" s="79">
        <f t="shared" si="1"/>
        <v>3.7950000000000004</v>
      </c>
    </row>
    <row r="19" spans="1:30" x14ac:dyDescent="0.25">
      <c r="A19" t="s">
        <v>804</v>
      </c>
      <c r="B19" s="2">
        <v>6</v>
      </c>
      <c r="C19" s="2">
        <f t="shared" si="0"/>
        <v>80</v>
      </c>
      <c r="D19" s="2">
        <v>125</v>
      </c>
      <c r="E19" s="2">
        <v>205</v>
      </c>
      <c r="G19" s="78">
        <v>4.75</v>
      </c>
      <c r="H19" s="2">
        <v>1.1000000000000001</v>
      </c>
      <c r="I19" s="79">
        <f t="shared" si="1"/>
        <v>5.2250000000000005</v>
      </c>
    </row>
    <row r="20" spans="1:30" x14ac:dyDescent="0.25">
      <c r="A20" t="s">
        <v>805</v>
      </c>
      <c r="B20" s="2">
        <v>6</v>
      </c>
      <c r="C20" s="2">
        <f t="shared" si="0"/>
        <v>80</v>
      </c>
      <c r="D20" s="2">
        <v>150</v>
      </c>
      <c r="E20" s="2">
        <v>230</v>
      </c>
      <c r="G20" s="78">
        <v>5.25</v>
      </c>
      <c r="H20" s="2">
        <v>1.1000000000000001</v>
      </c>
      <c r="I20" s="79">
        <f t="shared" si="1"/>
        <v>5.7750000000000004</v>
      </c>
    </row>
    <row r="21" spans="1:30" x14ac:dyDescent="0.25">
      <c r="A21" t="s">
        <v>806</v>
      </c>
      <c r="B21" s="2">
        <v>8</v>
      </c>
      <c r="C21" s="2">
        <f t="shared" si="0"/>
        <v>95</v>
      </c>
      <c r="D21" s="2">
        <v>150</v>
      </c>
      <c r="E21" s="2">
        <v>245</v>
      </c>
      <c r="G21" s="78">
        <v>9.25</v>
      </c>
      <c r="H21" s="2">
        <v>1.1000000000000001</v>
      </c>
      <c r="I21" s="79">
        <f t="shared" si="1"/>
        <v>10.175000000000001</v>
      </c>
    </row>
    <row r="22" spans="1:30" x14ac:dyDescent="0.25">
      <c r="A22" t="s">
        <v>807</v>
      </c>
      <c r="B22" s="2">
        <v>10</v>
      </c>
      <c r="C22" s="2">
        <f t="shared" si="0"/>
        <v>84</v>
      </c>
      <c r="D22" s="2">
        <v>200</v>
      </c>
      <c r="E22" s="2">
        <v>284</v>
      </c>
      <c r="G22" s="78">
        <v>15.5</v>
      </c>
      <c r="H22" s="2">
        <v>1.1000000000000001</v>
      </c>
      <c r="I22" s="79">
        <f t="shared" si="1"/>
        <v>17.05</v>
      </c>
    </row>
    <row r="23" spans="1:30" x14ac:dyDescent="0.25">
      <c r="A23" t="s">
        <v>799</v>
      </c>
      <c r="B23" s="2">
        <v>2</v>
      </c>
      <c r="C23" s="2">
        <f t="shared" si="0"/>
        <v>50</v>
      </c>
      <c r="D23" s="2">
        <v>75</v>
      </c>
      <c r="E23" s="2">
        <v>125</v>
      </c>
      <c r="G23" s="78">
        <v>1.8</v>
      </c>
      <c r="H23" s="2">
        <v>1.1000000000000001</v>
      </c>
      <c r="I23" s="79">
        <f t="shared" si="1"/>
        <v>1.9800000000000002</v>
      </c>
    </row>
    <row r="24" spans="1:30" x14ac:dyDescent="0.25">
      <c r="A24" t="s">
        <v>817</v>
      </c>
      <c r="B24" s="2">
        <v>2.5</v>
      </c>
      <c r="C24" s="2">
        <f t="shared" si="0"/>
        <v>50</v>
      </c>
      <c r="D24" s="2">
        <v>100</v>
      </c>
      <c r="E24" s="2">
        <v>150</v>
      </c>
      <c r="G24" s="78">
        <v>2.2000000000000002</v>
      </c>
      <c r="H24" s="2">
        <v>1.1000000000000001</v>
      </c>
      <c r="I24" s="79">
        <f t="shared" si="1"/>
        <v>2.4200000000000004</v>
      </c>
    </row>
    <row r="25" spans="1:30" x14ac:dyDescent="0.25">
      <c r="A25" t="s">
        <v>818</v>
      </c>
      <c r="B25" s="2">
        <v>3</v>
      </c>
      <c r="C25" s="2">
        <f t="shared" si="0"/>
        <v>50</v>
      </c>
      <c r="D25" s="2">
        <v>100</v>
      </c>
      <c r="E25" s="2">
        <v>150</v>
      </c>
      <c r="G25" s="78">
        <v>2.4500000000000002</v>
      </c>
      <c r="H25" s="2">
        <v>1.1000000000000001</v>
      </c>
      <c r="I25" s="79">
        <f t="shared" si="1"/>
        <v>2.6950000000000003</v>
      </c>
    </row>
    <row r="26" spans="1:30" x14ac:dyDescent="0.25">
      <c r="A26" t="s">
        <v>819</v>
      </c>
      <c r="B26" s="2">
        <v>4</v>
      </c>
      <c r="C26" s="2">
        <f t="shared" si="0"/>
        <v>60</v>
      </c>
      <c r="D26" s="2">
        <v>100</v>
      </c>
      <c r="E26" s="2">
        <v>160</v>
      </c>
      <c r="G26" s="78">
        <v>2.8</v>
      </c>
      <c r="H26" s="2">
        <v>1.1000000000000001</v>
      </c>
      <c r="I26" s="79">
        <f t="shared" si="1"/>
        <v>3.08</v>
      </c>
    </row>
    <row r="27" spans="1:30" x14ac:dyDescent="0.25">
      <c r="A27" t="s">
        <v>820</v>
      </c>
      <c r="B27" s="2">
        <v>5</v>
      </c>
      <c r="C27" s="2">
        <f t="shared" si="0"/>
        <v>60</v>
      </c>
      <c r="D27" s="2">
        <v>100</v>
      </c>
      <c r="E27" s="2">
        <v>160</v>
      </c>
      <c r="G27" s="78">
        <v>3.55</v>
      </c>
      <c r="H27" s="2">
        <v>1.1000000000000001</v>
      </c>
      <c r="I27" s="79">
        <f t="shared" si="1"/>
        <v>3.9050000000000002</v>
      </c>
    </row>
    <row r="28" spans="1:30" x14ac:dyDescent="0.25">
      <c r="A28" t="s">
        <v>821</v>
      </c>
      <c r="B28" s="2">
        <v>6</v>
      </c>
      <c r="C28" s="2">
        <f t="shared" si="0"/>
        <v>80</v>
      </c>
      <c r="D28" s="2">
        <v>125</v>
      </c>
      <c r="E28" s="2">
        <v>205</v>
      </c>
      <c r="G28" s="78">
        <v>4.95</v>
      </c>
      <c r="H28" s="2">
        <v>1.1000000000000001</v>
      </c>
      <c r="I28" s="79">
        <f t="shared" si="1"/>
        <v>5.4450000000000003</v>
      </c>
    </row>
    <row r="29" spans="1:30" x14ac:dyDescent="0.25">
      <c r="A29" t="s">
        <v>822</v>
      </c>
      <c r="B29" s="2">
        <v>6</v>
      </c>
      <c r="C29" s="2">
        <f t="shared" si="0"/>
        <v>80</v>
      </c>
      <c r="D29" s="2">
        <v>150</v>
      </c>
      <c r="E29" s="2">
        <v>230</v>
      </c>
      <c r="G29" s="78">
        <v>5.4</v>
      </c>
      <c r="H29" s="2">
        <v>1.1000000000000001</v>
      </c>
      <c r="I29" s="79">
        <f t="shared" si="1"/>
        <v>5.9400000000000013</v>
      </c>
    </row>
    <row r="30" spans="1:30" x14ac:dyDescent="0.25">
      <c r="A30" t="s">
        <v>823</v>
      </c>
      <c r="B30" s="2">
        <v>8</v>
      </c>
      <c r="C30" s="2">
        <f t="shared" si="0"/>
        <v>95</v>
      </c>
      <c r="D30" s="2">
        <v>150</v>
      </c>
      <c r="E30" s="2">
        <v>245</v>
      </c>
      <c r="G30" s="78">
        <v>9.5500000000000007</v>
      </c>
      <c r="H30" s="2">
        <v>1.1000000000000001</v>
      </c>
      <c r="I30" s="79">
        <f t="shared" si="1"/>
        <v>10.505000000000001</v>
      </c>
    </row>
    <row r="31" spans="1:30" x14ac:dyDescent="0.25">
      <c r="A31" t="s">
        <v>824</v>
      </c>
      <c r="B31" s="2">
        <v>10</v>
      </c>
      <c r="C31" s="2">
        <f t="shared" si="0"/>
        <v>84</v>
      </c>
      <c r="D31" s="2">
        <v>200</v>
      </c>
      <c r="E31" s="2">
        <v>284</v>
      </c>
      <c r="G31" s="78">
        <v>15.1</v>
      </c>
      <c r="H31" s="2">
        <v>1.1000000000000001</v>
      </c>
      <c r="I31" s="79">
        <f t="shared" si="1"/>
        <v>16.61</v>
      </c>
    </row>
    <row r="32" spans="1:30" x14ac:dyDescent="0.25">
      <c r="AB32"/>
      <c r="AC32"/>
      <c r="AD3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03"/>
  <sheetViews>
    <sheetView zoomScale="80" zoomScaleNormal="80" workbookViewId="0">
      <selection activeCell="A323" sqref="A323:I403"/>
    </sheetView>
  </sheetViews>
  <sheetFormatPr defaultRowHeight="16.5" x14ac:dyDescent="0.25"/>
  <cols>
    <col min="1" max="1" width="17.375" customWidth="1"/>
    <col min="2" max="6" width="10.625" style="2" customWidth="1"/>
    <col min="7" max="7" width="25.75" style="2" customWidth="1"/>
    <col min="8" max="9" width="10.625" style="2" customWidth="1"/>
    <col min="10" max="11" width="10.625" customWidth="1"/>
    <col min="12" max="12" width="10.625" style="2" customWidth="1"/>
    <col min="13" max="15" width="13.875" style="2" customWidth="1"/>
    <col min="16" max="17" width="10.625" style="2" customWidth="1"/>
    <col min="18" max="19" width="9" style="2"/>
  </cols>
  <sheetData>
    <row r="1" spans="1:16" ht="21" x14ac:dyDescent="0.25">
      <c r="A1" s="25" t="s">
        <v>482</v>
      </c>
      <c r="B1" s="2" t="s">
        <v>443</v>
      </c>
      <c r="C1" s="2" t="s">
        <v>452</v>
      </c>
      <c r="D1" s="2" t="s">
        <v>454</v>
      </c>
      <c r="E1" s="2" t="s">
        <v>830</v>
      </c>
      <c r="F1" s="2" t="s">
        <v>450</v>
      </c>
      <c r="G1" s="2" t="s">
        <v>946</v>
      </c>
      <c r="H1" s="2" t="s">
        <v>446</v>
      </c>
      <c r="I1" s="2" t="s">
        <v>448</v>
      </c>
    </row>
    <row r="2" spans="1:16" x14ac:dyDescent="0.25">
      <c r="A2" s="23" t="s">
        <v>441</v>
      </c>
      <c r="B2" s="18" t="s">
        <v>478</v>
      </c>
    </row>
    <row r="3" spans="1:16" x14ac:dyDescent="0.25">
      <c r="A3" s="23" t="s">
        <v>479</v>
      </c>
      <c r="B3" s="18" t="s">
        <v>771</v>
      </c>
      <c r="H3" s="32"/>
      <c r="M3" s="2" t="s">
        <v>976</v>
      </c>
    </row>
    <row r="4" spans="1:16" x14ac:dyDescent="0.25">
      <c r="B4" s="18"/>
    </row>
    <row r="5" spans="1:16" ht="17.25" thickBot="1" x14ac:dyDescent="0.3"/>
    <row r="6" spans="1:16" x14ac:dyDescent="0.25">
      <c r="A6" t="s">
        <v>0</v>
      </c>
      <c r="B6" s="2" t="s">
        <v>443</v>
      </c>
      <c r="C6" s="2" t="s">
        <v>452</v>
      </c>
      <c r="D6" s="2" t="s">
        <v>454</v>
      </c>
      <c r="E6" s="2" t="s">
        <v>645</v>
      </c>
      <c r="F6" s="2" t="s">
        <v>450</v>
      </c>
      <c r="G6" s="2" t="s">
        <v>595</v>
      </c>
      <c r="H6" s="19" t="s">
        <v>948</v>
      </c>
      <c r="I6" s="21" t="s">
        <v>448</v>
      </c>
      <c r="L6" s="61" t="s">
        <v>666</v>
      </c>
      <c r="M6" s="37" t="s">
        <v>490</v>
      </c>
      <c r="N6" s="37" t="s">
        <v>1007</v>
      </c>
      <c r="O6" s="37" t="s">
        <v>776</v>
      </c>
      <c r="P6" s="38" t="s">
        <v>777</v>
      </c>
    </row>
    <row r="7" spans="1:16" x14ac:dyDescent="0.25">
      <c r="A7" t="s">
        <v>11</v>
      </c>
      <c r="B7" s="2">
        <v>3</v>
      </c>
      <c r="C7" s="2">
        <v>60</v>
      </c>
      <c r="D7" s="49">
        <v>60</v>
      </c>
      <c r="E7" s="2">
        <f>D7+C7</f>
        <v>120</v>
      </c>
      <c r="F7" s="2">
        <v>6.1700000000000001E-3</v>
      </c>
      <c r="G7" s="26">
        <f>B7*B7*E7*F7</f>
        <v>6.6635999999999997</v>
      </c>
      <c r="H7" s="19">
        <f>P7</f>
        <v>18</v>
      </c>
      <c r="I7" s="22">
        <f t="shared" ref="I7:I70" si="0">G7*H7/1000</f>
        <v>0.1199448</v>
      </c>
      <c r="L7" s="62" t="s">
        <v>667</v>
      </c>
      <c r="M7" s="40" t="s">
        <v>668</v>
      </c>
      <c r="N7" s="51">
        <v>15</v>
      </c>
      <c r="O7" s="40">
        <v>1.2</v>
      </c>
      <c r="P7" s="45">
        <f>O7*N7</f>
        <v>18</v>
      </c>
    </row>
    <row r="8" spans="1:16" x14ac:dyDescent="0.25">
      <c r="A8" t="s">
        <v>13</v>
      </c>
      <c r="B8" s="2">
        <v>3</v>
      </c>
      <c r="C8" s="2">
        <v>80</v>
      </c>
      <c r="D8" s="49">
        <v>60</v>
      </c>
      <c r="E8" s="2">
        <f t="shared" ref="E8:E71" si="1">D8+C8</f>
        <v>140</v>
      </c>
      <c r="F8" s="2">
        <v>6.1700000000000001E-3</v>
      </c>
      <c r="G8" s="26">
        <f t="shared" ref="G8:G71" si="2">B8*B8*E8*F8</f>
        <v>7.7742000000000004</v>
      </c>
      <c r="H8" s="19">
        <f>P7</f>
        <v>18</v>
      </c>
      <c r="I8" s="22">
        <f t="shared" si="0"/>
        <v>0.13993560000000002</v>
      </c>
      <c r="L8" s="62" t="s">
        <v>667</v>
      </c>
      <c r="M8" s="40" t="s">
        <v>669</v>
      </c>
      <c r="N8" s="51">
        <v>10.199999999999999</v>
      </c>
      <c r="O8" s="40">
        <v>1.2</v>
      </c>
      <c r="P8" s="45">
        <f t="shared" ref="P8:P15" si="3">O8*N8</f>
        <v>12.239999999999998</v>
      </c>
    </row>
    <row r="9" spans="1:16" x14ac:dyDescent="0.25">
      <c r="A9" t="s">
        <v>15</v>
      </c>
      <c r="B9" s="2">
        <v>3</v>
      </c>
      <c r="C9" s="2">
        <v>100</v>
      </c>
      <c r="D9" s="49">
        <v>60</v>
      </c>
      <c r="E9" s="2">
        <f t="shared" si="1"/>
        <v>160</v>
      </c>
      <c r="F9" s="2">
        <v>6.1700000000000001E-3</v>
      </c>
      <c r="G9" s="26">
        <f t="shared" si="2"/>
        <v>8.8848000000000003</v>
      </c>
      <c r="H9" s="19">
        <f>P7</f>
        <v>18</v>
      </c>
      <c r="I9" s="22">
        <f t="shared" si="0"/>
        <v>0.1599264</v>
      </c>
      <c r="L9" s="62" t="s">
        <v>667</v>
      </c>
      <c r="M9" s="40" t="s">
        <v>670</v>
      </c>
      <c r="N9" s="51">
        <v>31.2</v>
      </c>
      <c r="O9" s="40">
        <v>1.2</v>
      </c>
      <c r="P9" s="45">
        <f t="shared" si="3"/>
        <v>37.44</v>
      </c>
    </row>
    <row r="10" spans="1:16" x14ac:dyDescent="0.25">
      <c r="A10" t="s">
        <v>17</v>
      </c>
      <c r="B10" s="2">
        <v>3</v>
      </c>
      <c r="C10" s="2">
        <v>125</v>
      </c>
      <c r="D10" s="49">
        <v>60</v>
      </c>
      <c r="E10" s="2">
        <f t="shared" si="1"/>
        <v>185</v>
      </c>
      <c r="F10" s="2">
        <v>6.1700000000000001E-3</v>
      </c>
      <c r="G10" s="26">
        <f t="shared" si="2"/>
        <v>10.27305</v>
      </c>
      <c r="H10" s="19">
        <f>P7</f>
        <v>18</v>
      </c>
      <c r="I10" s="22">
        <f t="shared" si="0"/>
        <v>0.18491489999999999</v>
      </c>
      <c r="L10" s="62"/>
      <c r="M10" s="40" t="s">
        <v>674</v>
      </c>
      <c r="N10" s="51"/>
      <c r="O10" s="40">
        <v>1.2</v>
      </c>
      <c r="P10" s="45">
        <f t="shared" si="3"/>
        <v>0</v>
      </c>
    </row>
    <row r="11" spans="1:16" x14ac:dyDescent="0.25">
      <c r="A11" t="s">
        <v>19</v>
      </c>
      <c r="B11" s="2">
        <v>3</v>
      </c>
      <c r="C11" s="2">
        <v>150</v>
      </c>
      <c r="D11" s="49">
        <v>60</v>
      </c>
      <c r="E11" s="2">
        <f t="shared" si="1"/>
        <v>210</v>
      </c>
      <c r="F11" s="2">
        <v>6.1700000000000001E-3</v>
      </c>
      <c r="G11" s="26">
        <f t="shared" si="2"/>
        <v>11.661300000000001</v>
      </c>
      <c r="H11" s="19">
        <f>P7</f>
        <v>18</v>
      </c>
      <c r="I11" s="22">
        <f t="shared" si="0"/>
        <v>0.20990340000000002</v>
      </c>
      <c r="L11" s="62"/>
      <c r="M11" s="40"/>
      <c r="N11" s="51"/>
      <c r="O11" s="40"/>
      <c r="P11" s="45"/>
    </row>
    <row r="12" spans="1:16" x14ac:dyDescent="0.25">
      <c r="A12" t="s">
        <v>21</v>
      </c>
      <c r="B12" s="2">
        <v>3</v>
      </c>
      <c r="C12" s="2">
        <v>200</v>
      </c>
      <c r="D12" s="49">
        <v>60</v>
      </c>
      <c r="E12" s="2">
        <f t="shared" si="1"/>
        <v>260</v>
      </c>
      <c r="F12" s="2">
        <v>6.1700000000000001E-3</v>
      </c>
      <c r="G12" s="26">
        <f t="shared" si="2"/>
        <v>14.437800000000001</v>
      </c>
      <c r="H12" s="19">
        <f>P7</f>
        <v>18</v>
      </c>
      <c r="I12" s="22">
        <f t="shared" si="0"/>
        <v>0.25988040000000001</v>
      </c>
      <c r="L12" s="62">
        <v>6150</v>
      </c>
      <c r="M12" s="63" t="s">
        <v>672</v>
      </c>
      <c r="N12" s="51">
        <v>10.199999999999999</v>
      </c>
      <c r="O12" s="63">
        <v>1.2</v>
      </c>
      <c r="P12" s="45">
        <f t="shared" si="3"/>
        <v>12.239999999999998</v>
      </c>
    </row>
    <row r="13" spans="1:16" x14ac:dyDescent="0.25">
      <c r="A13" t="s">
        <v>23</v>
      </c>
      <c r="B13" s="2">
        <v>3</v>
      </c>
      <c r="C13" s="2">
        <v>250</v>
      </c>
      <c r="D13" s="49">
        <v>60</v>
      </c>
      <c r="E13" s="2">
        <f t="shared" si="1"/>
        <v>310</v>
      </c>
      <c r="F13" s="2">
        <v>6.1700000000000001E-3</v>
      </c>
      <c r="G13" s="26">
        <f t="shared" si="2"/>
        <v>17.214300000000001</v>
      </c>
      <c r="H13" s="19">
        <f>P7</f>
        <v>18</v>
      </c>
      <c r="I13" s="22">
        <f t="shared" si="0"/>
        <v>0.30985740000000006</v>
      </c>
      <c r="L13" s="62">
        <v>6150</v>
      </c>
      <c r="M13" s="64" t="s">
        <v>673</v>
      </c>
      <c r="N13" s="51">
        <v>10.199999999999999</v>
      </c>
      <c r="O13" s="64">
        <v>1.2</v>
      </c>
      <c r="P13" s="45">
        <f t="shared" si="3"/>
        <v>12.239999999999998</v>
      </c>
    </row>
    <row r="14" spans="1:16" x14ac:dyDescent="0.25">
      <c r="A14" t="s">
        <v>25</v>
      </c>
      <c r="B14" s="2">
        <v>3</v>
      </c>
      <c r="C14" s="2">
        <v>300</v>
      </c>
      <c r="D14" s="49">
        <v>60</v>
      </c>
      <c r="E14" s="2">
        <f t="shared" si="1"/>
        <v>360</v>
      </c>
      <c r="F14" s="2">
        <v>6.1700000000000001E-3</v>
      </c>
      <c r="G14" s="26">
        <f t="shared" si="2"/>
        <v>19.9908</v>
      </c>
      <c r="H14" s="19">
        <f>P7</f>
        <v>18</v>
      </c>
      <c r="I14" s="22">
        <f t="shared" si="0"/>
        <v>0.3598344</v>
      </c>
      <c r="L14" s="62">
        <v>6150</v>
      </c>
      <c r="M14" s="64" t="s">
        <v>671</v>
      </c>
      <c r="N14" s="51">
        <v>19.2</v>
      </c>
      <c r="O14" s="64">
        <v>1.2</v>
      </c>
      <c r="P14" s="45">
        <f t="shared" si="3"/>
        <v>23.04</v>
      </c>
    </row>
    <row r="15" spans="1:16" ht="17.25" thickBot="1" x14ac:dyDescent="0.3">
      <c r="A15" t="s">
        <v>35</v>
      </c>
      <c r="B15" s="2">
        <v>5</v>
      </c>
      <c r="C15" s="2">
        <v>38</v>
      </c>
      <c r="D15" s="49">
        <v>45</v>
      </c>
      <c r="E15" s="2">
        <f t="shared" si="1"/>
        <v>83</v>
      </c>
      <c r="F15" s="2">
        <v>6.1700000000000001E-3</v>
      </c>
      <c r="G15" s="26">
        <f t="shared" si="2"/>
        <v>12.80275</v>
      </c>
      <c r="H15" s="19">
        <f>P8</f>
        <v>12.239999999999998</v>
      </c>
      <c r="I15" s="22">
        <f t="shared" si="0"/>
        <v>0.15670565999999997</v>
      </c>
      <c r="L15" s="65"/>
      <c r="M15" s="66" t="s">
        <v>674</v>
      </c>
      <c r="N15" s="53"/>
      <c r="O15" s="66">
        <v>1.2</v>
      </c>
      <c r="P15" s="46">
        <f t="shared" si="3"/>
        <v>0</v>
      </c>
    </row>
    <row r="16" spans="1:16" x14ac:dyDescent="0.25">
      <c r="A16" t="s">
        <v>27</v>
      </c>
      <c r="B16" s="2">
        <v>5</v>
      </c>
      <c r="C16" s="2">
        <v>80</v>
      </c>
      <c r="D16" s="49">
        <v>60</v>
      </c>
      <c r="E16" s="2">
        <f t="shared" si="1"/>
        <v>140</v>
      </c>
      <c r="F16" s="2">
        <v>6.1700000000000001E-3</v>
      </c>
      <c r="G16" s="26">
        <f t="shared" si="2"/>
        <v>21.594999999999999</v>
      </c>
      <c r="H16" s="19">
        <f>P8</f>
        <v>12.239999999999998</v>
      </c>
      <c r="I16" s="22">
        <f t="shared" si="0"/>
        <v>0.26432279999999997</v>
      </c>
    </row>
    <row r="17" spans="1:19" x14ac:dyDescent="0.25">
      <c r="A17" t="s">
        <v>29</v>
      </c>
      <c r="B17" s="2">
        <v>5</v>
      </c>
      <c r="C17" s="2">
        <v>100</v>
      </c>
      <c r="D17" s="49">
        <v>60</v>
      </c>
      <c r="E17" s="2">
        <f t="shared" si="1"/>
        <v>160</v>
      </c>
      <c r="F17" s="2">
        <v>6.1700000000000001E-3</v>
      </c>
      <c r="G17" s="26">
        <f t="shared" si="2"/>
        <v>24.68</v>
      </c>
      <c r="H17" s="19">
        <f>P8</f>
        <v>12.239999999999998</v>
      </c>
      <c r="I17" s="22">
        <f t="shared" si="0"/>
        <v>0.3020832</v>
      </c>
      <c r="K17" s="2"/>
      <c r="N17"/>
      <c r="O17"/>
      <c r="P17"/>
      <c r="Q17"/>
      <c r="R17"/>
      <c r="S17"/>
    </row>
    <row r="18" spans="1:19" x14ac:dyDescent="0.25">
      <c r="A18" t="s">
        <v>31</v>
      </c>
      <c r="B18" s="2">
        <v>5</v>
      </c>
      <c r="C18" s="2">
        <v>125</v>
      </c>
      <c r="D18" s="49">
        <v>60</v>
      </c>
      <c r="E18" s="2">
        <f t="shared" si="1"/>
        <v>185</v>
      </c>
      <c r="F18" s="2">
        <v>6.1700000000000001E-3</v>
      </c>
      <c r="G18" s="26">
        <f t="shared" si="2"/>
        <v>28.536249999999999</v>
      </c>
      <c r="H18" s="19">
        <f>P8</f>
        <v>12.239999999999998</v>
      </c>
      <c r="I18" s="22">
        <f t="shared" si="0"/>
        <v>0.34928369999999997</v>
      </c>
      <c r="K18" s="2"/>
      <c r="N18"/>
      <c r="O18"/>
      <c r="P18"/>
      <c r="Q18"/>
      <c r="R18"/>
      <c r="S18"/>
    </row>
    <row r="19" spans="1:19" x14ac:dyDescent="0.25">
      <c r="A19" t="s">
        <v>33</v>
      </c>
      <c r="B19" s="2">
        <v>5</v>
      </c>
      <c r="C19" s="2">
        <v>150</v>
      </c>
      <c r="D19" s="49">
        <v>60</v>
      </c>
      <c r="E19" s="2">
        <f t="shared" si="1"/>
        <v>210</v>
      </c>
      <c r="F19" s="2">
        <v>6.1700000000000001E-3</v>
      </c>
      <c r="G19" s="26">
        <f t="shared" si="2"/>
        <v>32.392499999999998</v>
      </c>
      <c r="H19" s="19">
        <f>P8</f>
        <v>12.239999999999998</v>
      </c>
      <c r="I19" s="22">
        <f t="shared" si="0"/>
        <v>0.39648419999999995</v>
      </c>
      <c r="K19" s="2"/>
      <c r="N19"/>
      <c r="O19"/>
      <c r="P19"/>
      <c r="Q19"/>
      <c r="R19"/>
      <c r="S19"/>
    </row>
    <row r="20" spans="1:19" x14ac:dyDescent="0.25">
      <c r="A20" t="s">
        <v>37</v>
      </c>
      <c r="B20" s="2">
        <v>5</v>
      </c>
      <c r="C20" s="2">
        <v>200</v>
      </c>
      <c r="D20" s="49">
        <v>60</v>
      </c>
      <c r="E20" s="2">
        <f t="shared" si="1"/>
        <v>260</v>
      </c>
      <c r="F20" s="2">
        <v>6.1700000000000001E-3</v>
      </c>
      <c r="G20" s="26">
        <f t="shared" si="2"/>
        <v>40.105000000000004</v>
      </c>
      <c r="H20" s="19">
        <f>P8</f>
        <v>12.239999999999998</v>
      </c>
      <c r="I20" s="22">
        <f t="shared" si="0"/>
        <v>0.49088520000000002</v>
      </c>
      <c r="K20" s="2"/>
      <c r="N20"/>
      <c r="O20"/>
      <c r="P20"/>
      <c r="Q20"/>
      <c r="R20"/>
      <c r="S20"/>
    </row>
    <row r="21" spans="1:19" x14ac:dyDescent="0.25">
      <c r="A21" t="s">
        <v>39</v>
      </c>
      <c r="B21" s="2">
        <v>5</v>
      </c>
      <c r="C21" s="2">
        <v>250</v>
      </c>
      <c r="D21" s="49">
        <v>60</v>
      </c>
      <c r="E21" s="2">
        <f t="shared" si="1"/>
        <v>310</v>
      </c>
      <c r="F21" s="2">
        <v>6.1700000000000001E-3</v>
      </c>
      <c r="G21" s="26">
        <f t="shared" si="2"/>
        <v>47.817500000000003</v>
      </c>
      <c r="H21" s="19">
        <f>P8</f>
        <v>12.239999999999998</v>
      </c>
      <c r="I21" s="22">
        <f t="shared" si="0"/>
        <v>0.58528619999999998</v>
      </c>
      <c r="K21" s="2"/>
      <c r="N21"/>
      <c r="O21"/>
      <c r="P21"/>
      <c r="Q21"/>
      <c r="R21"/>
      <c r="S21"/>
    </row>
    <row r="22" spans="1:19" x14ac:dyDescent="0.25">
      <c r="A22" t="s">
        <v>41</v>
      </c>
      <c r="B22" s="2">
        <v>5</v>
      </c>
      <c r="C22" s="2">
        <v>300</v>
      </c>
      <c r="D22" s="49">
        <v>60</v>
      </c>
      <c r="E22" s="2">
        <f t="shared" si="1"/>
        <v>360</v>
      </c>
      <c r="F22" s="2">
        <v>6.1700000000000001E-3</v>
      </c>
      <c r="G22" s="26">
        <f t="shared" si="2"/>
        <v>55.53</v>
      </c>
      <c r="H22" s="19">
        <f>P8</f>
        <v>12.239999999999998</v>
      </c>
      <c r="I22" s="22">
        <f t="shared" si="0"/>
        <v>0.67968719999999994</v>
      </c>
      <c r="K22" s="2"/>
      <c r="N22"/>
      <c r="O22"/>
      <c r="P22"/>
      <c r="Q22"/>
      <c r="R22"/>
      <c r="S22"/>
    </row>
    <row r="23" spans="1:19" x14ac:dyDescent="0.25">
      <c r="A23" t="s">
        <v>43</v>
      </c>
      <c r="B23" s="2">
        <v>5</v>
      </c>
      <c r="C23" s="2">
        <v>350</v>
      </c>
      <c r="D23" s="49">
        <v>60</v>
      </c>
      <c r="E23" s="2">
        <f t="shared" si="1"/>
        <v>410</v>
      </c>
      <c r="F23" s="2">
        <v>6.1700000000000001E-3</v>
      </c>
      <c r="G23" s="26">
        <f t="shared" si="2"/>
        <v>63.2425</v>
      </c>
      <c r="H23" s="19">
        <f>P8</f>
        <v>12.239999999999998</v>
      </c>
      <c r="I23" s="22">
        <f t="shared" si="0"/>
        <v>0.77408819999999989</v>
      </c>
      <c r="K23" s="2"/>
      <c r="N23"/>
      <c r="O23"/>
      <c r="P23"/>
      <c r="Q23"/>
      <c r="R23"/>
      <c r="S23"/>
    </row>
    <row r="24" spans="1:19" x14ac:dyDescent="0.25">
      <c r="A24" t="s">
        <v>45</v>
      </c>
      <c r="B24" s="2">
        <v>5</v>
      </c>
      <c r="C24" s="2">
        <v>400</v>
      </c>
      <c r="D24" s="49">
        <v>60</v>
      </c>
      <c r="E24" s="2">
        <f t="shared" si="1"/>
        <v>460</v>
      </c>
      <c r="F24" s="2">
        <v>6.1700000000000001E-3</v>
      </c>
      <c r="G24" s="26">
        <f t="shared" si="2"/>
        <v>70.954999999999998</v>
      </c>
      <c r="H24" s="19">
        <f>P9</f>
        <v>37.44</v>
      </c>
      <c r="I24" s="22">
        <f t="shared" si="0"/>
        <v>2.6565551999999997</v>
      </c>
      <c r="K24" s="2"/>
      <c r="N24"/>
      <c r="O24"/>
      <c r="P24"/>
      <c r="Q24"/>
      <c r="R24"/>
      <c r="S24"/>
    </row>
    <row r="25" spans="1:19" x14ac:dyDescent="0.25">
      <c r="A25" t="s">
        <v>47</v>
      </c>
      <c r="B25" s="2">
        <v>5</v>
      </c>
      <c r="C25" s="2">
        <v>500</v>
      </c>
      <c r="D25" s="49">
        <v>60</v>
      </c>
      <c r="E25" s="2">
        <f t="shared" si="1"/>
        <v>560</v>
      </c>
      <c r="F25" s="2">
        <v>6.1700000000000001E-3</v>
      </c>
      <c r="G25" s="26">
        <f t="shared" si="2"/>
        <v>86.38</v>
      </c>
      <c r="H25" s="19">
        <f>P9</f>
        <v>37.44</v>
      </c>
      <c r="I25" s="22">
        <f t="shared" si="0"/>
        <v>3.2340671999999997</v>
      </c>
    </row>
    <row r="26" spans="1:19" x14ac:dyDescent="0.25">
      <c r="A26" t="s">
        <v>49</v>
      </c>
      <c r="B26" s="2">
        <v>6</v>
      </c>
      <c r="C26" s="2">
        <v>38</v>
      </c>
      <c r="D26" s="49">
        <v>45</v>
      </c>
      <c r="E26" s="2">
        <f t="shared" si="1"/>
        <v>83</v>
      </c>
      <c r="F26" s="2">
        <v>6.1700000000000001E-3</v>
      </c>
      <c r="G26" s="26">
        <f t="shared" si="2"/>
        <v>18.435960000000001</v>
      </c>
      <c r="H26" s="19">
        <f>P8</f>
        <v>12.239999999999998</v>
      </c>
      <c r="I26" s="22">
        <f t="shared" si="0"/>
        <v>0.22565615040000001</v>
      </c>
    </row>
    <row r="27" spans="1:19" x14ac:dyDescent="0.25">
      <c r="A27" t="s">
        <v>51</v>
      </c>
      <c r="B27" s="2">
        <v>6</v>
      </c>
      <c r="C27" s="2">
        <v>100</v>
      </c>
      <c r="D27" s="49">
        <v>80</v>
      </c>
      <c r="E27" s="2">
        <f t="shared" si="1"/>
        <v>180</v>
      </c>
      <c r="F27" s="2">
        <v>6.1700000000000001E-3</v>
      </c>
      <c r="G27" s="26">
        <f t="shared" si="2"/>
        <v>39.9816</v>
      </c>
      <c r="H27" s="19">
        <f>P8</f>
        <v>12.239999999999998</v>
      </c>
      <c r="I27" s="22">
        <f t="shared" si="0"/>
        <v>0.4893747839999999</v>
      </c>
    </row>
    <row r="28" spans="1:19" x14ac:dyDescent="0.25">
      <c r="A28" t="s">
        <v>53</v>
      </c>
      <c r="B28" s="2">
        <v>6</v>
      </c>
      <c r="C28" s="2">
        <v>125</v>
      </c>
      <c r="D28" s="49">
        <v>80</v>
      </c>
      <c r="E28" s="2">
        <f t="shared" si="1"/>
        <v>205</v>
      </c>
      <c r="F28" s="2">
        <v>6.1700000000000001E-3</v>
      </c>
      <c r="G28" s="26">
        <f t="shared" si="2"/>
        <v>45.534599999999998</v>
      </c>
      <c r="H28" s="19">
        <f>P8</f>
        <v>12.239999999999998</v>
      </c>
      <c r="I28" s="22">
        <f t="shared" si="0"/>
        <v>0.55734350399999999</v>
      </c>
    </row>
    <row r="29" spans="1:19" x14ac:dyDescent="0.25">
      <c r="A29" t="s">
        <v>55</v>
      </c>
      <c r="B29" s="2">
        <v>6</v>
      </c>
      <c r="C29" s="2">
        <v>150</v>
      </c>
      <c r="D29" s="49">
        <v>80</v>
      </c>
      <c r="E29" s="2">
        <f t="shared" si="1"/>
        <v>230</v>
      </c>
      <c r="F29" s="2">
        <v>6.1700000000000001E-3</v>
      </c>
      <c r="G29" s="26">
        <f t="shared" si="2"/>
        <v>51.087600000000002</v>
      </c>
      <c r="H29" s="19">
        <f>P8</f>
        <v>12.239999999999998</v>
      </c>
      <c r="I29" s="22">
        <f t="shared" si="0"/>
        <v>0.62531222399999986</v>
      </c>
    </row>
    <row r="30" spans="1:19" x14ac:dyDescent="0.25">
      <c r="A30" t="s">
        <v>57</v>
      </c>
      <c r="B30" s="2">
        <v>6</v>
      </c>
      <c r="C30" s="2">
        <v>200</v>
      </c>
      <c r="D30" s="49">
        <v>80</v>
      </c>
      <c r="E30" s="2">
        <f t="shared" si="1"/>
        <v>280</v>
      </c>
      <c r="F30" s="2">
        <v>6.1700000000000001E-3</v>
      </c>
      <c r="G30" s="26">
        <f t="shared" si="2"/>
        <v>62.193600000000004</v>
      </c>
      <c r="H30" s="19">
        <f>P8</f>
        <v>12.239999999999998</v>
      </c>
      <c r="I30" s="22">
        <f t="shared" si="0"/>
        <v>0.76124966399999994</v>
      </c>
    </row>
    <row r="31" spans="1:19" x14ac:dyDescent="0.25">
      <c r="A31" t="s">
        <v>59</v>
      </c>
      <c r="B31" s="2">
        <v>6</v>
      </c>
      <c r="C31" s="2">
        <v>250</v>
      </c>
      <c r="D31" s="49">
        <v>80</v>
      </c>
      <c r="E31" s="2">
        <f t="shared" si="1"/>
        <v>330</v>
      </c>
      <c r="F31" s="2">
        <v>6.1700000000000001E-3</v>
      </c>
      <c r="G31" s="26">
        <f t="shared" si="2"/>
        <v>73.299599999999998</v>
      </c>
      <c r="H31" s="19">
        <f>P8</f>
        <v>12.239999999999998</v>
      </c>
      <c r="I31" s="22">
        <f t="shared" si="0"/>
        <v>0.8971871039999999</v>
      </c>
    </row>
    <row r="32" spans="1:19" x14ac:dyDescent="0.25">
      <c r="A32" t="s">
        <v>61</v>
      </c>
      <c r="B32" s="2">
        <v>6</v>
      </c>
      <c r="C32" s="2">
        <v>300</v>
      </c>
      <c r="D32" s="49">
        <v>80</v>
      </c>
      <c r="E32" s="2">
        <f t="shared" si="1"/>
        <v>380</v>
      </c>
      <c r="F32" s="2">
        <v>6.1700000000000001E-3</v>
      </c>
      <c r="G32" s="26">
        <f t="shared" si="2"/>
        <v>84.405600000000007</v>
      </c>
      <c r="H32" s="19">
        <f>P8</f>
        <v>12.239999999999998</v>
      </c>
      <c r="I32" s="22">
        <f t="shared" si="0"/>
        <v>1.0331245440000001</v>
      </c>
    </row>
    <row r="33" spans="1:9" x14ac:dyDescent="0.25">
      <c r="A33" t="s">
        <v>63</v>
      </c>
      <c r="B33" s="2">
        <v>6</v>
      </c>
      <c r="C33" s="2">
        <v>350</v>
      </c>
      <c r="D33" s="49">
        <v>80</v>
      </c>
      <c r="E33" s="2">
        <f t="shared" si="1"/>
        <v>430</v>
      </c>
      <c r="F33" s="2">
        <v>6.1700000000000001E-3</v>
      </c>
      <c r="G33" s="26">
        <f t="shared" si="2"/>
        <v>95.511600000000001</v>
      </c>
      <c r="H33" s="19">
        <f>P8</f>
        <v>12.239999999999998</v>
      </c>
      <c r="I33" s="22">
        <f t="shared" si="0"/>
        <v>1.1690619839999998</v>
      </c>
    </row>
    <row r="34" spans="1:9" x14ac:dyDescent="0.25">
      <c r="A34" t="s">
        <v>65</v>
      </c>
      <c r="B34" s="2">
        <v>6</v>
      </c>
      <c r="C34" s="2">
        <v>400</v>
      </c>
      <c r="D34" s="49">
        <v>80</v>
      </c>
      <c r="E34" s="2">
        <f t="shared" si="1"/>
        <v>480</v>
      </c>
      <c r="F34" s="2">
        <v>6.1700000000000001E-3</v>
      </c>
      <c r="G34" s="26">
        <f t="shared" si="2"/>
        <v>106.6176</v>
      </c>
      <c r="H34" s="19">
        <f>P8</f>
        <v>12.239999999999998</v>
      </c>
      <c r="I34" s="22">
        <f t="shared" si="0"/>
        <v>1.3049994239999998</v>
      </c>
    </row>
    <row r="35" spans="1:9" x14ac:dyDescent="0.25">
      <c r="A35" t="s">
        <v>67</v>
      </c>
      <c r="B35" s="2">
        <v>6</v>
      </c>
      <c r="C35" s="2">
        <v>500</v>
      </c>
      <c r="D35" s="49">
        <v>80</v>
      </c>
      <c r="E35" s="2">
        <f t="shared" si="1"/>
        <v>580</v>
      </c>
      <c r="F35" s="2">
        <v>6.1700000000000001E-3</v>
      </c>
      <c r="G35" s="26">
        <f t="shared" si="2"/>
        <v>128.8296</v>
      </c>
      <c r="H35" s="19">
        <f>P8</f>
        <v>12.239999999999998</v>
      </c>
      <c r="I35" s="22">
        <f t="shared" si="0"/>
        <v>1.5768743039999997</v>
      </c>
    </row>
    <row r="36" spans="1:9" x14ac:dyDescent="0.25">
      <c r="A36" t="s">
        <v>69</v>
      </c>
      <c r="B36" s="2">
        <v>8</v>
      </c>
      <c r="C36" s="2">
        <v>100</v>
      </c>
      <c r="D36" s="49">
        <v>100</v>
      </c>
      <c r="E36" s="2">
        <f t="shared" si="1"/>
        <v>200</v>
      </c>
      <c r="F36" s="2">
        <v>6.1700000000000001E-3</v>
      </c>
      <c r="G36" s="26">
        <f t="shared" si="2"/>
        <v>78.975999999999999</v>
      </c>
      <c r="H36" s="19">
        <f>P8</f>
        <v>12.239999999999998</v>
      </c>
      <c r="I36" s="22">
        <f t="shared" si="0"/>
        <v>0.9666662399999999</v>
      </c>
    </row>
    <row r="37" spans="1:9" x14ac:dyDescent="0.25">
      <c r="A37" t="s">
        <v>71</v>
      </c>
      <c r="B37" s="2">
        <v>8</v>
      </c>
      <c r="C37" s="2">
        <v>125</v>
      </c>
      <c r="D37" s="49">
        <v>100</v>
      </c>
      <c r="E37" s="2">
        <f t="shared" si="1"/>
        <v>225</v>
      </c>
      <c r="F37" s="2">
        <v>6.1700000000000001E-3</v>
      </c>
      <c r="G37" s="26">
        <f t="shared" si="2"/>
        <v>88.847999999999999</v>
      </c>
      <c r="H37" s="19">
        <f>N8</f>
        <v>10.199999999999999</v>
      </c>
      <c r="I37" s="22">
        <f t="shared" si="0"/>
        <v>0.90624959999999988</v>
      </c>
    </row>
    <row r="38" spans="1:9" x14ac:dyDescent="0.25">
      <c r="A38" t="s">
        <v>75</v>
      </c>
      <c r="B38" s="2">
        <v>8</v>
      </c>
      <c r="C38" s="2">
        <v>150</v>
      </c>
      <c r="D38" s="49">
        <v>100</v>
      </c>
      <c r="E38" s="2">
        <f t="shared" si="1"/>
        <v>250</v>
      </c>
      <c r="F38" s="2">
        <v>6.1700000000000001E-3</v>
      </c>
      <c r="G38" s="26">
        <f t="shared" si="2"/>
        <v>98.72</v>
      </c>
      <c r="H38" s="19">
        <f>P8</f>
        <v>12.239999999999998</v>
      </c>
      <c r="I38" s="22">
        <f t="shared" si="0"/>
        <v>1.2083328</v>
      </c>
    </row>
    <row r="39" spans="1:9" x14ac:dyDescent="0.25">
      <c r="A39" t="s">
        <v>73</v>
      </c>
      <c r="B39" s="2">
        <v>8</v>
      </c>
      <c r="C39" s="2">
        <v>175</v>
      </c>
      <c r="D39" s="49">
        <v>100</v>
      </c>
      <c r="E39" s="2">
        <f t="shared" si="1"/>
        <v>275</v>
      </c>
      <c r="F39" s="2">
        <v>6.1700000000000001E-3</v>
      </c>
      <c r="G39" s="26">
        <f t="shared" si="2"/>
        <v>108.592</v>
      </c>
      <c r="H39" s="19">
        <f>P8</f>
        <v>12.239999999999998</v>
      </c>
      <c r="I39" s="22">
        <f t="shared" si="0"/>
        <v>1.3291660799999998</v>
      </c>
    </row>
    <row r="40" spans="1:9" x14ac:dyDescent="0.25">
      <c r="A40" t="s">
        <v>77</v>
      </c>
      <c r="B40" s="2">
        <v>8</v>
      </c>
      <c r="C40" s="2">
        <v>200</v>
      </c>
      <c r="D40" s="49">
        <v>100</v>
      </c>
      <c r="E40" s="2">
        <f t="shared" si="1"/>
        <v>300</v>
      </c>
      <c r="F40" s="2">
        <v>6.1700000000000001E-3</v>
      </c>
      <c r="G40" s="26">
        <f t="shared" si="2"/>
        <v>118.464</v>
      </c>
      <c r="H40" s="19">
        <f>P8</f>
        <v>12.239999999999998</v>
      </c>
      <c r="I40" s="22">
        <f t="shared" si="0"/>
        <v>1.4499993599999998</v>
      </c>
    </row>
    <row r="41" spans="1:9" x14ac:dyDescent="0.25">
      <c r="A41" t="s">
        <v>79</v>
      </c>
      <c r="B41" s="2">
        <v>8</v>
      </c>
      <c r="C41" s="2">
        <v>250</v>
      </c>
      <c r="D41" s="49">
        <v>100</v>
      </c>
      <c r="E41" s="2">
        <f t="shared" si="1"/>
        <v>350</v>
      </c>
      <c r="F41" s="2">
        <v>6.1700000000000001E-3</v>
      </c>
      <c r="G41" s="26">
        <f t="shared" si="2"/>
        <v>138.208</v>
      </c>
      <c r="H41" s="19">
        <f>P8</f>
        <v>12.239999999999998</v>
      </c>
      <c r="I41" s="22">
        <f t="shared" si="0"/>
        <v>1.6916659199999997</v>
      </c>
    </row>
    <row r="42" spans="1:9" x14ac:dyDescent="0.25">
      <c r="A42" t="s">
        <v>81</v>
      </c>
      <c r="B42" s="2">
        <v>8</v>
      </c>
      <c r="C42" s="2">
        <v>300</v>
      </c>
      <c r="D42" s="49">
        <v>100</v>
      </c>
      <c r="E42" s="2">
        <f t="shared" si="1"/>
        <v>400</v>
      </c>
      <c r="F42" s="2">
        <v>6.1700000000000001E-3</v>
      </c>
      <c r="G42" s="26">
        <f t="shared" si="2"/>
        <v>157.952</v>
      </c>
      <c r="H42" s="19">
        <f>P8</f>
        <v>12.239999999999998</v>
      </c>
      <c r="I42" s="22">
        <f t="shared" si="0"/>
        <v>1.9333324799999998</v>
      </c>
    </row>
    <row r="43" spans="1:9" x14ac:dyDescent="0.25">
      <c r="A43" t="s">
        <v>83</v>
      </c>
      <c r="B43" s="2">
        <v>8</v>
      </c>
      <c r="C43" s="2">
        <v>350</v>
      </c>
      <c r="D43" s="49">
        <v>100</v>
      </c>
      <c r="E43" s="2">
        <f t="shared" si="1"/>
        <v>450</v>
      </c>
      <c r="F43" s="2">
        <v>6.1700000000000001E-3</v>
      </c>
      <c r="G43" s="26">
        <f t="shared" si="2"/>
        <v>177.696</v>
      </c>
      <c r="H43" s="19">
        <f>P8</f>
        <v>12.239999999999998</v>
      </c>
      <c r="I43" s="22">
        <f t="shared" si="0"/>
        <v>2.1749990399999999</v>
      </c>
    </row>
    <row r="44" spans="1:9" x14ac:dyDescent="0.25">
      <c r="A44" t="s">
        <v>85</v>
      </c>
      <c r="B44" s="2">
        <v>8</v>
      </c>
      <c r="C44" s="2">
        <v>400</v>
      </c>
      <c r="D44" s="49">
        <v>100</v>
      </c>
      <c r="E44" s="2">
        <f t="shared" si="1"/>
        <v>500</v>
      </c>
      <c r="F44" s="2">
        <v>6.1700000000000001E-3</v>
      </c>
      <c r="G44" s="26">
        <f t="shared" si="2"/>
        <v>197.44</v>
      </c>
      <c r="H44" s="19">
        <f>P9</f>
        <v>37.44</v>
      </c>
      <c r="I44" s="22">
        <f t="shared" si="0"/>
        <v>7.3921535999999994</v>
      </c>
    </row>
    <row r="45" spans="1:9" x14ac:dyDescent="0.25">
      <c r="A45" t="s">
        <v>87</v>
      </c>
      <c r="B45" s="2">
        <v>8</v>
      </c>
      <c r="C45" s="2">
        <v>500</v>
      </c>
      <c r="D45" s="49">
        <v>100</v>
      </c>
      <c r="E45" s="2">
        <f t="shared" si="1"/>
        <v>600</v>
      </c>
      <c r="F45" s="2">
        <v>6.1700000000000001E-3</v>
      </c>
      <c r="G45" s="26">
        <f t="shared" si="2"/>
        <v>236.928</v>
      </c>
      <c r="H45" s="19">
        <f>P9</f>
        <v>37.44</v>
      </c>
      <c r="I45" s="22">
        <f t="shared" si="0"/>
        <v>8.8705843200000007</v>
      </c>
    </row>
    <row r="46" spans="1:9" x14ac:dyDescent="0.25">
      <c r="A46" t="s">
        <v>167</v>
      </c>
      <c r="B46" s="2">
        <v>10</v>
      </c>
      <c r="C46" s="2">
        <v>200</v>
      </c>
      <c r="D46" s="49">
        <v>100</v>
      </c>
      <c r="E46" s="2">
        <f t="shared" si="1"/>
        <v>300</v>
      </c>
      <c r="F46" s="2">
        <v>6.1700000000000001E-3</v>
      </c>
      <c r="G46" s="26">
        <f t="shared" si="2"/>
        <v>185.1</v>
      </c>
      <c r="H46" s="19">
        <f>P8</f>
        <v>12.239999999999998</v>
      </c>
      <c r="I46" s="22">
        <f t="shared" si="0"/>
        <v>2.2656239999999999</v>
      </c>
    </row>
    <row r="47" spans="1:9" x14ac:dyDescent="0.25">
      <c r="A47" t="s">
        <v>169</v>
      </c>
      <c r="B47" s="2">
        <v>10</v>
      </c>
      <c r="C47" s="2">
        <v>250</v>
      </c>
      <c r="D47" s="49">
        <v>100</v>
      </c>
      <c r="E47" s="2">
        <f t="shared" si="1"/>
        <v>350</v>
      </c>
      <c r="F47" s="2">
        <v>6.1700000000000001E-3</v>
      </c>
      <c r="G47" s="26">
        <f t="shared" si="2"/>
        <v>215.95000000000002</v>
      </c>
      <c r="H47" s="19">
        <f>P8</f>
        <v>12.239999999999998</v>
      </c>
      <c r="I47" s="22">
        <f t="shared" si="0"/>
        <v>2.6432280000000001</v>
      </c>
    </row>
    <row r="48" spans="1:9" x14ac:dyDescent="0.25">
      <c r="A48" t="s">
        <v>171</v>
      </c>
      <c r="B48" s="2">
        <v>10</v>
      </c>
      <c r="C48" s="2">
        <v>300</v>
      </c>
      <c r="D48" s="49">
        <v>100</v>
      </c>
      <c r="E48" s="2">
        <f t="shared" si="1"/>
        <v>400</v>
      </c>
      <c r="F48" s="2">
        <v>6.1700000000000001E-3</v>
      </c>
      <c r="G48" s="26">
        <f t="shared" si="2"/>
        <v>246.8</v>
      </c>
      <c r="H48" s="19">
        <f>P8</f>
        <v>12.239999999999998</v>
      </c>
      <c r="I48" s="22">
        <f t="shared" si="0"/>
        <v>3.020832</v>
      </c>
    </row>
    <row r="49" spans="1:9" x14ac:dyDescent="0.25">
      <c r="A49" t="s">
        <v>173</v>
      </c>
      <c r="B49" s="2">
        <v>10</v>
      </c>
      <c r="C49" s="2">
        <v>400</v>
      </c>
      <c r="D49" s="49">
        <v>100</v>
      </c>
      <c r="E49" s="2">
        <f t="shared" si="1"/>
        <v>500</v>
      </c>
      <c r="F49" s="2">
        <v>6.1700000000000001E-3</v>
      </c>
      <c r="G49" s="26">
        <f t="shared" si="2"/>
        <v>308.5</v>
      </c>
      <c r="H49" s="19">
        <f>P9</f>
        <v>37.44</v>
      </c>
      <c r="I49" s="22">
        <f t="shared" si="0"/>
        <v>11.550240000000001</v>
      </c>
    </row>
    <row r="50" spans="1:9" x14ac:dyDescent="0.25">
      <c r="A50" t="s">
        <v>175</v>
      </c>
      <c r="B50" s="2">
        <v>10</v>
      </c>
      <c r="C50" s="2">
        <v>500</v>
      </c>
      <c r="D50" s="49">
        <v>100</v>
      </c>
      <c r="E50" s="2">
        <f t="shared" si="1"/>
        <v>600</v>
      </c>
      <c r="F50" s="2">
        <v>6.1700000000000001E-3</v>
      </c>
      <c r="G50" s="26">
        <f t="shared" si="2"/>
        <v>370.2</v>
      </c>
      <c r="H50" s="19">
        <f>P9</f>
        <v>37.44</v>
      </c>
      <c r="I50" s="22">
        <f t="shared" si="0"/>
        <v>13.860287999999999</v>
      </c>
    </row>
    <row r="51" spans="1:9" x14ac:dyDescent="0.25">
      <c r="A51" t="s">
        <v>89</v>
      </c>
      <c r="B51" s="2">
        <v>3</v>
      </c>
      <c r="C51" s="2">
        <v>60</v>
      </c>
      <c r="D51" s="49">
        <v>60</v>
      </c>
      <c r="E51" s="2">
        <f t="shared" si="1"/>
        <v>120</v>
      </c>
      <c r="F51" s="2">
        <v>6.1700000000000001E-3</v>
      </c>
      <c r="G51" s="26">
        <f t="shared" si="2"/>
        <v>6.6635999999999997</v>
      </c>
      <c r="H51" s="19">
        <f>P7</f>
        <v>18</v>
      </c>
      <c r="I51" s="22">
        <f t="shared" si="0"/>
        <v>0.1199448</v>
      </c>
    </row>
    <row r="52" spans="1:9" x14ac:dyDescent="0.25">
      <c r="A52" t="s">
        <v>91</v>
      </c>
      <c r="B52" s="2">
        <v>3</v>
      </c>
      <c r="C52" s="2">
        <v>80</v>
      </c>
      <c r="D52" s="49">
        <v>60</v>
      </c>
      <c r="E52" s="2">
        <f t="shared" si="1"/>
        <v>140</v>
      </c>
      <c r="F52" s="2">
        <v>6.1700000000000001E-3</v>
      </c>
      <c r="G52" s="26">
        <f t="shared" si="2"/>
        <v>7.7742000000000004</v>
      </c>
      <c r="H52" s="19">
        <f>P7</f>
        <v>18</v>
      </c>
      <c r="I52" s="22">
        <f t="shared" si="0"/>
        <v>0.13993560000000002</v>
      </c>
    </row>
    <row r="53" spans="1:9" x14ac:dyDescent="0.25">
      <c r="A53" t="s">
        <v>93</v>
      </c>
      <c r="B53" s="2">
        <v>3</v>
      </c>
      <c r="C53" s="2">
        <v>100</v>
      </c>
      <c r="D53" s="49">
        <v>60</v>
      </c>
      <c r="E53" s="2">
        <f t="shared" si="1"/>
        <v>160</v>
      </c>
      <c r="F53" s="2">
        <v>6.1700000000000001E-3</v>
      </c>
      <c r="G53" s="26">
        <f t="shared" si="2"/>
        <v>8.8848000000000003</v>
      </c>
      <c r="H53" s="19">
        <f>P7</f>
        <v>18</v>
      </c>
      <c r="I53" s="22">
        <f t="shared" si="0"/>
        <v>0.1599264</v>
      </c>
    </row>
    <row r="54" spans="1:9" x14ac:dyDescent="0.25">
      <c r="A54" t="s">
        <v>95</v>
      </c>
      <c r="B54" s="2">
        <v>3</v>
      </c>
      <c r="C54" s="2">
        <v>125</v>
      </c>
      <c r="D54" s="49">
        <v>60</v>
      </c>
      <c r="E54" s="2">
        <f t="shared" si="1"/>
        <v>185</v>
      </c>
      <c r="F54" s="2">
        <v>6.1700000000000001E-3</v>
      </c>
      <c r="G54" s="26">
        <f t="shared" si="2"/>
        <v>10.27305</v>
      </c>
      <c r="H54" s="19">
        <f>P7</f>
        <v>18</v>
      </c>
      <c r="I54" s="22">
        <f t="shared" si="0"/>
        <v>0.18491489999999999</v>
      </c>
    </row>
    <row r="55" spans="1:9" x14ac:dyDescent="0.25">
      <c r="A55" t="s">
        <v>97</v>
      </c>
      <c r="B55" s="2">
        <v>3</v>
      </c>
      <c r="C55" s="2">
        <v>150</v>
      </c>
      <c r="D55" s="49">
        <v>60</v>
      </c>
      <c r="E55" s="2">
        <f t="shared" si="1"/>
        <v>210</v>
      </c>
      <c r="F55" s="2">
        <v>6.1700000000000001E-3</v>
      </c>
      <c r="G55" s="26">
        <f t="shared" si="2"/>
        <v>11.661300000000001</v>
      </c>
      <c r="H55" s="19">
        <f>P7</f>
        <v>18</v>
      </c>
      <c r="I55" s="22">
        <f t="shared" si="0"/>
        <v>0.20990340000000002</v>
      </c>
    </row>
    <row r="56" spans="1:9" x14ac:dyDescent="0.25">
      <c r="A56" t="s">
        <v>99</v>
      </c>
      <c r="B56" s="2">
        <v>3</v>
      </c>
      <c r="C56" s="2">
        <v>200</v>
      </c>
      <c r="D56" s="49">
        <v>60</v>
      </c>
      <c r="E56" s="2">
        <f t="shared" si="1"/>
        <v>260</v>
      </c>
      <c r="F56" s="2">
        <v>6.1700000000000001E-3</v>
      </c>
      <c r="G56" s="26">
        <f t="shared" si="2"/>
        <v>14.437800000000001</v>
      </c>
      <c r="H56" s="19">
        <f>P7</f>
        <v>18</v>
      </c>
      <c r="I56" s="22">
        <f t="shared" si="0"/>
        <v>0.25988040000000001</v>
      </c>
    </row>
    <row r="57" spans="1:9" x14ac:dyDescent="0.25">
      <c r="A57" t="s">
        <v>101</v>
      </c>
      <c r="B57" s="2">
        <v>3</v>
      </c>
      <c r="C57" s="2">
        <v>250</v>
      </c>
      <c r="D57" s="49">
        <v>60</v>
      </c>
      <c r="E57" s="2">
        <f t="shared" si="1"/>
        <v>310</v>
      </c>
      <c r="F57" s="2">
        <v>6.1700000000000001E-3</v>
      </c>
      <c r="G57" s="26">
        <f t="shared" si="2"/>
        <v>17.214300000000001</v>
      </c>
      <c r="H57" s="19">
        <f>P7</f>
        <v>18</v>
      </c>
      <c r="I57" s="22">
        <f t="shared" si="0"/>
        <v>0.30985740000000006</v>
      </c>
    </row>
    <row r="58" spans="1:9" x14ac:dyDescent="0.25">
      <c r="A58" t="s">
        <v>103</v>
      </c>
      <c r="B58" s="2">
        <v>3</v>
      </c>
      <c r="C58" s="2">
        <v>300</v>
      </c>
      <c r="D58" s="49">
        <v>60</v>
      </c>
      <c r="E58" s="2">
        <f t="shared" si="1"/>
        <v>360</v>
      </c>
      <c r="F58" s="2">
        <v>6.1700000000000001E-3</v>
      </c>
      <c r="G58" s="26">
        <f t="shared" si="2"/>
        <v>19.9908</v>
      </c>
      <c r="H58" s="19">
        <f>P7</f>
        <v>18</v>
      </c>
      <c r="I58" s="22">
        <f t="shared" si="0"/>
        <v>0.3598344</v>
      </c>
    </row>
    <row r="59" spans="1:9" x14ac:dyDescent="0.25">
      <c r="A59" t="s">
        <v>105</v>
      </c>
      <c r="B59" s="2">
        <v>5</v>
      </c>
      <c r="C59" s="2">
        <v>38</v>
      </c>
      <c r="D59" s="49">
        <v>45</v>
      </c>
      <c r="E59" s="2">
        <f t="shared" si="1"/>
        <v>83</v>
      </c>
      <c r="F59" s="2">
        <v>6.1700000000000001E-3</v>
      </c>
      <c r="G59" s="26">
        <f t="shared" si="2"/>
        <v>12.80275</v>
      </c>
      <c r="H59" s="19">
        <f>P8</f>
        <v>12.239999999999998</v>
      </c>
      <c r="I59" s="22">
        <f t="shared" si="0"/>
        <v>0.15670565999999997</v>
      </c>
    </row>
    <row r="60" spans="1:9" x14ac:dyDescent="0.25">
      <c r="A60" t="s">
        <v>107</v>
      </c>
      <c r="B60" s="2">
        <v>5</v>
      </c>
      <c r="C60" s="2">
        <v>80</v>
      </c>
      <c r="D60" s="49">
        <v>60</v>
      </c>
      <c r="E60" s="2">
        <f t="shared" si="1"/>
        <v>140</v>
      </c>
      <c r="F60" s="2">
        <v>6.1700000000000001E-3</v>
      </c>
      <c r="G60" s="26">
        <f t="shared" si="2"/>
        <v>21.594999999999999</v>
      </c>
      <c r="H60" s="19">
        <f>P8</f>
        <v>12.239999999999998</v>
      </c>
      <c r="I60" s="22">
        <f t="shared" si="0"/>
        <v>0.26432279999999997</v>
      </c>
    </row>
    <row r="61" spans="1:9" x14ac:dyDescent="0.25">
      <c r="A61" t="s">
        <v>109</v>
      </c>
      <c r="B61" s="2">
        <v>5</v>
      </c>
      <c r="C61" s="2">
        <v>100</v>
      </c>
      <c r="D61" s="49">
        <v>60</v>
      </c>
      <c r="E61" s="2">
        <f t="shared" si="1"/>
        <v>160</v>
      </c>
      <c r="F61" s="2">
        <v>6.1700000000000001E-3</v>
      </c>
      <c r="G61" s="26">
        <f t="shared" si="2"/>
        <v>24.68</v>
      </c>
      <c r="H61" s="19">
        <f>P8</f>
        <v>12.239999999999998</v>
      </c>
      <c r="I61" s="22">
        <f t="shared" si="0"/>
        <v>0.3020832</v>
      </c>
    </row>
    <row r="62" spans="1:9" x14ac:dyDescent="0.25">
      <c r="A62" t="s">
        <v>111</v>
      </c>
      <c r="B62" s="2">
        <v>5</v>
      </c>
      <c r="C62" s="2">
        <v>125</v>
      </c>
      <c r="D62" s="49">
        <v>60</v>
      </c>
      <c r="E62" s="2">
        <f t="shared" si="1"/>
        <v>185</v>
      </c>
      <c r="F62" s="2">
        <v>6.1700000000000001E-3</v>
      </c>
      <c r="G62" s="26">
        <f t="shared" si="2"/>
        <v>28.536249999999999</v>
      </c>
      <c r="H62" s="19">
        <f>P8</f>
        <v>12.239999999999998</v>
      </c>
      <c r="I62" s="22">
        <f t="shared" si="0"/>
        <v>0.34928369999999997</v>
      </c>
    </row>
    <row r="63" spans="1:9" x14ac:dyDescent="0.25">
      <c r="A63" t="s">
        <v>113</v>
      </c>
      <c r="B63" s="2">
        <v>5</v>
      </c>
      <c r="C63" s="2">
        <v>150</v>
      </c>
      <c r="D63" s="49">
        <v>60</v>
      </c>
      <c r="E63" s="2">
        <f t="shared" si="1"/>
        <v>210</v>
      </c>
      <c r="F63" s="2">
        <v>6.1700000000000001E-3</v>
      </c>
      <c r="G63" s="26">
        <f t="shared" si="2"/>
        <v>32.392499999999998</v>
      </c>
      <c r="H63" s="19">
        <f>P8</f>
        <v>12.239999999999998</v>
      </c>
      <c r="I63" s="22">
        <f t="shared" si="0"/>
        <v>0.39648419999999995</v>
      </c>
    </row>
    <row r="64" spans="1:9" x14ac:dyDescent="0.25">
      <c r="A64" t="s">
        <v>115</v>
      </c>
      <c r="B64" s="2">
        <v>5</v>
      </c>
      <c r="C64" s="2">
        <v>200</v>
      </c>
      <c r="D64" s="49">
        <v>60</v>
      </c>
      <c r="E64" s="2">
        <f t="shared" si="1"/>
        <v>260</v>
      </c>
      <c r="F64" s="2">
        <v>6.1700000000000001E-3</v>
      </c>
      <c r="G64" s="26">
        <f t="shared" si="2"/>
        <v>40.105000000000004</v>
      </c>
      <c r="H64" s="19">
        <f>P8</f>
        <v>12.239999999999998</v>
      </c>
      <c r="I64" s="22">
        <f t="shared" si="0"/>
        <v>0.49088520000000002</v>
      </c>
    </row>
    <row r="65" spans="1:9" x14ac:dyDescent="0.25">
      <c r="A65" t="s">
        <v>117</v>
      </c>
      <c r="B65" s="2">
        <v>5</v>
      </c>
      <c r="C65" s="2">
        <v>250</v>
      </c>
      <c r="D65" s="49">
        <v>60</v>
      </c>
      <c r="E65" s="2">
        <f t="shared" si="1"/>
        <v>310</v>
      </c>
      <c r="F65" s="2">
        <v>6.1700000000000001E-3</v>
      </c>
      <c r="G65" s="26">
        <f t="shared" si="2"/>
        <v>47.817500000000003</v>
      </c>
      <c r="H65" s="19">
        <f>P8</f>
        <v>12.239999999999998</v>
      </c>
      <c r="I65" s="22">
        <f t="shared" si="0"/>
        <v>0.58528619999999998</v>
      </c>
    </row>
    <row r="66" spans="1:9" x14ac:dyDescent="0.25">
      <c r="A66" t="s">
        <v>119</v>
      </c>
      <c r="B66" s="2">
        <v>5</v>
      </c>
      <c r="C66" s="2">
        <v>300</v>
      </c>
      <c r="D66" s="49">
        <v>60</v>
      </c>
      <c r="E66" s="2">
        <f t="shared" si="1"/>
        <v>360</v>
      </c>
      <c r="F66" s="2">
        <v>6.1700000000000001E-3</v>
      </c>
      <c r="G66" s="26">
        <f t="shared" si="2"/>
        <v>55.53</v>
      </c>
      <c r="H66" s="19">
        <f>P8</f>
        <v>12.239999999999998</v>
      </c>
      <c r="I66" s="22">
        <f t="shared" si="0"/>
        <v>0.67968719999999994</v>
      </c>
    </row>
    <row r="67" spans="1:9" x14ac:dyDescent="0.25">
      <c r="A67" t="s">
        <v>121</v>
      </c>
      <c r="B67" s="2">
        <v>5</v>
      </c>
      <c r="C67" s="2">
        <v>350</v>
      </c>
      <c r="D67" s="49">
        <v>60</v>
      </c>
      <c r="E67" s="2">
        <f t="shared" si="1"/>
        <v>410</v>
      </c>
      <c r="F67" s="2">
        <v>6.1700000000000001E-3</v>
      </c>
      <c r="G67" s="26">
        <f t="shared" si="2"/>
        <v>63.2425</v>
      </c>
      <c r="H67" s="19">
        <f>P8</f>
        <v>12.239999999999998</v>
      </c>
      <c r="I67" s="22">
        <f t="shared" si="0"/>
        <v>0.77408819999999989</v>
      </c>
    </row>
    <row r="68" spans="1:9" x14ac:dyDescent="0.25">
      <c r="A68" t="s">
        <v>123</v>
      </c>
      <c r="B68" s="2">
        <v>5</v>
      </c>
      <c r="C68" s="2">
        <v>400</v>
      </c>
      <c r="D68" s="49">
        <v>60</v>
      </c>
      <c r="E68" s="2">
        <f t="shared" si="1"/>
        <v>460</v>
      </c>
      <c r="F68" s="2">
        <v>6.1700000000000001E-3</v>
      </c>
      <c r="G68" s="26">
        <f t="shared" si="2"/>
        <v>70.954999999999998</v>
      </c>
      <c r="H68" s="19">
        <f>P8</f>
        <v>12.239999999999998</v>
      </c>
      <c r="I68" s="22">
        <f t="shared" si="0"/>
        <v>0.86848919999999985</v>
      </c>
    </row>
    <row r="69" spans="1:9" x14ac:dyDescent="0.25">
      <c r="A69" t="s">
        <v>125</v>
      </c>
      <c r="B69" s="2">
        <v>5</v>
      </c>
      <c r="C69" s="2">
        <v>500</v>
      </c>
      <c r="D69" s="49">
        <v>60</v>
      </c>
      <c r="E69" s="2">
        <f t="shared" si="1"/>
        <v>560</v>
      </c>
      <c r="F69" s="2">
        <v>6.1700000000000001E-3</v>
      </c>
      <c r="G69" s="26">
        <f t="shared" si="2"/>
        <v>86.38</v>
      </c>
      <c r="H69" s="19">
        <f>P9</f>
        <v>37.44</v>
      </c>
      <c r="I69" s="22">
        <f t="shared" si="0"/>
        <v>3.2340671999999997</v>
      </c>
    </row>
    <row r="70" spans="1:9" x14ac:dyDescent="0.25">
      <c r="A70" t="s">
        <v>127</v>
      </c>
      <c r="B70" s="2">
        <v>6</v>
      </c>
      <c r="C70" s="2">
        <v>38</v>
      </c>
      <c r="D70" s="49">
        <v>45</v>
      </c>
      <c r="E70" s="2">
        <f t="shared" si="1"/>
        <v>83</v>
      </c>
      <c r="F70" s="2">
        <v>6.1700000000000001E-3</v>
      </c>
      <c r="G70" s="26">
        <f t="shared" si="2"/>
        <v>18.435960000000001</v>
      </c>
      <c r="H70" s="19">
        <f>P8</f>
        <v>12.239999999999998</v>
      </c>
      <c r="I70" s="22">
        <f t="shared" si="0"/>
        <v>0.22565615040000001</v>
      </c>
    </row>
    <row r="71" spans="1:9" x14ac:dyDescent="0.25">
      <c r="A71" t="s">
        <v>129</v>
      </c>
      <c r="B71" s="2">
        <v>6</v>
      </c>
      <c r="C71" s="2">
        <v>100</v>
      </c>
      <c r="D71" s="49">
        <v>80</v>
      </c>
      <c r="E71" s="2">
        <f t="shared" si="1"/>
        <v>180</v>
      </c>
      <c r="F71" s="2">
        <v>6.1700000000000001E-3</v>
      </c>
      <c r="G71" s="26">
        <f t="shared" si="2"/>
        <v>39.9816</v>
      </c>
      <c r="H71" s="19">
        <f>P8</f>
        <v>12.239999999999998</v>
      </c>
      <c r="I71" s="22">
        <f t="shared" ref="I71:I134" si="4">G71*H71/1000</f>
        <v>0.4893747839999999</v>
      </c>
    </row>
    <row r="72" spans="1:9" x14ac:dyDescent="0.25">
      <c r="A72" t="s">
        <v>131</v>
      </c>
      <c r="B72" s="2">
        <v>6</v>
      </c>
      <c r="C72" s="2">
        <v>125</v>
      </c>
      <c r="D72" s="49">
        <v>80</v>
      </c>
      <c r="E72" s="2">
        <f t="shared" ref="E72:E135" si="5">D72+C72</f>
        <v>205</v>
      </c>
      <c r="F72" s="2">
        <v>6.1700000000000001E-3</v>
      </c>
      <c r="G72" s="26">
        <f t="shared" ref="G72:G135" si="6">B72*B72*E72*F72</f>
        <v>45.534599999999998</v>
      </c>
      <c r="H72" s="19">
        <f>P8</f>
        <v>12.239999999999998</v>
      </c>
      <c r="I72" s="22">
        <f t="shared" si="4"/>
        <v>0.55734350399999999</v>
      </c>
    </row>
    <row r="73" spans="1:9" x14ac:dyDescent="0.25">
      <c r="A73" t="s">
        <v>133</v>
      </c>
      <c r="B73" s="2">
        <v>6</v>
      </c>
      <c r="C73" s="2">
        <v>150</v>
      </c>
      <c r="D73" s="49">
        <v>80</v>
      </c>
      <c r="E73" s="2">
        <f t="shared" si="5"/>
        <v>230</v>
      </c>
      <c r="F73" s="2">
        <v>6.1700000000000001E-3</v>
      </c>
      <c r="G73" s="26">
        <f t="shared" si="6"/>
        <v>51.087600000000002</v>
      </c>
      <c r="H73" s="19">
        <f>P8</f>
        <v>12.239999999999998</v>
      </c>
      <c r="I73" s="22">
        <f t="shared" si="4"/>
        <v>0.62531222399999986</v>
      </c>
    </row>
    <row r="74" spans="1:9" x14ac:dyDescent="0.25">
      <c r="A74" t="s">
        <v>135</v>
      </c>
      <c r="B74" s="2">
        <v>6</v>
      </c>
      <c r="C74" s="2">
        <v>200</v>
      </c>
      <c r="D74" s="49">
        <v>80</v>
      </c>
      <c r="E74" s="2">
        <f t="shared" si="5"/>
        <v>280</v>
      </c>
      <c r="F74" s="2">
        <v>6.1700000000000001E-3</v>
      </c>
      <c r="G74" s="26">
        <f t="shared" si="6"/>
        <v>62.193600000000004</v>
      </c>
      <c r="H74" s="19">
        <f>P8</f>
        <v>12.239999999999998</v>
      </c>
      <c r="I74" s="22">
        <f t="shared" si="4"/>
        <v>0.76124966399999994</v>
      </c>
    </row>
    <row r="75" spans="1:9" x14ac:dyDescent="0.25">
      <c r="A75" t="s">
        <v>137</v>
      </c>
      <c r="B75" s="2">
        <v>6</v>
      </c>
      <c r="C75" s="2">
        <v>250</v>
      </c>
      <c r="D75" s="49">
        <v>80</v>
      </c>
      <c r="E75" s="2">
        <f t="shared" si="5"/>
        <v>330</v>
      </c>
      <c r="F75" s="2">
        <v>6.1700000000000001E-3</v>
      </c>
      <c r="G75" s="26">
        <f t="shared" si="6"/>
        <v>73.299599999999998</v>
      </c>
      <c r="H75" s="19">
        <f>P8</f>
        <v>12.239999999999998</v>
      </c>
      <c r="I75" s="22">
        <f t="shared" si="4"/>
        <v>0.8971871039999999</v>
      </c>
    </row>
    <row r="76" spans="1:9" x14ac:dyDescent="0.25">
      <c r="A76" t="s">
        <v>139</v>
      </c>
      <c r="B76" s="2">
        <v>6</v>
      </c>
      <c r="C76" s="2">
        <v>300</v>
      </c>
      <c r="D76" s="49">
        <v>80</v>
      </c>
      <c r="E76" s="2">
        <f t="shared" si="5"/>
        <v>380</v>
      </c>
      <c r="F76" s="2">
        <v>6.1700000000000001E-3</v>
      </c>
      <c r="G76" s="26">
        <f t="shared" si="6"/>
        <v>84.405600000000007</v>
      </c>
      <c r="H76" s="19">
        <f>P8</f>
        <v>12.239999999999998</v>
      </c>
      <c r="I76" s="22">
        <f t="shared" si="4"/>
        <v>1.0331245440000001</v>
      </c>
    </row>
    <row r="77" spans="1:9" x14ac:dyDescent="0.25">
      <c r="A77" t="s">
        <v>141</v>
      </c>
      <c r="B77" s="2">
        <v>6</v>
      </c>
      <c r="C77" s="2">
        <v>350</v>
      </c>
      <c r="D77" s="49">
        <v>80</v>
      </c>
      <c r="E77" s="2">
        <f t="shared" si="5"/>
        <v>430</v>
      </c>
      <c r="F77" s="2">
        <v>6.1700000000000001E-3</v>
      </c>
      <c r="G77" s="26">
        <f t="shared" si="6"/>
        <v>95.511600000000001</v>
      </c>
      <c r="H77" s="19">
        <f>P8</f>
        <v>12.239999999999998</v>
      </c>
      <c r="I77" s="22">
        <f t="shared" si="4"/>
        <v>1.1690619839999998</v>
      </c>
    </row>
    <row r="78" spans="1:9" x14ac:dyDescent="0.25">
      <c r="A78" t="s">
        <v>143</v>
      </c>
      <c r="B78" s="2">
        <v>6</v>
      </c>
      <c r="C78" s="2">
        <v>400</v>
      </c>
      <c r="D78" s="49">
        <v>80</v>
      </c>
      <c r="E78" s="2">
        <f t="shared" si="5"/>
        <v>480</v>
      </c>
      <c r="F78" s="2">
        <v>6.1700000000000001E-3</v>
      </c>
      <c r="G78" s="26">
        <f t="shared" si="6"/>
        <v>106.6176</v>
      </c>
      <c r="H78" s="19">
        <f>P9</f>
        <v>37.44</v>
      </c>
      <c r="I78" s="22">
        <f t="shared" si="4"/>
        <v>3.9917629439999995</v>
      </c>
    </row>
    <row r="79" spans="1:9" x14ac:dyDescent="0.25">
      <c r="A79" t="s">
        <v>145</v>
      </c>
      <c r="B79" s="2">
        <v>6</v>
      </c>
      <c r="C79" s="2">
        <v>500</v>
      </c>
      <c r="D79" s="49">
        <v>80</v>
      </c>
      <c r="E79" s="2">
        <f t="shared" si="5"/>
        <v>580</v>
      </c>
      <c r="F79" s="2">
        <v>6.1700000000000001E-3</v>
      </c>
      <c r="G79" s="26">
        <f t="shared" si="6"/>
        <v>128.8296</v>
      </c>
      <c r="H79" s="19">
        <f>P9</f>
        <v>37.44</v>
      </c>
      <c r="I79" s="22">
        <f t="shared" si="4"/>
        <v>4.8233802239999992</v>
      </c>
    </row>
    <row r="80" spans="1:9" x14ac:dyDescent="0.25">
      <c r="A80" t="s">
        <v>147</v>
      </c>
      <c r="B80" s="2">
        <v>8</v>
      </c>
      <c r="C80" s="2">
        <v>100</v>
      </c>
      <c r="D80" s="49">
        <v>100</v>
      </c>
      <c r="E80" s="2">
        <f t="shared" si="5"/>
        <v>200</v>
      </c>
      <c r="F80" s="2">
        <v>6.1700000000000001E-3</v>
      </c>
      <c r="G80" s="26">
        <f t="shared" si="6"/>
        <v>78.975999999999999</v>
      </c>
      <c r="H80" s="19">
        <f>P8</f>
        <v>12.239999999999998</v>
      </c>
      <c r="I80" s="22">
        <f t="shared" si="4"/>
        <v>0.9666662399999999</v>
      </c>
    </row>
    <row r="81" spans="1:9" x14ac:dyDescent="0.25">
      <c r="A81" t="s">
        <v>149</v>
      </c>
      <c r="B81" s="2">
        <v>8</v>
      </c>
      <c r="C81" s="2">
        <v>125</v>
      </c>
      <c r="D81" s="49">
        <v>100</v>
      </c>
      <c r="E81" s="2">
        <f t="shared" si="5"/>
        <v>225</v>
      </c>
      <c r="F81" s="2">
        <v>6.1700000000000001E-3</v>
      </c>
      <c r="G81" s="26">
        <f t="shared" si="6"/>
        <v>88.847999999999999</v>
      </c>
      <c r="H81" s="19">
        <f>P8</f>
        <v>12.239999999999998</v>
      </c>
      <c r="I81" s="22">
        <f t="shared" si="4"/>
        <v>1.0874995199999999</v>
      </c>
    </row>
    <row r="82" spans="1:9" x14ac:dyDescent="0.25">
      <c r="A82" t="s">
        <v>151</v>
      </c>
      <c r="B82" s="2">
        <v>8</v>
      </c>
      <c r="C82" s="2">
        <v>150</v>
      </c>
      <c r="D82" s="49">
        <v>100</v>
      </c>
      <c r="E82" s="2">
        <f t="shared" si="5"/>
        <v>250</v>
      </c>
      <c r="F82" s="2">
        <v>6.1700000000000001E-3</v>
      </c>
      <c r="G82" s="26">
        <f t="shared" si="6"/>
        <v>98.72</v>
      </c>
      <c r="H82" s="19">
        <f>P8</f>
        <v>12.239999999999998</v>
      </c>
      <c r="I82" s="22">
        <f t="shared" si="4"/>
        <v>1.2083328</v>
      </c>
    </row>
    <row r="83" spans="1:9" x14ac:dyDescent="0.25">
      <c r="A83" t="s">
        <v>153</v>
      </c>
      <c r="B83" s="2">
        <v>8</v>
      </c>
      <c r="C83" s="2">
        <v>175</v>
      </c>
      <c r="D83" s="49">
        <v>100</v>
      </c>
      <c r="E83" s="2">
        <f t="shared" si="5"/>
        <v>275</v>
      </c>
      <c r="F83" s="2">
        <v>6.1700000000000001E-3</v>
      </c>
      <c r="G83" s="26">
        <f t="shared" si="6"/>
        <v>108.592</v>
      </c>
      <c r="H83" s="19">
        <f>P8</f>
        <v>12.239999999999998</v>
      </c>
      <c r="I83" s="22">
        <f t="shared" si="4"/>
        <v>1.3291660799999998</v>
      </c>
    </row>
    <row r="84" spans="1:9" x14ac:dyDescent="0.25">
      <c r="A84" t="s">
        <v>155</v>
      </c>
      <c r="B84" s="2">
        <v>8</v>
      </c>
      <c r="C84" s="2">
        <v>200</v>
      </c>
      <c r="D84" s="49">
        <v>100</v>
      </c>
      <c r="E84" s="2">
        <f t="shared" si="5"/>
        <v>300</v>
      </c>
      <c r="F84" s="2">
        <v>6.1700000000000001E-3</v>
      </c>
      <c r="G84" s="26">
        <f t="shared" si="6"/>
        <v>118.464</v>
      </c>
      <c r="H84" s="19">
        <f>P8</f>
        <v>12.239999999999998</v>
      </c>
      <c r="I84" s="22">
        <f t="shared" si="4"/>
        <v>1.4499993599999998</v>
      </c>
    </row>
    <row r="85" spans="1:9" x14ac:dyDescent="0.25">
      <c r="A85" t="s">
        <v>157</v>
      </c>
      <c r="B85" s="2">
        <v>8</v>
      </c>
      <c r="C85" s="2">
        <v>250</v>
      </c>
      <c r="D85" s="49">
        <v>100</v>
      </c>
      <c r="E85" s="2">
        <f t="shared" si="5"/>
        <v>350</v>
      </c>
      <c r="F85" s="2">
        <v>6.1700000000000001E-3</v>
      </c>
      <c r="G85" s="26">
        <f t="shared" si="6"/>
        <v>138.208</v>
      </c>
      <c r="H85" s="19">
        <f>P8</f>
        <v>12.239999999999998</v>
      </c>
      <c r="I85" s="22">
        <f t="shared" si="4"/>
        <v>1.6916659199999997</v>
      </c>
    </row>
    <row r="86" spans="1:9" x14ac:dyDescent="0.25">
      <c r="A86" t="s">
        <v>159</v>
      </c>
      <c r="B86" s="2">
        <v>8</v>
      </c>
      <c r="C86" s="2">
        <v>300</v>
      </c>
      <c r="D86" s="49">
        <v>100</v>
      </c>
      <c r="E86" s="2">
        <f t="shared" si="5"/>
        <v>400</v>
      </c>
      <c r="F86" s="2">
        <v>6.1700000000000001E-3</v>
      </c>
      <c r="G86" s="26">
        <f t="shared" si="6"/>
        <v>157.952</v>
      </c>
      <c r="H86" s="19">
        <f>P8</f>
        <v>12.239999999999998</v>
      </c>
      <c r="I86" s="22">
        <f t="shared" si="4"/>
        <v>1.9333324799999998</v>
      </c>
    </row>
    <row r="87" spans="1:9" x14ac:dyDescent="0.25">
      <c r="A87" t="s">
        <v>161</v>
      </c>
      <c r="B87" s="2">
        <v>8</v>
      </c>
      <c r="C87" s="2">
        <v>350</v>
      </c>
      <c r="D87" s="49">
        <v>100</v>
      </c>
      <c r="E87" s="2">
        <f t="shared" si="5"/>
        <v>450</v>
      </c>
      <c r="F87" s="2">
        <v>6.1700000000000001E-3</v>
      </c>
      <c r="G87" s="26">
        <f t="shared" si="6"/>
        <v>177.696</v>
      </c>
      <c r="H87" s="19">
        <f>P8</f>
        <v>12.239999999999998</v>
      </c>
      <c r="I87" s="22">
        <f t="shared" si="4"/>
        <v>2.1749990399999999</v>
      </c>
    </row>
    <row r="88" spans="1:9" x14ac:dyDescent="0.25">
      <c r="A88" t="s">
        <v>163</v>
      </c>
      <c r="B88" s="2">
        <v>8</v>
      </c>
      <c r="C88" s="2">
        <v>400</v>
      </c>
      <c r="D88" s="49">
        <v>100</v>
      </c>
      <c r="E88" s="2">
        <f t="shared" si="5"/>
        <v>500</v>
      </c>
      <c r="F88" s="2">
        <v>6.1700000000000001E-3</v>
      </c>
      <c r="G88" s="26">
        <f t="shared" si="6"/>
        <v>197.44</v>
      </c>
      <c r="H88" s="19">
        <f>P9</f>
        <v>37.44</v>
      </c>
      <c r="I88" s="22">
        <f t="shared" si="4"/>
        <v>7.3921535999999994</v>
      </c>
    </row>
    <row r="89" spans="1:9" x14ac:dyDescent="0.25">
      <c r="A89" t="s">
        <v>165</v>
      </c>
      <c r="B89" s="2">
        <v>8</v>
      </c>
      <c r="C89" s="2">
        <v>500</v>
      </c>
      <c r="D89" s="49">
        <v>100</v>
      </c>
      <c r="E89" s="2">
        <f t="shared" si="5"/>
        <v>600</v>
      </c>
      <c r="F89" s="2">
        <v>6.1700000000000001E-3</v>
      </c>
      <c r="G89" s="26">
        <f t="shared" si="6"/>
        <v>236.928</v>
      </c>
      <c r="H89" s="19">
        <f>P9</f>
        <v>37.44</v>
      </c>
      <c r="I89" s="22">
        <f t="shared" si="4"/>
        <v>8.8705843200000007</v>
      </c>
    </row>
    <row r="90" spans="1:9" x14ac:dyDescent="0.25">
      <c r="A90" t="s">
        <v>177</v>
      </c>
      <c r="B90" s="2">
        <v>10</v>
      </c>
      <c r="C90" s="2">
        <v>200</v>
      </c>
      <c r="D90" s="49">
        <v>100</v>
      </c>
      <c r="E90" s="2">
        <f t="shared" si="5"/>
        <v>300</v>
      </c>
      <c r="F90" s="2">
        <v>6.1700000000000001E-3</v>
      </c>
      <c r="G90" s="26">
        <f t="shared" si="6"/>
        <v>185.1</v>
      </c>
      <c r="H90" s="19">
        <f>P8</f>
        <v>12.239999999999998</v>
      </c>
      <c r="I90" s="22">
        <f t="shared" si="4"/>
        <v>2.2656239999999999</v>
      </c>
    </row>
    <row r="91" spans="1:9" x14ac:dyDescent="0.25">
      <c r="A91" t="s">
        <v>179</v>
      </c>
      <c r="B91" s="2">
        <v>10</v>
      </c>
      <c r="C91" s="2">
        <v>250</v>
      </c>
      <c r="D91" s="49">
        <v>100</v>
      </c>
      <c r="E91" s="2">
        <f t="shared" si="5"/>
        <v>350</v>
      </c>
      <c r="F91" s="2">
        <v>6.1700000000000001E-3</v>
      </c>
      <c r="G91" s="26">
        <f t="shared" si="6"/>
        <v>215.95000000000002</v>
      </c>
      <c r="H91" s="19">
        <f>P8</f>
        <v>12.239999999999998</v>
      </c>
      <c r="I91" s="22">
        <f t="shared" si="4"/>
        <v>2.6432280000000001</v>
      </c>
    </row>
    <row r="92" spans="1:9" x14ac:dyDescent="0.25">
      <c r="A92" t="s">
        <v>181</v>
      </c>
      <c r="B92" s="2">
        <v>10</v>
      </c>
      <c r="C92" s="2">
        <v>300</v>
      </c>
      <c r="D92" s="49">
        <v>100</v>
      </c>
      <c r="E92" s="2">
        <f t="shared" si="5"/>
        <v>400</v>
      </c>
      <c r="F92" s="2">
        <v>6.1700000000000001E-3</v>
      </c>
      <c r="G92" s="26">
        <f t="shared" si="6"/>
        <v>246.8</v>
      </c>
      <c r="H92" s="19">
        <f>P8</f>
        <v>12.239999999999998</v>
      </c>
      <c r="I92" s="22">
        <f t="shared" si="4"/>
        <v>3.020832</v>
      </c>
    </row>
    <row r="93" spans="1:9" x14ac:dyDescent="0.25">
      <c r="A93" t="s">
        <v>183</v>
      </c>
      <c r="B93" s="2">
        <v>10</v>
      </c>
      <c r="C93" s="2">
        <v>400</v>
      </c>
      <c r="D93" s="49">
        <v>100</v>
      </c>
      <c r="E93" s="2">
        <f t="shared" si="5"/>
        <v>500</v>
      </c>
      <c r="F93" s="2">
        <v>6.1700000000000001E-3</v>
      </c>
      <c r="G93" s="26">
        <f t="shared" si="6"/>
        <v>308.5</v>
      </c>
      <c r="H93" s="19">
        <f>P9</f>
        <v>37.44</v>
      </c>
      <c r="I93" s="22">
        <f t="shared" si="4"/>
        <v>11.550240000000001</v>
      </c>
    </row>
    <row r="94" spans="1:9" x14ac:dyDescent="0.25">
      <c r="A94" t="s">
        <v>185</v>
      </c>
      <c r="B94" s="2">
        <v>10</v>
      </c>
      <c r="C94" s="2">
        <v>500</v>
      </c>
      <c r="D94" s="49">
        <v>100</v>
      </c>
      <c r="E94" s="2">
        <f t="shared" si="5"/>
        <v>600</v>
      </c>
      <c r="F94" s="2">
        <v>6.1700000000000001E-3</v>
      </c>
      <c r="G94" s="26">
        <f t="shared" si="6"/>
        <v>370.2</v>
      </c>
      <c r="H94" s="19">
        <f>P9</f>
        <v>37.44</v>
      </c>
      <c r="I94" s="22">
        <f t="shared" si="4"/>
        <v>13.860287999999999</v>
      </c>
    </row>
    <row r="95" spans="1:9" x14ac:dyDescent="0.25">
      <c r="A95" t="s">
        <v>299</v>
      </c>
      <c r="B95" s="2">
        <v>3</v>
      </c>
      <c r="C95" s="2">
        <v>60</v>
      </c>
      <c r="D95" s="49">
        <v>60</v>
      </c>
      <c r="E95" s="2">
        <f t="shared" si="5"/>
        <v>120</v>
      </c>
      <c r="F95" s="2">
        <v>6.1700000000000001E-3</v>
      </c>
      <c r="G95" s="26">
        <f t="shared" si="6"/>
        <v>6.6635999999999997</v>
      </c>
      <c r="H95" s="19">
        <f>P7</f>
        <v>18</v>
      </c>
      <c r="I95" s="22">
        <f t="shared" si="4"/>
        <v>0.1199448</v>
      </c>
    </row>
    <row r="96" spans="1:9" x14ac:dyDescent="0.25">
      <c r="A96" t="s">
        <v>187</v>
      </c>
      <c r="B96" s="2">
        <v>3</v>
      </c>
      <c r="C96" s="2">
        <v>75</v>
      </c>
      <c r="D96" s="49">
        <v>60</v>
      </c>
      <c r="E96" s="2">
        <f t="shared" si="5"/>
        <v>135</v>
      </c>
      <c r="F96" s="2">
        <v>6.1700000000000001E-3</v>
      </c>
      <c r="G96" s="26">
        <f t="shared" si="6"/>
        <v>7.49655</v>
      </c>
      <c r="H96" s="19">
        <f>P7</f>
        <v>18</v>
      </c>
      <c r="I96" s="22">
        <f t="shared" si="4"/>
        <v>0.1349379</v>
      </c>
    </row>
    <row r="97" spans="1:9" x14ac:dyDescent="0.25">
      <c r="A97" t="s">
        <v>189</v>
      </c>
      <c r="B97" s="2">
        <v>3</v>
      </c>
      <c r="C97" s="2">
        <v>100</v>
      </c>
      <c r="D97" s="49">
        <v>60</v>
      </c>
      <c r="E97" s="2">
        <f t="shared" si="5"/>
        <v>160</v>
      </c>
      <c r="F97" s="2">
        <v>6.1700000000000001E-3</v>
      </c>
      <c r="G97" s="26">
        <f t="shared" si="6"/>
        <v>8.8848000000000003</v>
      </c>
      <c r="H97" s="19">
        <f>P7</f>
        <v>18</v>
      </c>
      <c r="I97" s="22">
        <f t="shared" si="4"/>
        <v>0.1599264</v>
      </c>
    </row>
    <row r="98" spans="1:9" x14ac:dyDescent="0.25">
      <c r="A98" t="s">
        <v>191</v>
      </c>
      <c r="B98" s="2">
        <v>3</v>
      </c>
      <c r="C98" s="2">
        <v>125</v>
      </c>
      <c r="D98" s="49">
        <v>60</v>
      </c>
      <c r="E98" s="2">
        <f t="shared" si="5"/>
        <v>185</v>
      </c>
      <c r="F98" s="2">
        <v>6.1700000000000001E-3</v>
      </c>
      <c r="G98" s="26">
        <f t="shared" si="6"/>
        <v>10.27305</v>
      </c>
      <c r="H98" s="19">
        <f>P7</f>
        <v>18</v>
      </c>
      <c r="I98" s="22">
        <f t="shared" si="4"/>
        <v>0.18491489999999999</v>
      </c>
    </row>
    <row r="99" spans="1:9" x14ac:dyDescent="0.25">
      <c r="A99" t="s">
        <v>193</v>
      </c>
      <c r="B99" s="2">
        <v>3</v>
      </c>
      <c r="C99" s="2">
        <v>150</v>
      </c>
      <c r="D99" s="49">
        <v>60</v>
      </c>
      <c r="E99" s="2">
        <f t="shared" si="5"/>
        <v>210</v>
      </c>
      <c r="F99" s="2">
        <v>6.1700000000000001E-3</v>
      </c>
      <c r="G99" s="26">
        <f t="shared" si="6"/>
        <v>11.661300000000001</v>
      </c>
      <c r="H99" s="19">
        <f>P7</f>
        <v>18</v>
      </c>
      <c r="I99" s="22">
        <f t="shared" si="4"/>
        <v>0.20990340000000002</v>
      </c>
    </row>
    <row r="100" spans="1:9" x14ac:dyDescent="0.25">
      <c r="A100" t="s">
        <v>195</v>
      </c>
      <c r="B100" s="2">
        <v>3</v>
      </c>
      <c r="C100" s="2">
        <v>200</v>
      </c>
      <c r="D100" s="49">
        <v>60</v>
      </c>
      <c r="E100" s="2">
        <f t="shared" si="5"/>
        <v>260</v>
      </c>
      <c r="F100" s="2">
        <v>6.1700000000000001E-3</v>
      </c>
      <c r="G100" s="26">
        <f t="shared" si="6"/>
        <v>14.437800000000001</v>
      </c>
      <c r="H100" s="19">
        <f>P7</f>
        <v>18</v>
      </c>
      <c r="I100" s="22">
        <f t="shared" si="4"/>
        <v>0.25988040000000001</v>
      </c>
    </row>
    <row r="101" spans="1:9" x14ac:dyDescent="0.25">
      <c r="A101" t="s">
        <v>199</v>
      </c>
      <c r="B101" s="2">
        <v>3</v>
      </c>
      <c r="C101" s="2">
        <v>250</v>
      </c>
      <c r="D101" s="49">
        <v>60</v>
      </c>
      <c r="E101" s="2">
        <f t="shared" si="5"/>
        <v>310</v>
      </c>
      <c r="F101" s="2">
        <v>6.1700000000000001E-3</v>
      </c>
      <c r="G101" s="26">
        <f t="shared" si="6"/>
        <v>17.214300000000001</v>
      </c>
      <c r="H101" s="19">
        <f>P7</f>
        <v>18</v>
      </c>
      <c r="I101" s="22">
        <f t="shared" si="4"/>
        <v>0.30985740000000006</v>
      </c>
    </row>
    <row r="102" spans="1:9" x14ac:dyDescent="0.25">
      <c r="A102" t="s">
        <v>197</v>
      </c>
      <c r="B102" s="2">
        <v>3</v>
      </c>
      <c r="C102" s="2">
        <v>300</v>
      </c>
      <c r="D102" s="49">
        <v>60</v>
      </c>
      <c r="E102" s="2">
        <f t="shared" si="5"/>
        <v>360</v>
      </c>
      <c r="F102" s="2">
        <v>6.1700000000000001E-3</v>
      </c>
      <c r="G102" s="26">
        <f t="shared" si="6"/>
        <v>19.9908</v>
      </c>
      <c r="H102" s="19">
        <f>P7</f>
        <v>18</v>
      </c>
      <c r="I102" s="22">
        <f t="shared" si="4"/>
        <v>0.3598344</v>
      </c>
    </row>
    <row r="103" spans="1:9" x14ac:dyDescent="0.25">
      <c r="A103" t="s">
        <v>201</v>
      </c>
      <c r="B103" s="2">
        <v>4</v>
      </c>
      <c r="C103" s="2">
        <v>80</v>
      </c>
      <c r="D103" s="49">
        <v>60</v>
      </c>
      <c r="E103" s="2">
        <f t="shared" si="5"/>
        <v>140</v>
      </c>
      <c r="F103" s="2">
        <v>6.1700000000000001E-3</v>
      </c>
      <c r="G103" s="26">
        <f t="shared" si="6"/>
        <v>13.8208</v>
      </c>
      <c r="H103" s="19">
        <f>P8</f>
        <v>12.239999999999998</v>
      </c>
      <c r="I103" s="22">
        <f t="shared" si="4"/>
        <v>0.16916659199999998</v>
      </c>
    </row>
    <row r="104" spans="1:9" x14ac:dyDescent="0.25">
      <c r="A104" t="s">
        <v>203</v>
      </c>
      <c r="B104" s="2">
        <v>4</v>
      </c>
      <c r="C104" s="2">
        <v>100</v>
      </c>
      <c r="D104" s="49">
        <v>60</v>
      </c>
      <c r="E104" s="2">
        <f t="shared" si="5"/>
        <v>160</v>
      </c>
      <c r="F104" s="2">
        <v>6.1700000000000001E-3</v>
      </c>
      <c r="G104" s="26">
        <f t="shared" si="6"/>
        <v>15.795200000000001</v>
      </c>
      <c r="H104" s="19">
        <f>P8</f>
        <v>12.239999999999998</v>
      </c>
      <c r="I104" s="22">
        <f t="shared" si="4"/>
        <v>0.19333324799999999</v>
      </c>
    </row>
    <row r="105" spans="1:9" x14ac:dyDescent="0.25">
      <c r="A105" t="s">
        <v>205</v>
      </c>
      <c r="B105" s="2">
        <v>4</v>
      </c>
      <c r="C105" s="2">
        <v>125</v>
      </c>
      <c r="D105" s="49">
        <v>60</v>
      </c>
      <c r="E105" s="2">
        <f t="shared" si="5"/>
        <v>185</v>
      </c>
      <c r="F105" s="2">
        <v>6.1700000000000001E-3</v>
      </c>
      <c r="G105" s="26">
        <f t="shared" si="6"/>
        <v>18.263200000000001</v>
      </c>
      <c r="H105" s="19">
        <f>P8</f>
        <v>12.239999999999998</v>
      </c>
      <c r="I105" s="22">
        <f t="shared" si="4"/>
        <v>0.223541568</v>
      </c>
    </row>
    <row r="106" spans="1:9" x14ac:dyDescent="0.25">
      <c r="A106" t="s">
        <v>207</v>
      </c>
      <c r="B106" s="2">
        <v>4</v>
      </c>
      <c r="C106" s="2">
        <v>150</v>
      </c>
      <c r="D106" s="49">
        <v>60</v>
      </c>
      <c r="E106" s="2">
        <f t="shared" si="5"/>
        <v>210</v>
      </c>
      <c r="F106" s="2">
        <v>6.1700000000000001E-3</v>
      </c>
      <c r="G106" s="26">
        <f t="shared" si="6"/>
        <v>20.731200000000001</v>
      </c>
      <c r="H106" s="19">
        <f>P8</f>
        <v>12.239999999999998</v>
      </c>
      <c r="I106" s="22">
        <f t="shared" si="4"/>
        <v>0.25374988799999998</v>
      </c>
    </row>
    <row r="107" spans="1:9" x14ac:dyDescent="0.25">
      <c r="A107" t="s">
        <v>209</v>
      </c>
      <c r="B107" s="2">
        <v>4</v>
      </c>
      <c r="C107" s="2">
        <v>200</v>
      </c>
      <c r="D107" s="49">
        <v>60</v>
      </c>
      <c r="E107" s="2">
        <f t="shared" si="5"/>
        <v>260</v>
      </c>
      <c r="F107" s="2">
        <v>6.1700000000000001E-3</v>
      </c>
      <c r="G107" s="26">
        <f t="shared" si="6"/>
        <v>25.667200000000001</v>
      </c>
      <c r="H107" s="19">
        <f>P8</f>
        <v>12.239999999999998</v>
      </c>
      <c r="I107" s="22">
        <f t="shared" si="4"/>
        <v>0.31416652799999994</v>
      </c>
    </row>
    <row r="108" spans="1:9" x14ac:dyDescent="0.25">
      <c r="A108" t="s">
        <v>217</v>
      </c>
      <c r="B108" s="2">
        <v>4</v>
      </c>
      <c r="C108" s="2">
        <v>250</v>
      </c>
      <c r="D108" s="49">
        <v>60</v>
      </c>
      <c r="E108" s="2">
        <f t="shared" si="5"/>
        <v>310</v>
      </c>
      <c r="F108" s="2">
        <v>6.1700000000000001E-3</v>
      </c>
      <c r="G108" s="26">
        <f t="shared" si="6"/>
        <v>30.603200000000001</v>
      </c>
      <c r="H108" s="19">
        <f>P8</f>
        <v>12.239999999999998</v>
      </c>
      <c r="I108" s="22">
        <f t="shared" si="4"/>
        <v>0.37458316799999997</v>
      </c>
    </row>
    <row r="109" spans="1:9" x14ac:dyDescent="0.25">
      <c r="A109" t="s">
        <v>211</v>
      </c>
      <c r="B109" s="2">
        <v>4</v>
      </c>
      <c r="C109" s="2">
        <v>300</v>
      </c>
      <c r="D109" s="49">
        <v>60</v>
      </c>
      <c r="E109" s="2">
        <f t="shared" si="5"/>
        <v>360</v>
      </c>
      <c r="F109" s="2">
        <v>6.1700000000000001E-3</v>
      </c>
      <c r="G109" s="26">
        <f t="shared" si="6"/>
        <v>35.539200000000001</v>
      </c>
      <c r="H109" s="19">
        <f>P8</f>
        <v>12.239999999999998</v>
      </c>
      <c r="I109" s="22">
        <f t="shared" si="4"/>
        <v>0.43499980799999999</v>
      </c>
    </row>
    <row r="110" spans="1:9" x14ac:dyDescent="0.25">
      <c r="A110" t="s">
        <v>213</v>
      </c>
      <c r="B110" s="2">
        <v>4</v>
      </c>
      <c r="C110" s="2">
        <v>350</v>
      </c>
      <c r="D110" s="49">
        <v>60</v>
      </c>
      <c r="E110" s="2">
        <f t="shared" si="5"/>
        <v>410</v>
      </c>
      <c r="F110" s="2">
        <v>6.1700000000000001E-3</v>
      </c>
      <c r="G110" s="26">
        <f t="shared" si="6"/>
        <v>40.475200000000001</v>
      </c>
      <c r="H110" s="19">
        <f>P8</f>
        <v>12.239999999999998</v>
      </c>
      <c r="I110" s="22">
        <f t="shared" si="4"/>
        <v>0.49541644799999995</v>
      </c>
    </row>
    <row r="111" spans="1:9" x14ac:dyDescent="0.25">
      <c r="A111" t="s">
        <v>215</v>
      </c>
      <c r="B111" s="2">
        <v>4</v>
      </c>
      <c r="C111" s="2">
        <v>400</v>
      </c>
      <c r="D111" s="49">
        <v>60</v>
      </c>
      <c r="E111" s="2">
        <f t="shared" si="5"/>
        <v>460</v>
      </c>
      <c r="F111" s="2">
        <v>6.1700000000000001E-3</v>
      </c>
      <c r="G111" s="26">
        <f t="shared" si="6"/>
        <v>45.411200000000001</v>
      </c>
      <c r="H111" s="19">
        <f>P8</f>
        <v>12.239999999999998</v>
      </c>
      <c r="I111" s="22">
        <f t="shared" si="4"/>
        <v>0.55583308799999998</v>
      </c>
    </row>
    <row r="112" spans="1:9" x14ac:dyDescent="0.25">
      <c r="A112" t="s">
        <v>219</v>
      </c>
      <c r="B112" s="2">
        <v>4</v>
      </c>
      <c r="C112" s="2">
        <v>500</v>
      </c>
      <c r="D112" s="49">
        <v>60</v>
      </c>
      <c r="E112" s="2">
        <f t="shared" si="5"/>
        <v>560</v>
      </c>
      <c r="F112" s="2">
        <v>6.1700000000000001E-3</v>
      </c>
      <c r="G112" s="26">
        <f t="shared" si="6"/>
        <v>55.283200000000001</v>
      </c>
      <c r="H112" s="19">
        <f>P9</f>
        <v>37.44</v>
      </c>
      <c r="I112" s="22">
        <f t="shared" si="4"/>
        <v>2.0698030080000001</v>
      </c>
    </row>
    <row r="113" spans="1:9" x14ac:dyDescent="0.25">
      <c r="A113" t="s">
        <v>295</v>
      </c>
      <c r="B113" s="2">
        <v>5</v>
      </c>
      <c r="C113" s="2">
        <v>38</v>
      </c>
      <c r="D113" s="49">
        <v>45</v>
      </c>
      <c r="E113" s="2">
        <f t="shared" si="5"/>
        <v>83</v>
      </c>
      <c r="F113" s="2">
        <v>6.1700000000000001E-3</v>
      </c>
      <c r="G113" s="26">
        <f t="shared" si="6"/>
        <v>12.80275</v>
      </c>
      <c r="H113" s="19">
        <f>P8</f>
        <v>12.239999999999998</v>
      </c>
      <c r="I113" s="22">
        <f t="shared" si="4"/>
        <v>0.15670565999999997</v>
      </c>
    </row>
    <row r="114" spans="1:9" x14ac:dyDescent="0.25">
      <c r="A114" t="s">
        <v>221</v>
      </c>
      <c r="B114" s="2">
        <v>5</v>
      </c>
      <c r="C114" s="2">
        <v>80</v>
      </c>
      <c r="D114" s="49">
        <v>60</v>
      </c>
      <c r="E114" s="2">
        <f t="shared" si="5"/>
        <v>140</v>
      </c>
      <c r="F114" s="2">
        <v>6.1700000000000001E-3</v>
      </c>
      <c r="G114" s="26">
        <f t="shared" si="6"/>
        <v>21.594999999999999</v>
      </c>
      <c r="H114" s="19">
        <f>P8</f>
        <v>12.239999999999998</v>
      </c>
      <c r="I114" s="22">
        <f t="shared" si="4"/>
        <v>0.26432279999999997</v>
      </c>
    </row>
    <row r="115" spans="1:9" x14ac:dyDescent="0.25">
      <c r="A115" t="s">
        <v>223</v>
      </c>
      <c r="B115" s="2">
        <v>5</v>
      </c>
      <c r="C115" s="2">
        <v>100</v>
      </c>
      <c r="D115" s="49">
        <v>60</v>
      </c>
      <c r="E115" s="2">
        <f t="shared" si="5"/>
        <v>160</v>
      </c>
      <c r="F115" s="2">
        <v>6.1700000000000001E-3</v>
      </c>
      <c r="G115" s="26">
        <f t="shared" si="6"/>
        <v>24.68</v>
      </c>
      <c r="H115" s="19">
        <f>P8</f>
        <v>12.239999999999998</v>
      </c>
      <c r="I115" s="22">
        <f t="shared" si="4"/>
        <v>0.3020832</v>
      </c>
    </row>
    <row r="116" spans="1:9" x14ac:dyDescent="0.25">
      <c r="A116" t="s">
        <v>225</v>
      </c>
      <c r="B116" s="2">
        <v>5</v>
      </c>
      <c r="C116" s="2">
        <v>125</v>
      </c>
      <c r="D116" s="49">
        <v>60</v>
      </c>
      <c r="E116" s="2">
        <f t="shared" si="5"/>
        <v>185</v>
      </c>
      <c r="F116" s="2">
        <v>6.1700000000000001E-3</v>
      </c>
      <c r="G116" s="26">
        <f t="shared" si="6"/>
        <v>28.536249999999999</v>
      </c>
      <c r="H116" s="19">
        <f>P8</f>
        <v>12.239999999999998</v>
      </c>
      <c r="I116" s="22">
        <f t="shared" si="4"/>
        <v>0.34928369999999997</v>
      </c>
    </row>
    <row r="117" spans="1:9" x14ac:dyDescent="0.25">
      <c r="A117" t="s">
        <v>227</v>
      </c>
      <c r="B117" s="2">
        <v>5</v>
      </c>
      <c r="C117" s="2">
        <v>150</v>
      </c>
      <c r="D117" s="49">
        <v>60</v>
      </c>
      <c r="E117" s="2">
        <f t="shared" si="5"/>
        <v>210</v>
      </c>
      <c r="F117" s="2">
        <v>6.1700000000000001E-3</v>
      </c>
      <c r="G117" s="26">
        <f t="shared" si="6"/>
        <v>32.392499999999998</v>
      </c>
      <c r="H117" s="19">
        <f>P8</f>
        <v>12.239999999999998</v>
      </c>
      <c r="I117" s="22">
        <f t="shared" si="4"/>
        <v>0.39648419999999995</v>
      </c>
    </row>
    <row r="118" spans="1:9" x14ac:dyDescent="0.25">
      <c r="A118" t="s">
        <v>229</v>
      </c>
      <c r="B118" s="2">
        <v>5</v>
      </c>
      <c r="C118" s="2">
        <v>200</v>
      </c>
      <c r="D118" s="49">
        <v>60</v>
      </c>
      <c r="E118" s="2">
        <f t="shared" si="5"/>
        <v>260</v>
      </c>
      <c r="F118" s="2">
        <v>6.1700000000000001E-3</v>
      </c>
      <c r="G118" s="26">
        <f t="shared" si="6"/>
        <v>40.105000000000004</v>
      </c>
      <c r="H118" s="19">
        <f>P8</f>
        <v>12.239999999999998</v>
      </c>
      <c r="I118" s="22">
        <f t="shared" si="4"/>
        <v>0.49088520000000002</v>
      </c>
    </row>
    <row r="119" spans="1:9" x14ac:dyDescent="0.25">
      <c r="A119" t="s">
        <v>231</v>
      </c>
      <c r="B119" s="2">
        <v>5</v>
      </c>
      <c r="C119" s="2">
        <v>250</v>
      </c>
      <c r="D119" s="49">
        <v>60</v>
      </c>
      <c r="E119" s="2">
        <f t="shared" si="5"/>
        <v>310</v>
      </c>
      <c r="F119" s="2">
        <v>6.1700000000000001E-3</v>
      </c>
      <c r="G119" s="26">
        <f t="shared" si="6"/>
        <v>47.817500000000003</v>
      </c>
      <c r="H119" s="19">
        <f>P8</f>
        <v>12.239999999999998</v>
      </c>
      <c r="I119" s="22">
        <f t="shared" si="4"/>
        <v>0.58528619999999998</v>
      </c>
    </row>
    <row r="120" spans="1:9" x14ac:dyDescent="0.25">
      <c r="A120" t="s">
        <v>233</v>
      </c>
      <c r="B120" s="2">
        <v>5</v>
      </c>
      <c r="C120" s="2">
        <v>300</v>
      </c>
      <c r="D120" s="49">
        <v>60</v>
      </c>
      <c r="E120" s="2">
        <f t="shared" si="5"/>
        <v>360</v>
      </c>
      <c r="F120" s="2">
        <v>6.1700000000000001E-3</v>
      </c>
      <c r="G120" s="26">
        <f t="shared" si="6"/>
        <v>55.53</v>
      </c>
      <c r="H120" s="19">
        <f>P8</f>
        <v>12.239999999999998</v>
      </c>
      <c r="I120" s="22">
        <f t="shared" si="4"/>
        <v>0.67968719999999994</v>
      </c>
    </row>
    <row r="121" spans="1:9" x14ac:dyDescent="0.25">
      <c r="A121" t="s">
        <v>235</v>
      </c>
      <c r="B121" s="2">
        <v>5</v>
      </c>
      <c r="C121" s="2">
        <v>350</v>
      </c>
      <c r="D121" s="49">
        <v>60</v>
      </c>
      <c r="E121" s="2">
        <f t="shared" si="5"/>
        <v>410</v>
      </c>
      <c r="F121" s="2">
        <v>6.1700000000000001E-3</v>
      </c>
      <c r="G121" s="26">
        <f t="shared" si="6"/>
        <v>63.2425</v>
      </c>
      <c r="H121" s="19">
        <f>P8</f>
        <v>12.239999999999998</v>
      </c>
      <c r="I121" s="22">
        <f t="shared" si="4"/>
        <v>0.77408819999999989</v>
      </c>
    </row>
    <row r="122" spans="1:9" x14ac:dyDescent="0.25">
      <c r="A122" t="s">
        <v>237</v>
      </c>
      <c r="B122" s="2">
        <v>5</v>
      </c>
      <c r="C122" s="2">
        <v>400</v>
      </c>
      <c r="D122" s="49">
        <v>60</v>
      </c>
      <c r="E122" s="2">
        <f t="shared" si="5"/>
        <v>460</v>
      </c>
      <c r="F122" s="2">
        <v>6.1700000000000001E-3</v>
      </c>
      <c r="G122" s="26">
        <f t="shared" si="6"/>
        <v>70.954999999999998</v>
      </c>
      <c r="H122" s="19">
        <f>P8</f>
        <v>12.239999999999998</v>
      </c>
      <c r="I122" s="22">
        <f t="shared" si="4"/>
        <v>0.86848919999999985</v>
      </c>
    </row>
    <row r="123" spans="1:9" x14ac:dyDescent="0.25">
      <c r="A123" t="s">
        <v>239</v>
      </c>
      <c r="B123" s="2">
        <v>5</v>
      </c>
      <c r="C123" s="2">
        <v>500</v>
      </c>
      <c r="D123" s="49">
        <v>60</v>
      </c>
      <c r="E123" s="2">
        <f t="shared" si="5"/>
        <v>560</v>
      </c>
      <c r="F123" s="2">
        <v>6.1700000000000001E-3</v>
      </c>
      <c r="G123" s="26">
        <f t="shared" si="6"/>
        <v>86.38</v>
      </c>
      <c r="H123" s="19">
        <f>P9</f>
        <v>37.44</v>
      </c>
      <c r="I123" s="22">
        <f t="shared" si="4"/>
        <v>3.2340671999999997</v>
      </c>
    </row>
    <row r="124" spans="1:9" x14ac:dyDescent="0.25">
      <c r="A124" t="s">
        <v>297</v>
      </c>
      <c r="B124" s="2">
        <v>6</v>
      </c>
      <c r="C124" s="2">
        <v>38</v>
      </c>
      <c r="D124" s="49">
        <v>45</v>
      </c>
      <c r="E124" s="2">
        <f t="shared" si="5"/>
        <v>83</v>
      </c>
      <c r="F124" s="2">
        <v>6.1700000000000001E-3</v>
      </c>
      <c r="G124" s="26">
        <f t="shared" si="6"/>
        <v>18.435960000000001</v>
      </c>
      <c r="H124" s="19">
        <f>P8</f>
        <v>12.239999999999998</v>
      </c>
      <c r="I124" s="22">
        <f t="shared" si="4"/>
        <v>0.22565615040000001</v>
      </c>
    </row>
    <row r="125" spans="1:9" x14ac:dyDescent="0.25">
      <c r="A125" t="s">
        <v>241</v>
      </c>
      <c r="B125" s="2">
        <v>6</v>
      </c>
      <c r="C125" s="2">
        <v>100</v>
      </c>
      <c r="D125" s="49">
        <v>80</v>
      </c>
      <c r="E125" s="2">
        <f t="shared" si="5"/>
        <v>180</v>
      </c>
      <c r="F125" s="2">
        <v>6.1700000000000001E-3</v>
      </c>
      <c r="G125" s="26">
        <f t="shared" si="6"/>
        <v>39.9816</v>
      </c>
      <c r="H125" s="19">
        <f>P8</f>
        <v>12.239999999999998</v>
      </c>
      <c r="I125" s="22">
        <f t="shared" si="4"/>
        <v>0.4893747839999999</v>
      </c>
    </row>
    <row r="126" spans="1:9" x14ac:dyDescent="0.25">
      <c r="A126" t="s">
        <v>243</v>
      </c>
      <c r="B126" s="2">
        <v>6</v>
      </c>
      <c r="C126" s="2">
        <v>125</v>
      </c>
      <c r="D126" s="49">
        <v>80</v>
      </c>
      <c r="E126" s="2">
        <f t="shared" si="5"/>
        <v>205</v>
      </c>
      <c r="F126" s="2">
        <v>6.1700000000000001E-3</v>
      </c>
      <c r="G126" s="26">
        <f t="shared" si="6"/>
        <v>45.534599999999998</v>
      </c>
      <c r="H126" s="19">
        <f>P8</f>
        <v>12.239999999999998</v>
      </c>
      <c r="I126" s="22">
        <f t="shared" si="4"/>
        <v>0.55734350399999999</v>
      </c>
    </row>
    <row r="127" spans="1:9" x14ac:dyDescent="0.25">
      <c r="A127" t="s">
        <v>245</v>
      </c>
      <c r="B127" s="2">
        <v>6</v>
      </c>
      <c r="C127" s="2">
        <v>150</v>
      </c>
      <c r="D127" s="49">
        <v>80</v>
      </c>
      <c r="E127" s="2">
        <f t="shared" si="5"/>
        <v>230</v>
      </c>
      <c r="F127" s="2">
        <v>6.1700000000000001E-3</v>
      </c>
      <c r="G127" s="26">
        <f t="shared" si="6"/>
        <v>51.087600000000002</v>
      </c>
      <c r="H127" s="19">
        <f>P8</f>
        <v>12.239999999999998</v>
      </c>
      <c r="I127" s="22">
        <f t="shared" si="4"/>
        <v>0.62531222399999986</v>
      </c>
    </row>
    <row r="128" spans="1:9" x14ac:dyDescent="0.25">
      <c r="A128" t="s">
        <v>247</v>
      </c>
      <c r="B128" s="2">
        <v>6</v>
      </c>
      <c r="C128" s="2">
        <v>200</v>
      </c>
      <c r="D128" s="49">
        <v>80</v>
      </c>
      <c r="E128" s="2">
        <f t="shared" si="5"/>
        <v>280</v>
      </c>
      <c r="F128" s="2">
        <v>6.1700000000000001E-3</v>
      </c>
      <c r="G128" s="26">
        <f t="shared" si="6"/>
        <v>62.193600000000004</v>
      </c>
      <c r="H128" s="19">
        <f>P8</f>
        <v>12.239999999999998</v>
      </c>
      <c r="I128" s="22">
        <f t="shared" si="4"/>
        <v>0.76124966399999994</v>
      </c>
    </row>
    <row r="129" spans="1:9" x14ac:dyDescent="0.25">
      <c r="A129" t="s">
        <v>249</v>
      </c>
      <c r="B129" s="2">
        <v>6</v>
      </c>
      <c r="C129" s="2">
        <v>250</v>
      </c>
      <c r="D129" s="49">
        <v>80</v>
      </c>
      <c r="E129" s="2">
        <f t="shared" si="5"/>
        <v>330</v>
      </c>
      <c r="F129" s="2">
        <v>6.1700000000000001E-3</v>
      </c>
      <c r="G129" s="26">
        <f t="shared" si="6"/>
        <v>73.299599999999998</v>
      </c>
      <c r="H129" s="19">
        <f>P8</f>
        <v>12.239999999999998</v>
      </c>
      <c r="I129" s="22">
        <f t="shared" si="4"/>
        <v>0.8971871039999999</v>
      </c>
    </row>
    <row r="130" spans="1:9" x14ac:dyDescent="0.25">
      <c r="A130" t="s">
        <v>251</v>
      </c>
      <c r="B130" s="2">
        <v>6</v>
      </c>
      <c r="C130" s="2">
        <v>300</v>
      </c>
      <c r="D130" s="49">
        <v>80</v>
      </c>
      <c r="E130" s="2">
        <f t="shared" si="5"/>
        <v>380</v>
      </c>
      <c r="F130" s="2">
        <v>6.1700000000000001E-3</v>
      </c>
      <c r="G130" s="26">
        <f t="shared" si="6"/>
        <v>84.405600000000007</v>
      </c>
      <c r="H130" s="19">
        <f>P8</f>
        <v>12.239999999999998</v>
      </c>
      <c r="I130" s="22">
        <f t="shared" si="4"/>
        <v>1.0331245440000001</v>
      </c>
    </row>
    <row r="131" spans="1:9" x14ac:dyDescent="0.25">
      <c r="A131" t="s">
        <v>253</v>
      </c>
      <c r="B131" s="2">
        <v>6</v>
      </c>
      <c r="C131" s="2">
        <v>350</v>
      </c>
      <c r="D131" s="49">
        <v>80</v>
      </c>
      <c r="E131" s="2">
        <f t="shared" si="5"/>
        <v>430</v>
      </c>
      <c r="F131" s="2">
        <v>6.1700000000000001E-3</v>
      </c>
      <c r="G131" s="26">
        <f t="shared" si="6"/>
        <v>95.511600000000001</v>
      </c>
      <c r="H131" s="19">
        <f>P8</f>
        <v>12.239999999999998</v>
      </c>
      <c r="I131" s="22">
        <f t="shared" si="4"/>
        <v>1.1690619839999998</v>
      </c>
    </row>
    <row r="132" spans="1:9" x14ac:dyDescent="0.25">
      <c r="A132" t="s">
        <v>255</v>
      </c>
      <c r="B132" s="2">
        <v>6</v>
      </c>
      <c r="C132" s="2">
        <v>400</v>
      </c>
      <c r="D132" s="49">
        <v>80</v>
      </c>
      <c r="E132" s="2">
        <f t="shared" si="5"/>
        <v>480</v>
      </c>
      <c r="F132" s="2">
        <v>6.1700000000000001E-3</v>
      </c>
      <c r="G132" s="26">
        <f t="shared" si="6"/>
        <v>106.6176</v>
      </c>
      <c r="H132" s="19">
        <f>P9</f>
        <v>37.44</v>
      </c>
      <c r="I132" s="22">
        <f t="shared" si="4"/>
        <v>3.9917629439999995</v>
      </c>
    </row>
    <row r="133" spans="1:9" x14ac:dyDescent="0.25">
      <c r="A133" t="s">
        <v>257</v>
      </c>
      <c r="B133" s="2">
        <v>6</v>
      </c>
      <c r="C133" s="2">
        <v>450</v>
      </c>
      <c r="D133" s="49">
        <v>80</v>
      </c>
      <c r="E133" s="2">
        <f t="shared" si="5"/>
        <v>530</v>
      </c>
      <c r="F133" s="2">
        <v>6.1700000000000001E-3</v>
      </c>
      <c r="G133" s="26">
        <f t="shared" si="6"/>
        <v>117.7236</v>
      </c>
      <c r="H133" s="19">
        <f>P9</f>
        <v>37.44</v>
      </c>
      <c r="I133" s="22">
        <f t="shared" si="4"/>
        <v>4.4075715840000003</v>
      </c>
    </row>
    <row r="134" spans="1:9" x14ac:dyDescent="0.25">
      <c r="A134" t="s">
        <v>259</v>
      </c>
      <c r="B134" s="2">
        <v>6</v>
      </c>
      <c r="C134" s="2">
        <v>500</v>
      </c>
      <c r="D134" s="49">
        <v>80</v>
      </c>
      <c r="E134" s="2">
        <f t="shared" si="5"/>
        <v>580</v>
      </c>
      <c r="F134" s="2">
        <v>6.1700000000000001E-3</v>
      </c>
      <c r="G134" s="26">
        <f t="shared" si="6"/>
        <v>128.8296</v>
      </c>
      <c r="H134" s="19">
        <f>P9</f>
        <v>37.44</v>
      </c>
      <c r="I134" s="22">
        <f t="shared" si="4"/>
        <v>4.8233802239999992</v>
      </c>
    </row>
    <row r="135" spans="1:9" x14ac:dyDescent="0.25">
      <c r="A135" t="s">
        <v>261</v>
      </c>
      <c r="B135" s="2">
        <v>7</v>
      </c>
      <c r="C135" s="2">
        <v>150</v>
      </c>
      <c r="D135" s="49">
        <v>100</v>
      </c>
      <c r="E135" s="2">
        <f t="shared" si="5"/>
        <v>250</v>
      </c>
      <c r="F135" s="2">
        <v>6.1700000000000001E-3</v>
      </c>
      <c r="G135" s="26">
        <f t="shared" si="6"/>
        <v>75.582499999999996</v>
      </c>
      <c r="H135" s="19">
        <f>P8</f>
        <v>12.239999999999998</v>
      </c>
      <c r="I135" s="22">
        <f t="shared" ref="I135:I198" si="7">G135*H135/1000</f>
        <v>0.92512979999999978</v>
      </c>
    </row>
    <row r="136" spans="1:9" x14ac:dyDescent="0.25">
      <c r="A136" t="s">
        <v>263</v>
      </c>
      <c r="B136" s="2">
        <v>7</v>
      </c>
      <c r="C136" s="2">
        <v>175</v>
      </c>
      <c r="D136" s="49">
        <v>100</v>
      </c>
      <c r="E136" s="2">
        <f t="shared" ref="E136:E199" si="8">D136+C136</f>
        <v>275</v>
      </c>
      <c r="F136" s="2">
        <v>6.1700000000000001E-3</v>
      </c>
      <c r="G136" s="26">
        <f t="shared" ref="G136:G199" si="9">B136*B136*E136*F136</f>
        <v>83.140749999999997</v>
      </c>
      <c r="H136" s="19">
        <f>P8</f>
        <v>12.239999999999998</v>
      </c>
      <c r="I136" s="22">
        <f t="shared" si="7"/>
        <v>1.0176427799999999</v>
      </c>
    </row>
    <row r="137" spans="1:9" x14ac:dyDescent="0.25">
      <c r="A137" t="s">
        <v>265</v>
      </c>
      <c r="B137" s="2">
        <v>7</v>
      </c>
      <c r="C137" s="2">
        <v>200</v>
      </c>
      <c r="D137" s="49">
        <v>100</v>
      </c>
      <c r="E137" s="2">
        <f t="shared" si="8"/>
        <v>300</v>
      </c>
      <c r="F137" s="2">
        <v>6.1700000000000001E-3</v>
      </c>
      <c r="G137" s="26">
        <f t="shared" si="9"/>
        <v>90.698999999999998</v>
      </c>
      <c r="H137" s="19">
        <f>P8</f>
        <v>12.239999999999998</v>
      </c>
      <c r="I137" s="22">
        <f t="shared" si="7"/>
        <v>1.1101557599999998</v>
      </c>
    </row>
    <row r="138" spans="1:9" x14ac:dyDescent="0.25">
      <c r="A138" t="s">
        <v>267</v>
      </c>
      <c r="B138" s="2">
        <v>7</v>
      </c>
      <c r="C138" s="2">
        <v>250</v>
      </c>
      <c r="D138" s="49">
        <v>100</v>
      </c>
      <c r="E138" s="2">
        <f t="shared" si="8"/>
        <v>350</v>
      </c>
      <c r="F138" s="2">
        <v>6.1700000000000001E-3</v>
      </c>
      <c r="G138" s="26">
        <f t="shared" si="9"/>
        <v>105.8155</v>
      </c>
      <c r="H138" s="19">
        <f>P8</f>
        <v>12.239999999999998</v>
      </c>
      <c r="I138" s="22">
        <f t="shared" si="7"/>
        <v>1.2951817199999998</v>
      </c>
    </row>
    <row r="139" spans="1:9" x14ac:dyDescent="0.25">
      <c r="A139" t="s">
        <v>269</v>
      </c>
      <c r="B139" s="2">
        <v>7</v>
      </c>
      <c r="C139" s="2">
        <v>300</v>
      </c>
      <c r="D139" s="49">
        <v>100</v>
      </c>
      <c r="E139" s="2">
        <f t="shared" si="8"/>
        <v>400</v>
      </c>
      <c r="F139" s="2">
        <v>6.1700000000000001E-3</v>
      </c>
      <c r="G139" s="26">
        <f t="shared" si="9"/>
        <v>120.932</v>
      </c>
      <c r="H139" s="19">
        <f>P8</f>
        <v>12.239999999999998</v>
      </c>
      <c r="I139" s="22">
        <f t="shared" si="7"/>
        <v>1.4802076799999997</v>
      </c>
    </row>
    <row r="140" spans="1:9" x14ac:dyDescent="0.25">
      <c r="A140" t="s">
        <v>271</v>
      </c>
      <c r="B140" s="2">
        <v>7</v>
      </c>
      <c r="C140" s="2">
        <v>350</v>
      </c>
      <c r="D140" s="49">
        <v>100</v>
      </c>
      <c r="E140" s="2">
        <f t="shared" si="8"/>
        <v>450</v>
      </c>
      <c r="F140" s="2">
        <v>6.1700000000000001E-3</v>
      </c>
      <c r="G140" s="26">
        <f t="shared" si="9"/>
        <v>136.04849999999999</v>
      </c>
      <c r="H140" s="19">
        <f>P8</f>
        <v>12.239999999999998</v>
      </c>
      <c r="I140" s="22">
        <f t="shared" si="7"/>
        <v>1.6652336399999996</v>
      </c>
    </row>
    <row r="141" spans="1:9" x14ac:dyDescent="0.25">
      <c r="A141" t="s">
        <v>273</v>
      </c>
      <c r="B141" s="2">
        <v>7</v>
      </c>
      <c r="C141" s="2">
        <v>400</v>
      </c>
      <c r="D141" s="49">
        <v>100</v>
      </c>
      <c r="E141" s="2">
        <f t="shared" si="8"/>
        <v>500</v>
      </c>
      <c r="F141" s="2">
        <v>6.1700000000000001E-3</v>
      </c>
      <c r="G141" s="26">
        <f t="shared" si="9"/>
        <v>151.16499999999999</v>
      </c>
      <c r="H141" s="19">
        <f>P9</f>
        <v>37.44</v>
      </c>
      <c r="I141" s="22">
        <f t="shared" si="7"/>
        <v>5.6596175999999998</v>
      </c>
    </row>
    <row r="142" spans="1:9" x14ac:dyDescent="0.25">
      <c r="A142" t="s">
        <v>275</v>
      </c>
      <c r="B142" s="2">
        <v>7</v>
      </c>
      <c r="C142" s="2">
        <v>450</v>
      </c>
      <c r="D142" s="49">
        <v>100</v>
      </c>
      <c r="E142" s="2">
        <f t="shared" si="8"/>
        <v>550</v>
      </c>
      <c r="F142" s="2">
        <v>6.1700000000000001E-3</v>
      </c>
      <c r="G142" s="26">
        <f t="shared" si="9"/>
        <v>166.28149999999999</v>
      </c>
      <c r="H142" s="19">
        <f>P9</f>
        <v>37.44</v>
      </c>
      <c r="I142" s="22">
        <f t="shared" si="7"/>
        <v>6.2255793599999993</v>
      </c>
    </row>
    <row r="143" spans="1:9" x14ac:dyDescent="0.25">
      <c r="A143" t="s">
        <v>277</v>
      </c>
      <c r="B143" s="2">
        <v>7</v>
      </c>
      <c r="C143" s="2">
        <v>500</v>
      </c>
      <c r="D143" s="49">
        <v>100</v>
      </c>
      <c r="E143" s="2">
        <f t="shared" si="8"/>
        <v>600</v>
      </c>
      <c r="F143" s="2">
        <v>6.1700000000000001E-3</v>
      </c>
      <c r="G143" s="26">
        <f t="shared" si="9"/>
        <v>181.398</v>
      </c>
      <c r="H143" s="19">
        <f>P9</f>
        <v>37.44</v>
      </c>
      <c r="I143" s="22">
        <f t="shared" si="7"/>
        <v>6.7915411199999998</v>
      </c>
    </row>
    <row r="144" spans="1:9" x14ac:dyDescent="0.25">
      <c r="A144" t="s">
        <v>279</v>
      </c>
      <c r="B144" s="2">
        <v>8</v>
      </c>
      <c r="C144" s="2">
        <v>175</v>
      </c>
      <c r="D144" s="49">
        <v>100</v>
      </c>
      <c r="E144" s="2">
        <f t="shared" si="8"/>
        <v>275</v>
      </c>
      <c r="F144" s="2">
        <v>6.1700000000000001E-3</v>
      </c>
      <c r="G144" s="26">
        <f t="shared" si="9"/>
        <v>108.592</v>
      </c>
      <c r="H144" s="19">
        <f>P8</f>
        <v>12.239999999999998</v>
      </c>
      <c r="I144" s="22">
        <f t="shared" si="7"/>
        <v>1.3291660799999998</v>
      </c>
    </row>
    <row r="145" spans="1:9" x14ac:dyDescent="0.25">
      <c r="A145" t="s">
        <v>281</v>
      </c>
      <c r="B145" s="2">
        <v>8</v>
      </c>
      <c r="C145" s="2">
        <v>200</v>
      </c>
      <c r="D145" s="49">
        <v>100</v>
      </c>
      <c r="E145" s="2">
        <f t="shared" si="8"/>
        <v>300</v>
      </c>
      <c r="F145" s="2">
        <v>6.1700000000000001E-3</v>
      </c>
      <c r="G145" s="26">
        <f t="shared" si="9"/>
        <v>118.464</v>
      </c>
      <c r="H145" s="19">
        <f>P8</f>
        <v>12.239999999999998</v>
      </c>
      <c r="I145" s="22">
        <f t="shared" si="7"/>
        <v>1.4499993599999998</v>
      </c>
    </row>
    <row r="146" spans="1:9" x14ac:dyDescent="0.25">
      <c r="A146" t="s">
        <v>283</v>
      </c>
      <c r="B146" s="2">
        <v>8</v>
      </c>
      <c r="C146" s="2">
        <v>250</v>
      </c>
      <c r="D146" s="49">
        <v>100</v>
      </c>
      <c r="E146" s="2">
        <f t="shared" si="8"/>
        <v>350</v>
      </c>
      <c r="F146" s="2">
        <v>6.1700000000000001E-3</v>
      </c>
      <c r="G146" s="26">
        <f t="shared" si="9"/>
        <v>138.208</v>
      </c>
      <c r="H146" s="19">
        <f>P8</f>
        <v>12.239999999999998</v>
      </c>
      <c r="I146" s="22">
        <f t="shared" si="7"/>
        <v>1.6916659199999997</v>
      </c>
    </row>
    <row r="147" spans="1:9" x14ac:dyDescent="0.25">
      <c r="A147" t="s">
        <v>285</v>
      </c>
      <c r="B147" s="2">
        <v>8</v>
      </c>
      <c r="C147" s="2">
        <v>300</v>
      </c>
      <c r="D147" s="49">
        <v>100</v>
      </c>
      <c r="E147" s="2">
        <f t="shared" si="8"/>
        <v>400</v>
      </c>
      <c r="F147" s="2">
        <v>6.1700000000000001E-3</v>
      </c>
      <c r="G147" s="26">
        <f t="shared" si="9"/>
        <v>157.952</v>
      </c>
      <c r="H147" s="19">
        <f>P8</f>
        <v>12.239999999999998</v>
      </c>
      <c r="I147" s="22">
        <f t="shared" si="7"/>
        <v>1.9333324799999998</v>
      </c>
    </row>
    <row r="148" spans="1:9" x14ac:dyDescent="0.25">
      <c r="A148" t="s">
        <v>287</v>
      </c>
      <c r="B148" s="2">
        <v>8</v>
      </c>
      <c r="C148" s="2">
        <v>350</v>
      </c>
      <c r="D148" s="49">
        <v>100</v>
      </c>
      <c r="E148" s="2">
        <f t="shared" si="8"/>
        <v>450</v>
      </c>
      <c r="F148" s="2">
        <v>6.1700000000000001E-3</v>
      </c>
      <c r="G148" s="26">
        <f t="shared" si="9"/>
        <v>177.696</v>
      </c>
      <c r="H148" s="19">
        <f>P8</f>
        <v>12.239999999999998</v>
      </c>
      <c r="I148" s="22">
        <f t="shared" si="7"/>
        <v>2.1749990399999999</v>
      </c>
    </row>
    <row r="149" spans="1:9" x14ac:dyDescent="0.25">
      <c r="A149" t="s">
        <v>289</v>
      </c>
      <c r="B149" s="2">
        <v>8</v>
      </c>
      <c r="C149" s="2">
        <v>400</v>
      </c>
      <c r="D149" s="49">
        <v>100</v>
      </c>
      <c r="E149" s="2">
        <f t="shared" si="8"/>
        <v>500</v>
      </c>
      <c r="F149" s="2">
        <v>6.1700000000000001E-3</v>
      </c>
      <c r="G149" s="26">
        <f t="shared" si="9"/>
        <v>197.44</v>
      </c>
      <c r="H149" s="19">
        <f>P9</f>
        <v>37.44</v>
      </c>
      <c r="I149" s="22">
        <f t="shared" si="7"/>
        <v>7.3921535999999994</v>
      </c>
    </row>
    <row r="150" spans="1:9" x14ac:dyDescent="0.25">
      <c r="A150" t="s">
        <v>291</v>
      </c>
      <c r="B150" s="2">
        <v>8</v>
      </c>
      <c r="C150" s="2">
        <v>450</v>
      </c>
      <c r="D150" s="49">
        <v>100</v>
      </c>
      <c r="E150" s="2">
        <f t="shared" si="8"/>
        <v>550</v>
      </c>
      <c r="F150" s="2">
        <v>6.1700000000000001E-3</v>
      </c>
      <c r="G150" s="26">
        <f t="shared" si="9"/>
        <v>217.184</v>
      </c>
      <c r="H150" s="19">
        <f>P9</f>
        <v>37.44</v>
      </c>
      <c r="I150" s="22">
        <f t="shared" si="7"/>
        <v>8.1313689599999996</v>
      </c>
    </row>
    <row r="151" spans="1:9" x14ac:dyDescent="0.25">
      <c r="A151" t="s">
        <v>293</v>
      </c>
      <c r="B151" s="2">
        <v>8</v>
      </c>
      <c r="C151" s="2">
        <v>500</v>
      </c>
      <c r="D151" s="49">
        <v>100</v>
      </c>
      <c r="E151" s="2">
        <f t="shared" si="8"/>
        <v>600</v>
      </c>
      <c r="F151" s="2">
        <v>6.1700000000000001E-3</v>
      </c>
      <c r="G151" s="26">
        <f t="shared" si="9"/>
        <v>236.928</v>
      </c>
      <c r="H151" s="19">
        <f>P9</f>
        <v>37.44</v>
      </c>
      <c r="I151" s="22">
        <f t="shared" si="7"/>
        <v>8.8705843200000007</v>
      </c>
    </row>
    <row r="152" spans="1:9" x14ac:dyDescent="0.25">
      <c r="A152" t="s">
        <v>349</v>
      </c>
      <c r="B152" s="2">
        <v>3</v>
      </c>
      <c r="C152" s="2">
        <v>60</v>
      </c>
      <c r="D152" s="49">
        <v>60</v>
      </c>
      <c r="E152" s="2">
        <f t="shared" si="8"/>
        <v>120</v>
      </c>
      <c r="F152" s="2">
        <v>6.1700000000000001E-3</v>
      </c>
      <c r="G152" s="26">
        <f t="shared" si="9"/>
        <v>6.6635999999999997</v>
      </c>
      <c r="H152" s="19">
        <f>P7</f>
        <v>18</v>
      </c>
      <c r="I152" s="22">
        <f t="shared" si="7"/>
        <v>0.1199448</v>
      </c>
    </row>
    <row r="153" spans="1:9" x14ac:dyDescent="0.25">
      <c r="A153" t="s">
        <v>351</v>
      </c>
      <c r="B153" s="2">
        <v>3</v>
      </c>
      <c r="C153" s="2">
        <v>75</v>
      </c>
      <c r="D153" s="49">
        <v>60</v>
      </c>
      <c r="E153" s="2">
        <f t="shared" si="8"/>
        <v>135</v>
      </c>
      <c r="F153" s="2">
        <v>6.1700000000000001E-3</v>
      </c>
      <c r="G153" s="26">
        <f t="shared" si="9"/>
        <v>7.49655</v>
      </c>
      <c r="H153" s="19">
        <f>P7</f>
        <v>18</v>
      </c>
      <c r="I153" s="22">
        <f t="shared" si="7"/>
        <v>0.1349379</v>
      </c>
    </row>
    <row r="154" spans="1:9" x14ac:dyDescent="0.25">
      <c r="A154" t="s">
        <v>353</v>
      </c>
      <c r="B154" s="2">
        <v>3</v>
      </c>
      <c r="C154" s="2">
        <v>100</v>
      </c>
      <c r="D154" s="49">
        <v>60</v>
      </c>
      <c r="E154" s="2">
        <f t="shared" si="8"/>
        <v>160</v>
      </c>
      <c r="F154" s="2">
        <v>6.1700000000000001E-3</v>
      </c>
      <c r="G154" s="26">
        <f t="shared" si="9"/>
        <v>8.8848000000000003</v>
      </c>
      <c r="H154" s="19">
        <f>P7</f>
        <v>18</v>
      </c>
      <c r="I154" s="22">
        <f t="shared" si="7"/>
        <v>0.1599264</v>
      </c>
    </row>
    <row r="155" spans="1:9" x14ac:dyDescent="0.25">
      <c r="A155" t="s">
        <v>355</v>
      </c>
      <c r="B155" s="2">
        <v>3</v>
      </c>
      <c r="C155" s="2">
        <v>125</v>
      </c>
      <c r="D155" s="49">
        <v>60</v>
      </c>
      <c r="E155" s="2">
        <f t="shared" si="8"/>
        <v>185</v>
      </c>
      <c r="F155" s="2">
        <v>6.1700000000000001E-3</v>
      </c>
      <c r="G155" s="26">
        <f t="shared" si="9"/>
        <v>10.27305</v>
      </c>
      <c r="H155" s="19">
        <f>P7</f>
        <v>18</v>
      </c>
      <c r="I155" s="22">
        <f t="shared" si="7"/>
        <v>0.18491489999999999</v>
      </c>
    </row>
    <row r="156" spans="1:9" x14ac:dyDescent="0.25">
      <c r="A156" t="s">
        <v>357</v>
      </c>
      <c r="B156" s="2">
        <v>3</v>
      </c>
      <c r="C156" s="2">
        <v>150</v>
      </c>
      <c r="D156" s="49">
        <v>60</v>
      </c>
      <c r="E156" s="2">
        <f t="shared" si="8"/>
        <v>210</v>
      </c>
      <c r="F156" s="2">
        <v>6.1700000000000001E-3</v>
      </c>
      <c r="G156" s="26">
        <f t="shared" si="9"/>
        <v>11.661300000000001</v>
      </c>
      <c r="H156" s="19">
        <f>P7</f>
        <v>18</v>
      </c>
      <c r="I156" s="22">
        <f t="shared" si="7"/>
        <v>0.20990340000000002</v>
      </c>
    </row>
    <row r="157" spans="1:9" x14ac:dyDescent="0.25">
      <c r="A157" t="s">
        <v>359</v>
      </c>
      <c r="B157" s="2">
        <v>3</v>
      </c>
      <c r="C157" s="2">
        <v>200</v>
      </c>
      <c r="D157" s="49">
        <v>60</v>
      </c>
      <c r="E157" s="2">
        <f t="shared" si="8"/>
        <v>260</v>
      </c>
      <c r="F157" s="2">
        <v>6.1700000000000001E-3</v>
      </c>
      <c r="G157" s="26">
        <f t="shared" si="9"/>
        <v>14.437800000000001</v>
      </c>
      <c r="H157" s="19">
        <f>P7</f>
        <v>18</v>
      </c>
      <c r="I157" s="22">
        <f t="shared" si="7"/>
        <v>0.25988040000000001</v>
      </c>
    </row>
    <row r="158" spans="1:9" x14ac:dyDescent="0.25">
      <c r="A158" t="s">
        <v>361</v>
      </c>
      <c r="B158" s="2">
        <v>3</v>
      </c>
      <c r="C158" s="2">
        <v>250</v>
      </c>
      <c r="D158" s="49">
        <v>60</v>
      </c>
      <c r="E158" s="2">
        <f t="shared" si="8"/>
        <v>310</v>
      </c>
      <c r="F158" s="2">
        <v>6.1700000000000001E-3</v>
      </c>
      <c r="G158" s="26">
        <f t="shared" si="9"/>
        <v>17.214300000000001</v>
      </c>
      <c r="H158" s="19">
        <f>P7</f>
        <v>18</v>
      </c>
      <c r="I158" s="22">
        <f t="shared" si="7"/>
        <v>0.30985740000000006</v>
      </c>
    </row>
    <row r="159" spans="1:9" x14ac:dyDescent="0.25">
      <c r="A159" t="s">
        <v>363</v>
      </c>
      <c r="B159" s="2">
        <v>3</v>
      </c>
      <c r="C159" s="2">
        <v>300</v>
      </c>
      <c r="D159" s="49">
        <v>60</v>
      </c>
      <c r="E159" s="2">
        <f t="shared" si="8"/>
        <v>360</v>
      </c>
      <c r="F159" s="2">
        <v>6.1700000000000001E-3</v>
      </c>
      <c r="G159" s="26">
        <f t="shared" si="9"/>
        <v>19.9908</v>
      </c>
      <c r="H159" s="19">
        <f>P7</f>
        <v>18</v>
      </c>
      <c r="I159" s="22">
        <f t="shared" si="7"/>
        <v>0.3598344</v>
      </c>
    </row>
    <row r="160" spans="1:9" x14ac:dyDescent="0.25">
      <c r="A160" t="s">
        <v>365</v>
      </c>
      <c r="B160" s="2">
        <v>4</v>
      </c>
      <c r="C160" s="2">
        <v>80</v>
      </c>
      <c r="D160" s="49">
        <v>60</v>
      </c>
      <c r="E160" s="2">
        <f t="shared" si="8"/>
        <v>140</v>
      </c>
      <c r="F160" s="2">
        <v>6.1700000000000001E-3</v>
      </c>
      <c r="G160" s="26">
        <f t="shared" si="9"/>
        <v>13.8208</v>
      </c>
      <c r="H160" s="19">
        <f>P8</f>
        <v>12.239999999999998</v>
      </c>
      <c r="I160" s="22">
        <f t="shared" si="7"/>
        <v>0.16916659199999998</v>
      </c>
    </row>
    <row r="161" spans="1:9" x14ac:dyDescent="0.25">
      <c r="A161" t="s">
        <v>367</v>
      </c>
      <c r="B161" s="2">
        <v>4</v>
      </c>
      <c r="C161" s="2">
        <v>100</v>
      </c>
      <c r="D161" s="49">
        <v>60</v>
      </c>
      <c r="E161" s="2">
        <f t="shared" si="8"/>
        <v>160</v>
      </c>
      <c r="F161" s="2">
        <v>6.1700000000000001E-3</v>
      </c>
      <c r="G161" s="26">
        <f t="shared" si="9"/>
        <v>15.795200000000001</v>
      </c>
      <c r="H161" s="19">
        <f>P8</f>
        <v>12.239999999999998</v>
      </c>
      <c r="I161" s="22">
        <f t="shared" si="7"/>
        <v>0.19333324799999999</v>
      </c>
    </row>
    <row r="162" spans="1:9" x14ac:dyDescent="0.25">
      <c r="A162" t="s">
        <v>369</v>
      </c>
      <c r="B162" s="2">
        <v>4</v>
      </c>
      <c r="C162" s="2">
        <v>125</v>
      </c>
      <c r="D162" s="49">
        <v>60</v>
      </c>
      <c r="E162" s="2">
        <f t="shared" si="8"/>
        <v>185</v>
      </c>
      <c r="F162" s="2">
        <v>6.1700000000000001E-3</v>
      </c>
      <c r="G162" s="26">
        <f t="shared" si="9"/>
        <v>18.263200000000001</v>
      </c>
      <c r="H162" s="19">
        <f>P8</f>
        <v>12.239999999999998</v>
      </c>
      <c r="I162" s="22">
        <f t="shared" si="7"/>
        <v>0.223541568</v>
      </c>
    </row>
    <row r="163" spans="1:9" x14ac:dyDescent="0.25">
      <c r="A163" t="s">
        <v>371</v>
      </c>
      <c r="B163" s="2">
        <v>4</v>
      </c>
      <c r="C163" s="2">
        <v>150</v>
      </c>
      <c r="D163" s="49">
        <v>60</v>
      </c>
      <c r="E163" s="2">
        <f t="shared" si="8"/>
        <v>210</v>
      </c>
      <c r="F163" s="2">
        <v>6.1700000000000001E-3</v>
      </c>
      <c r="G163" s="26">
        <f t="shared" si="9"/>
        <v>20.731200000000001</v>
      </c>
      <c r="H163" s="19">
        <f>P8</f>
        <v>12.239999999999998</v>
      </c>
      <c r="I163" s="22">
        <f t="shared" si="7"/>
        <v>0.25374988799999998</v>
      </c>
    </row>
    <row r="164" spans="1:9" x14ac:dyDescent="0.25">
      <c r="A164" t="s">
        <v>373</v>
      </c>
      <c r="B164" s="2">
        <v>4</v>
      </c>
      <c r="C164" s="2">
        <v>200</v>
      </c>
      <c r="D164" s="49">
        <v>60</v>
      </c>
      <c r="E164" s="2">
        <f t="shared" si="8"/>
        <v>260</v>
      </c>
      <c r="F164" s="2">
        <v>6.1700000000000001E-3</v>
      </c>
      <c r="G164" s="26">
        <f t="shared" si="9"/>
        <v>25.667200000000001</v>
      </c>
      <c r="H164" s="19">
        <f>P8</f>
        <v>12.239999999999998</v>
      </c>
      <c r="I164" s="22">
        <f t="shared" si="7"/>
        <v>0.31416652799999994</v>
      </c>
    </row>
    <row r="165" spans="1:9" x14ac:dyDescent="0.25">
      <c r="A165" t="s">
        <v>375</v>
      </c>
      <c r="B165" s="2">
        <v>4</v>
      </c>
      <c r="C165" s="2">
        <v>250</v>
      </c>
      <c r="D165" s="49">
        <v>60</v>
      </c>
      <c r="E165" s="2">
        <f t="shared" si="8"/>
        <v>310</v>
      </c>
      <c r="F165" s="2">
        <v>6.1700000000000001E-3</v>
      </c>
      <c r="G165" s="26">
        <f t="shared" si="9"/>
        <v>30.603200000000001</v>
      </c>
      <c r="H165" s="19">
        <f>P8</f>
        <v>12.239999999999998</v>
      </c>
      <c r="I165" s="22">
        <f t="shared" si="7"/>
        <v>0.37458316799999997</v>
      </c>
    </row>
    <row r="166" spans="1:9" x14ac:dyDescent="0.25">
      <c r="A166" t="s">
        <v>377</v>
      </c>
      <c r="B166" s="2">
        <v>4</v>
      </c>
      <c r="C166" s="2">
        <v>300</v>
      </c>
      <c r="D166" s="49">
        <v>60</v>
      </c>
      <c r="E166" s="2">
        <f t="shared" si="8"/>
        <v>360</v>
      </c>
      <c r="F166" s="2">
        <v>6.1700000000000001E-3</v>
      </c>
      <c r="G166" s="26">
        <f t="shared" si="9"/>
        <v>35.539200000000001</v>
      </c>
      <c r="H166" s="19">
        <f>P8</f>
        <v>12.239999999999998</v>
      </c>
      <c r="I166" s="22">
        <f t="shared" si="7"/>
        <v>0.43499980799999999</v>
      </c>
    </row>
    <row r="167" spans="1:9" x14ac:dyDescent="0.25">
      <c r="A167" t="s">
        <v>379</v>
      </c>
      <c r="B167" s="2">
        <v>4</v>
      </c>
      <c r="C167" s="2">
        <v>350</v>
      </c>
      <c r="D167" s="49">
        <v>60</v>
      </c>
      <c r="E167" s="2">
        <f t="shared" si="8"/>
        <v>410</v>
      </c>
      <c r="F167" s="2">
        <v>6.1700000000000001E-3</v>
      </c>
      <c r="G167" s="26">
        <f t="shared" si="9"/>
        <v>40.475200000000001</v>
      </c>
      <c r="H167" s="19">
        <f>P8</f>
        <v>12.239999999999998</v>
      </c>
      <c r="I167" s="22">
        <f t="shared" si="7"/>
        <v>0.49541644799999995</v>
      </c>
    </row>
    <row r="168" spans="1:9" x14ac:dyDescent="0.25">
      <c r="A168" t="s">
        <v>381</v>
      </c>
      <c r="B168" s="2">
        <v>4</v>
      </c>
      <c r="C168" s="2">
        <v>400</v>
      </c>
      <c r="D168" s="49">
        <v>60</v>
      </c>
      <c r="E168" s="2">
        <f t="shared" si="8"/>
        <v>460</v>
      </c>
      <c r="F168" s="2">
        <v>6.1700000000000001E-3</v>
      </c>
      <c r="G168" s="26">
        <f t="shared" si="9"/>
        <v>45.411200000000001</v>
      </c>
      <c r="H168" s="19">
        <f>P8</f>
        <v>12.239999999999998</v>
      </c>
      <c r="I168" s="22">
        <f t="shared" si="7"/>
        <v>0.55583308799999998</v>
      </c>
    </row>
    <row r="169" spans="1:9" x14ac:dyDescent="0.25">
      <c r="A169" t="s">
        <v>383</v>
      </c>
      <c r="B169" s="2">
        <v>4</v>
      </c>
      <c r="C169" s="2">
        <v>500</v>
      </c>
      <c r="D169" s="49">
        <v>60</v>
      </c>
      <c r="E169" s="2">
        <f t="shared" si="8"/>
        <v>560</v>
      </c>
      <c r="F169" s="2">
        <v>6.1700000000000001E-3</v>
      </c>
      <c r="G169" s="26">
        <f t="shared" si="9"/>
        <v>55.283200000000001</v>
      </c>
      <c r="H169" s="19">
        <f>P9</f>
        <v>37.44</v>
      </c>
      <c r="I169" s="22">
        <f t="shared" si="7"/>
        <v>2.0698030080000001</v>
      </c>
    </row>
    <row r="170" spans="1:9" x14ac:dyDescent="0.25">
      <c r="A170" t="s">
        <v>385</v>
      </c>
      <c r="B170" s="2">
        <v>5</v>
      </c>
      <c r="C170" s="2">
        <v>38</v>
      </c>
      <c r="D170" s="49">
        <v>45</v>
      </c>
      <c r="E170" s="2">
        <f t="shared" si="8"/>
        <v>83</v>
      </c>
      <c r="F170" s="2">
        <v>6.1700000000000001E-3</v>
      </c>
      <c r="G170" s="26">
        <f t="shared" si="9"/>
        <v>12.80275</v>
      </c>
      <c r="H170" s="19">
        <f>P8</f>
        <v>12.239999999999998</v>
      </c>
      <c r="I170" s="22">
        <f t="shared" si="7"/>
        <v>0.15670565999999997</v>
      </c>
    </row>
    <row r="171" spans="1:9" x14ac:dyDescent="0.25">
      <c r="A171" t="s">
        <v>387</v>
      </c>
      <c r="B171" s="2">
        <v>5</v>
      </c>
      <c r="C171" s="2">
        <v>80</v>
      </c>
      <c r="D171" s="49">
        <v>60</v>
      </c>
      <c r="E171" s="2">
        <f t="shared" si="8"/>
        <v>140</v>
      </c>
      <c r="F171" s="2">
        <v>6.1700000000000001E-3</v>
      </c>
      <c r="G171" s="26">
        <f t="shared" si="9"/>
        <v>21.594999999999999</v>
      </c>
      <c r="H171" s="19">
        <f>P8</f>
        <v>12.239999999999998</v>
      </c>
      <c r="I171" s="22">
        <f t="shared" si="7"/>
        <v>0.26432279999999997</v>
      </c>
    </row>
    <row r="172" spans="1:9" x14ac:dyDescent="0.25">
      <c r="A172" t="s">
        <v>389</v>
      </c>
      <c r="B172" s="2">
        <v>5</v>
      </c>
      <c r="C172" s="2">
        <v>100</v>
      </c>
      <c r="D172" s="49">
        <v>60</v>
      </c>
      <c r="E172" s="2">
        <f t="shared" si="8"/>
        <v>160</v>
      </c>
      <c r="F172" s="2">
        <v>6.1700000000000001E-3</v>
      </c>
      <c r="G172" s="26">
        <f t="shared" si="9"/>
        <v>24.68</v>
      </c>
      <c r="H172" s="19">
        <f>P8</f>
        <v>12.239999999999998</v>
      </c>
      <c r="I172" s="22">
        <f t="shared" si="7"/>
        <v>0.3020832</v>
      </c>
    </row>
    <row r="173" spans="1:9" x14ac:dyDescent="0.25">
      <c r="A173" t="s">
        <v>391</v>
      </c>
      <c r="B173" s="2">
        <v>5</v>
      </c>
      <c r="C173" s="2">
        <v>125</v>
      </c>
      <c r="D173" s="49">
        <v>60</v>
      </c>
      <c r="E173" s="2">
        <f t="shared" si="8"/>
        <v>185</v>
      </c>
      <c r="F173" s="2">
        <v>6.1700000000000001E-3</v>
      </c>
      <c r="G173" s="26">
        <f t="shared" si="9"/>
        <v>28.536249999999999</v>
      </c>
      <c r="H173" s="19">
        <f>P8</f>
        <v>12.239999999999998</v>
      </c>
      <c r="I173" s="22">
        <f t="shared" si="7"/>
        <v>0.34928369999999997</v>
      </c>
    </row>
    <row r="174" spans="1:9" x14ac:dyDescent="0.25">
      <c r="A174" t="s">
        <v>393</v>
      </c>
      <c r="B174" s="2">
        <v>5</v>
      </c>
      <c r="C174" s="2">
        <v>150</v>
      </c>
      <c r="D174" s="49">
        <v>60</v>
      </c>
      <c r="E174" s="2">
        <f t="shared" si="8"/>
        <v>210</v>
      </c>
      <c r="F174" s="2">
        <v>6.1700000000000001E-3</v>
      </c>
      <c r="G174" s="26">
        <f t="shared" si="9"/>
        <v>32.392499999999998</v>
      </c>
      <c r="H174" s="19">
        <f>P8</f>
        <v>12.239999999999998</v>
      </c>
      <c r="I174" s="22">
        <f t="shared" si="7"/>
        <v>0.39648419999999995</v>
      </c>
    </row>
    <row r="175" spans="1:9" x14ac:dyDescent="0.25">
      <c r="A175" t="s">
        <v>395</v>
      </c>
      <c r="B175" s="2">
        <v>5</v>
      </c>
      <c r="C175" s="2">
        <v>200</v>
      </c>
      <c r="D175" s="49">
        <v>60</v>
      </c>
      <c r="E175" s="2">
        <f t="shared" si="8"/>
        <v>260</v>
      </c>
      <c r="F175" s="2">
        <v>6.1700000000000001E-3</v>
      </c>
      <c r="G175" s="26">
        <f t="shared" si="9"/>
        <v>40.105000000000004</v>
      </c>
      <c r="H175" s="19">
        <f>P8</f>
        <v>12.239999999999998</v>
      </c>
      <c r="I175" s="22">
        <f t="shared" si="7"/>
        <v>0.49088520000000002</v>
      </c>
    </row>
    <row r="176" spans="1:9" x14ac:dyDescent="0.25">
      <c r="A176" t="s">
        <v>397</v>
      </c>
      <c r="B176" s="2">
        <v>5</v>
      </c>
      <c r="C176" s="2">
        <v>250</v>
      </c>
      <c r="D176" s="49">
        <v>60</v>
      </c>
      <c r="E176" s="2">
        <f t="shared" si="8"/>
        <v>310</v>
      </c>
      <c r="F176" s="2">
        <v>6.1700000000000001E-3</v>
      </c>
      <c r="G176" s="26">
        <f t="shared" si="9"/>
        <v>47.817500000000003</v>
      </c>
      <c r="H176" s="19">
        <f>P8</f>
        <v>12.239999999999998</v>
      </c>
      <c r="I176" s="22">
        <f t="shared" si="7"/>
        <v>0.58528619999999998</v>
      </c>
    </row>
    <row r="177" spans="1:9" x14ac:dyDescent="0.25">
      <c r="A177" t="s">
        <v>399</v>
      </c>
      <c r="B177" s="2">
        <v>5</v>
      </c>
      <c r="C177" s="2">
        <v>300</v>
      </c>
      <c r="D177" s="49">
        <v>60</v>
      </c>
      <c r="E177" s="2">
        <f t="shared" si="8"/>
        <v>360</v>
      </c>
      <c r="F177" s="2">
        <v>6.1700000000000001E-3</v>
      </c>
      <c r="G177" s="26">
        <f t="shared" si="9"/>
        <v>55.53</v>
      </c>
      <c r="H177" s="19">
        <f>P8</f>
        <v>12.239999999999998</v>
      </c>
      <c r="I177" s="22">
        <f t="shared" si="7"/>
        <v>0.67968719999999994</v>
      </c>
    </row>
    <row r="178" spans="1:9" x14ac:dyDescent="0.25">
      <c r="A178" t="s">
        <v>401</v>
      </c>
      <c r="B178" s="2">
        <v>5</v>
      </c>
      <c r="C178" s="2">
        <v>350</v>
      </c>
      <c r="D178" s="49">
        <v>60</v>
      </c>
      <c r="E178" s="2">
        <f t="shared" si="8"/>
        <v>410</v>
      </c>
      <c r="F178" s="2">
        <v>6.1700000000000001E-3</v>
      </c>
      <c r="G178" s="26">
        <f t="shared" si="9"/>
        <v>63.2425</v>
      </c>
      <c r="H178" s="19">
        <f>P8</f>
        <v>12.239999999999998</v>
      </c>
      <c r="I178" s="22">
        <f t="shared" si="7"/>
        <v>0.77408819999999989</v>
      </c>
    </row>
    <row r="179" spans="1:9" x14ac:dyDescent="0.25">
      <c r="A179" t="s">
        <v>403</v>
      </c>
      <c r="B179" s="2">
        <v>5</v>
      </c>
      <c r="C179" s="2">
        <v>400</v>
      </c>
      <c r="D179" s="49">
        <v>60</v>
      </c>
      <c r="E179" s="2">
        <f t="shared" si="8"/>
        <v>460</v>
      </c>
      <c r="F179" s="2">
        <v>6.1700000000000001E-3</v>
      </c>
      <c r="G179" s="26">
        <f t="shared" si="9"/>
        <v>70.954999999999998</v>
      </c>
      <c r="H179" s="19">
        <f>P8</f>
        <v>12.239999999999998</v>
      </c>
      <c r="I179" s="22">
        <f t="shared" si="7"/>
        <v>0.86848919999999985</v>
      </c>
    </row>
    <row r="180" spans="1:9" x14ac:dyDescent="0.25">
      <c r="A180" t="s">
        <v>405</v>
      </c>
      <c r="B180" s="2">
        <v>5</v>
      </c>
      <c r="C180" s="2">
        <v>500</v>
      </c>
      <c r="D180" s="49">
        <v>60</v>
      </c>
      <c r="E180" s="2">
        <f t="shared" si="8"/>
        <v>560</v>
      </c>
      <c r="F180" s="2">
        <v>6.1700000000000001E-3</v>
      </c>
      <c r="G180" s="26">
        <f t="shared" si="9"/>
        <v>86.38</v>
      </c>
      <c r="H180" s="19">
        <f>P9</f>
        <v>37.44</v>
      </c>
      <c r="I180" s="22">
        <f t="shared" si="7"/>
        <v>3.2340671999999997</v>
      </c>
    </row>
    <row r="181" spans="1:9" x14ac:dyDescent="0.25">
      <c r="A181" t="s">
        <v>456</v>
      </c>
      <c r="B181" s="2">
        <v>6</v>
      </c>
      <c r="C181" s="2">
        <v>38</v>
      </c>
      <c r="D181" s="49">
        <v>45</v>
      </c>
      <c r="E181" s="2">
        <f t="shared" si="8"/>
        <v>83</v>
      </c>
      <c r="F181" s="2">
        <v>6.1700000000000001E-3</v>
      </c>
      <c r="G181" s="26">
        <f t="shared" si="9"/>
        <v>18.435960000000001</v>
      </c>
      <c r="H181" s="19">
        <f>P8</f>
        <v>12.239999999999998</v>
      </c>
      <c r="I181" s="22">
        <f t="shared" si="7"/>
        <v>0.22565615040000001</v>
      </c>
    </row>
    <row r="182" spans="1:9" x14ac:dyDescent="0.25">
      <c r="A182" t="s">
        <v>458</v>
      </c>
      <c r="B182" s="2">
        <v>6</v>
      </c>
      <c r="C182" s="2">
        <v>100</v>
      </c>
      <c r="D182" s="49">
        <v>80</v>
      </c>
      <c r="E182" s="2">
        <f t="shared" si="8"/>
        <v>180</v>
      </c>
      <c r="F182" s="2">
        <v>6.1700000000000001E-3</v>
      </c>
      <c r="G182" s="26">
        <f t="shared" si="9"/>
        <v>39.9816</v>
      </c>
      <c r="H182" s="19">
        <f>P8</f>
        <v>12.239999999999998</v>
      </c>
      <c r="I182" s="22">
        <f t="shared" si="7"/>
        <v>0.4893747839999999</v>
      </c>
    </row>
    <row r="183" spans="1:9" x14ac:dyDescent="0.25">
      <c r="A183" t="s">
        <v>460</v>
      </c>
      <c r="B183" s="2">
        <v>6</v>
      </c>
      <c r="C183" s="2">
        <v>125</v>
      </c>
      <c r="D183" s="49">
        <v>80</v>
      </c>
      <c r="E183" s="2">
        <f t="shared" si="8"/>
        <v>205</v>
      </c>
      <c r="F183" s="2">
        <v>6.1700000000000001E-3</v>
      </c>
      <c r="G183" s="26">
        <f t="shared" si="9"/>
        <v>45.534599999999998</v>
      </c>
      <c r="H183" s="19">
        <f>P8</f>
        <v>12.239999999999998</v>
      </c>
      <c r="I183" s="22">
        <f t="shared" si="7"/>
        <v>0.55734350399999999</v>
      </c>
    </row>
    <row r="184" spans="1:9" x14ac:dyDescent="0.25">
      <c r="A184" t="s">
        <v>462</v>
      </c>
      <c r="B184" s="2">
        <v>6</v>
      </c>
      <c r="C184" s="2">
        <v>150</v>
      </c>
      <c r="D184" s="49">
        <v>80</v>
      </c>
      <c r="E184" s="2">
        <f t="shared" si="8"/>
        <v>230</v>
      </c>
      <c r="F184" s="2">
        <v>6.1700000000000001E-3</v>
      </c>
      <c r="G184" s="26">
        <f t="shared" si="9"/>
        <v>51.087600000000002</v>
      </c>
      <c r="H184" s="19">
        <f>P8</f>
        <v>12.239999999999998</v>
      </c>
      <c r="I184" s="22">
        <f t="shared" si="7"/>
        <v>0.62531222399999986</v>
      </c>
    </row>
    <row r="185" spans="1:9" x14ac:dyDescent="0.25">
      <c r="A185" t="s">
        <v>464</v>
      </c>
      <c r="B185" s="2">
        <v>6</v>
      </c>
      <c r="C185" s="2">
        <v>200</v>
      </c>
      <c r="D185" s="49">
        <v>80</v>
      </c>
      <c r="E185" s="2">
        <f t="shared" si="8"/>
        <v>280</v>
      </c>
      <c r="F185" s="2">
        <v>6.1700000000000001E-3</v>
      </c>
      <c r="G185" s="26">
        <f t="shared" si="9"/>
        <v>62.193600000000004</v>
      </c>
      <c r="H185" s="19">
        <f>P8</f>
        <v>12.239999999999998</v>
      </c>
      <c r="I185" s="22">
        <f t="shared" si="7"/>
        <v>0.76124966399999994</v>
      </c>
    </row>
    <row r="186" spans="1:9" x14ac:dyDescent="0.25">
      <c r="A186" t="s">
        <v>466</v>
      </c>
      <c r="B186" s="2">
        <v>6</v>
      </c>
      <c r="C186" s="2">
        <v>250</v>
      </c>
      <c r="D186" s="49">
        <v>80</v>
      </c>
      <c r="E186" s="2">
        <f t="shared" si="8"/>
        <v>330</v>
      </c>
      <c r="F186" s="2">
        <v>6.1700000000000001E-3</v>
      </c>
      <c r="G186" s="26">
        <f t="shared" si="9"/>
        <v>73.299599999999998</v>
      </c>
      <c r="H186" s="19">
        <f>P8</f>
        <v>12.239999999999998</v>
      </c>
      <c r="I186" s="22">
        <f t="shared" si="7"/>
        <v>0.8971871039999999</v>
      </c>
    </row>
    <row r="187" spans="1:9" x14ac:dyDescent="0.25">
      <c r="A187" t="s">
        <v>468</v>
      </c>
      <c r="B187" s="2">
        <v>6</v>
      </c>
      <c r="C187" s="2">
        <v>300</v>
      </c>
      <c r="D187" s="49">
        <v>80</v>
      </c>
      <c r="E187" s="2">
        <f t="shared" si="8"/>
        <v>380</v>
      </c>
      <c r="F187" s="2">
        <v>6.1700000000000001E-3</v>
      </c>
      <c r="G187" s="26">
        <f t="shared" si="9"/>
        <v>84.405600000000007</v>
      </c>
      <c r="H187" s="19">
        <f>P8</f>
        <v>12.239999999999998</v>
      </c>
      <c r="I187" s="22">
        <f t="shared" si="7"/>
        <v>1.0331245440000001</v>
      </c>
    </row>
    <row r="188" spans="1:9" x14ac:dyDescent="0.25">
      <c r="A188" t="s">
        <v>470</v>
      </c>
      <c r="B188" s="2">
        <v>6</v>
      </c>
      <c r="C188" s="2">
        <v>350</v>
      </c>
      <c r="D188" s="49">
        <v>80</v>
      </c>
      <c r="E188" s="2">
        <f t="shared" si="8"/>
        <v>430</v>
      </c>
      <c r="F188" s="2">
        <v>6.1700000000000001E-3</v>
      </c>
      <c r="G188" s="26">
        <f t="shared" si="9"/>
        <v>95.511600000000001</v>
      </c>
      <c r="H188" s="19">
        <f>P8</f>
        <v>12.239999999999998</v>
      </c>
      <c r="I188" s="22">
        <f t="shared" si="7"/>
        <v>1.1690619839999998</v>
      </c>
    </row>
    <row r="189" spans="1:9" x14ac:dyDescent="0.25">
      <c r="A189" t="s">
        <v>472</v>
      </c>
      <c r="B189" s="2">
        <v>6</v>
      </c>
      <c r="C189" s="2">
        <v>400</v>
      </c>
      <c r="D189" s="49">
        <v>80</v>
      </c>
      <c r="E189" s="2">
        <f t="shared" si="8"/>
        <v>480</v>
      </c>
      <c r="F189" s="2">
        <v>6.1700000000000001E-3</v>
      </c>
      <c r="G189" s="26">
        <f t="shared" si="9"/>
        <v>106.6176</v>
      </c>
      <c r="H189" s="19">
        <f>P8</f>
        <v>12.239999999999998</v>
      </c>
      <c r="I189" s="22">
        <f t="shared" si="7"/>
        <v>1.3049994239999998</v>
      </c>
    </row>
    <row r="190" spans="1:9" x14ac:dyDescent="0.25">
      <c r="A190" t="s">
        <v>474</v>
      </c>
      <c r="B190" s="2">
        <v>6</v>
      </c>
      <c r="C190" s="2">
        <v>450</v>
      </c>
      <c r="D190" s="49">
        <v>80</v>
      </c>
      <c r="E190" s="2">
        <f t="shared" si="8"/>
        <v>530</v>
      </c>
      <c r="F190" s="2">
        <v>6.1700000000000001E-3</v>
      </c>
      <c r="G190" s="26">
        <f t="shared" si="9"/>
        <v>117.7236</v>
      </c>
      <c r="H190" s="19">
        <f>P9</f>
        <v>37.44</v>
      </c>
      <c r="I190" s="22">
        <f t="shared" si="7"/>
        <v>4.4075715840000003</v>
      </c>
    </row>
    <row r="191" spans="1:9" x14ac:dyDescent="0.25">
      <c r="A191" t="s">
        <v>476</v>
      </c>
      <c r="B191" s="2">
        <v>6</v>
      </c>
      <c r="C191" s="2">
        <v>500</v>
      </c>
      <c r="D191" s="49">
        <v>80</v>
      </c>
      <c r="E191" s="2">
        <f t="shared" si="8"/>
        <v>580</v>
      </c>
      <c r="F191" s="2">
        <v>6.1700000000000001E-3</v>
      </c>
      <c r="G191" s="26">
        <f t="shared" si="9"/>
        <v>128.8296</v>
      </c>
      <c r="H191" s="19">
        <f>P9</f>
        <v>37.44</v>
      </c>
      <c r="I191" s="22">
        <f t="shared" si="7"/>
        <v>4.8233802239999992</v>
      </c>
    </row>
    <row r="192" spans="1:9" x14ac:dyDescent="0.25">
      <c r="A192" t="s">
        <v>407</v>
      </c>
      <c r="B192" s="2">
        <v>8</v>
      </c>
      <c r="C192" s="2">
        <v>150</v>
      </c>
      <c r="D192" s="49">
        <v>100</v>
      </c>
      <c r="E192" s="2">
        <f t="shared" si="8"/>
        <v>250</v>
      </c>
      <c r="F192" s="2">
        <v>6.1700000000000001E-3</v>
      </c>
      <c r="G192" s="26">
        <f t="shared" si="9"/>
        <v>98.72</v>
      </c>
      <c r="H192" s="19">
        <f>P8</f>
        <v>12.239999999999998</v>
      </c>
      <c r="I192" s="22">
        <f t="shared" si="7"/>
        <v>1.2083328</v>
      </c>
    </row>
    <row r="193" spans="1:9" x14ac:dyDescent="0.25">
      <c r="A193" t="s">
        <v>409</v>
      </c>
      <c r="B193" s="2">
        <v>8</v>
      </c>
      <c r="C193" s="2">
        <v>175</v>
      </c>
      <c r="D193" s="49">
        <v>100</v>
      </c>
      <c r="E193" s="2">
        <f t="shared" si="8"/>
        <v>275</v>
      </c>
      <c r="F193" s="2">
        <v>6.1700000000000001E-3</v>
      </c>
      <c r="G193" s="26">
        <f t="shared" si="9"/>
        <v>108.592</v>
      </c>
      <c r="H193" s="19">
        <f>P8</f>
        <v>12.239999999999998</v>
      </c>
      <c r="I193" s="22">
        <f t="shared" si="7"/>
        <v>1.3291660799999998</v>
      </c>
    </row>
    <row r="194" spans="1:9" x14ac:dyDescent="0.25">
      <c r="A194" t="s">
        <v>411</v>
      </c>
      <c r="B194" s="2">
        <v>8</v>
      </c>
      <c r="C194" s="2">
        <v>200</v>
      </c>
      <c r="D194" s="49">
        <v>100</v>
      </c>
      <c r="E194" s="2">
        <f t="shared" si="8"/>
        <v>300</v>
      </c>
      <c r="F194" s="2">
        <v>6.1700000000000001E-3</v>
      </c>
      <c r="G194" s="26">
        <f t="shared" si="9"/>
        <v>118.464</v>
      </c>
      <c r="H194" s="19">
        <f>P8</f>
        <v>12.239999999999998</v>
      </c>
      <c r="I194" s="22">
        <f t="shared" si="7"/>
        <v>1.4499993599999998</v>
      </c>
    </row>
    <row r="195" spans="1:9" x14ac:dyDescent="0.25">
      <c r="A195" t="s">
        <v>413</v>
      </c>
      <c r="B195" s="2">
        <v>8</v>
      </c>
      <c r="C195" s="2">
        <v>250</v>
      </c>
      <c r="D195" s="49">
        <v>100</v>
      </c>
      <c r="E195" s="2">
        <f t="shared" si="8"/>
        <v>350</v>
      </c>
      <c r="F195" s="2">
        <v>6.1700000000000001E-3</v>
      </c>
      <c r="G195" s="26">
        <f t="shared" si="9"/>
        <v>138.208</v>
      </c>
      <c r="H195" s="19">
        <f>P8</f>
        <v>12.239999999999998</v>
      </c>
      <c r="I195" s="22">
        <f t="shared" si="7"/>
        <v>1.6916659199999997</v>
      </c>
    </row>
    <row r="196" spans="1:9" x14ac:dyDescent="0.25">
      <c r="A196" t="s">
        <v>415</v>
      </c>
      <c r="B196" s="2">
        <v>8</v>
      </c>
      <c r="C196" s="2">
        <v>300</v>
      </c>
      <c r="D196" s="49">
        <v>100</v>
      </c>
      <c r="E196" s="2">
        <f t="shared" si="8"/>
        <v>400</v>
      </c>
      <c r="F196" s="2">
        <v>6.1700000000000001E-3</v>
      </c>
      <c r="G196" s="26">
        <f t="shared" si="9"/>
        <v>157.952</v>
      </c>
      <c r="H196" s="19">
        <f>P8</f>
        <v>12.239999999999998</v>
      </c>
      <c r="I196" s="22">
        <f t="shared" si="7"/>
        <v>1.9333324799999998</v>
      </c>
    </row>
    <row r="197" spans="1:9" x14ac:dyDescent="0.25">
      <c r="A197" t="s">
        <v>417</v>
      </c>
      <c r="B197" s="2">
        <v>8</v>
      </c>
      <c r="C197" s="2">
        <v>350</v>
      </c>
      <c r="D197" s="49">
        <v>100</v>
      </c>
      <c r="E197" s="2">
        <f t="shared" si="8"/>
        <v>450</v>
      </c>
      <c r="F197" s="2">
        <v>6.1700000000000001E-3</v>
      </c>
      <c r="G197" s="26">
        <f t="shared" si="9"/>
        <v>177.696</v>
      </c>
      <c r="H197" s="19">
        <f>P8</f>
        <v>12.239999999999998</v>
      </c>
      <c r="I197" s="22">
        <f t="shared" si="7"/>
        <v>2.1749990399999999</v>
      </c>
    </row>
    <row r="198" spans="1:9" x14ac:dyDescent="0.25">
      <c r="A198" t="s">
        <v>419</v>
      </c>
      <c r="B198" s="2">
        <v>8</v>
      </c>
      <c r="C198" s="2">
        <v>400</v>
      </c>
      <c r="D198" s="49">
        <v>100</v>
      </c>
      <c r="E198" s="2">
        <f t="shared" si="8"/>
        <v>500</v>
      </c>
      <c r="F198" s="2">
        <v>6.1700000000000001E-3</v>
      </c>
      <c r="G198" s="26">
        <f t="shared" si="9"/>
        <v>197.44</v>
      </c>
      <c r="H198" s="19">
        <f>P9</f>
        <v>37.44</v>
      </c>
      <c r="I198" s="22">
        <f t="shared" si="7"/>
        <v>7.3921535999999994</v>
      </c>
    </row>
    <row r="199" spans="1:9" x14ac:dyDescent="0.25">
      <c r="A199" t="s">
        <v>421</v>
      </c>
      <c r="B199" s="2">
        <v>8</v>
      </c>
      <c r="C199" s="2">
        <v>450</v>
      </c>
      <c r="D199" s="49">
        <v>100</v>
      </c>
      <c r="E199" s="2">
        <f t="shared" si="8"/>
        <v>550</v>
      </c>
      <c r="F199" s="2">
        <v>6.1700000000000001E-3</v>
      </c>
      <c r="G199" s="26">
        <f t="shared" si="9"/>
        <v>217.184</v>
      </c>
      <c r="H199" s="19">
        <f>P9</f>
        <v>37.44</v>
      </c>
      <c r="I199" s="22">
        <f t="shared" ref="I199:I259" si="10">G199*H199/1000</f>
        <v>8.1313689599999996</v>
      </c>
    </row>
    <row r="200" spans="1:9" x14ac:dyDescent="0.25">
      <c r="A200" t="s">
        <v>423</v>
      </c>
      <c r="B200" s="2">
        <v>8</v>
      </c>
      <c r="C200" s="2">
        <v>500</v>
      </c>
      <c r="D200" s="49">
        <v>100</v>
      </c>
      <c r="E200" s="2">
        <f t="shared" ref="E200:E232" si="11">D200+C200</f>
        <v>600</v>
      </c>
      <c r="F200" s="2">
        <v>6.1700000000000001E-3</v>
      </c>
      <c r="G200" s="26">
        <f t="shared" ref="G200:G232" si="12">B200*B200*E200*F200</f>
        <v>236.928</v>
      </c>
      <c r="H200" s="19">
        <f>P9</f>
        <v>37.44</v>
      </c>
      <c r="I200" s="22">
        <f t="shared" si="10"/>
        <v>8.8705843200000007</v>
      </c>
    </row>
    <row r="201" spans="1:9" x14ac:dyDescent="0.25">
      <c r="A201" t="s">
        <v>425</v>
      </c>
      <c r="B201" s="2">
        <v>10</v>
      </c>
      <c r="C201" s="2">
        <v>175</v>
      </c>
      <c r="D201" s="49">
        <v>100</v>
      </c>
      <c r="E201" s="2">
        <f t="shared" si="11"/>
        <v>275</v>
      </c>
      <c r="F201" s="2">
        <v>6.1700000000000001E-3</v>
      </c>
      <c r="G201" s="26">
        <f t="shared" si="12"/>
        <v>169.67500000000001</v>
      </c>
      <c r="H201" s="19">
        <f>P8</f>
        <v>12.239999999999998</v>
      </c>
      <c r="I201" s="22">
        <f t="shared" si="10"/>
        <v>2.0768219999999995</v>
      </c>
    </row>
    <row r="202" spans="1:9" x14ac:dyDescent="0.25">
      <c r="A202" t="s">
        <v>427</v>
      </c>
      <c r="B202" s="2">
        <v>10</v>
      </c>
      <c r="C202" s="2">
        <v>200</v>
      </c>
      <c r="D202" s="49">
        <v>100</v>
      </c>
      <c r="E202" s="2">
        <f t="shared" si="11"/>
        <v>300</v>
      </c>
      <c r="F202" s="2">
        <v>6.1700000000000001E-3</v>
      </c>
      <c r="G202" s="26">
        <f t="shared" si="12"/>
        <v>185.1</v>
      </c>
      <c r="H202" s="19">
        <f>P8</f>
        <v>12.239999999999998</v>
      </c>
      <c r="I202" s="22">
        <f t="shared" si="10"/>
        <v>2.2656239999999999</v>
      </c>
    </row>
    <row r="203" spans="1:9" x14ac:dyDescent="0.25">
      <c r="A203" t="s">
        <v>429</v>
      </c>
      <c r="B203" s="2">
        <v>10</v>
      </c>
      <c r="C203" s="2">
        <v>250</v>
      </c>
      <c r="D203" s="49">
        <v>100</v>
      </c>
      <c r="E203" s="2">
        <f t="shared" si="11"/>
        <v>350</v>
      </c>
      <c r="F203" s="2">
        <v>6.1700000000000001E-3</v>
      </c>
      <c r="G203" s="26">
        <f t="shared" si="12"/>
        <v>215.95000000000002</v>
      </c>
      <c r="H203" s="19">
        <f>P8</f>
        <v>12.239999999999998</v>
      </c>
      <c r="I203" s="22">
        <f t="shared" si="10"/>
        <v>2.6432280000000001</v>
      </c>
    </row>
    <row r="204" spans="1:9" x14ac:dyDescent="0.25">
      <c r="A204" t="s">
        <v>431</v>
      </c>
      <c r="B204" s="2">
        <v>10</v>
      </c>
      <c r="C204" s="2">
        <v>300</v>
      </c>
      <c r="D204" s="49">
        <v>100</v>
      </c>
      <c r="E204" s="2">
        <f t="shared" si="11"/>
        <v>400</v>
      </c>
      <c r="F204" s="2">
        <v>6.1700000000000001E-3</v>
      </c>
      <c r="G204" s="26">
        <f t="shared" si="12"/>
        <v>246.8</v>
      </c>
      <c r="H204" s="19">
        <f>P8</f>
        <v>12.239999999999998</v>
      </c>
      <c r="I204" s="22">
        <f t="shared" si="10"/>
        <v>3.020832</v>
      </c>
    </row>
    <row r="205" spans="1:9" x14ac:dyDescent="0.25">
      <c r="A205" t="s">
        <v>433</v>
      </c>
      <c r="B205" s="2">
        <v>10</v>
      </c>
      <c r="C205" s="2">
        <v>350</v>
      </c>
      <c r="D205" s="49">
        <v>100</v>
      </c>
      <c r="E205" s="2">
        <f t="shared" si="11"/>
        <v>450</v>
      </c>
      <c r="F205" s="2">
        <v>6.1700000000000001E-3</v>
      </c>
      <c r="G205" s="26">
        <f t="shared" si="12"/>
        <v>277.65000000000003</v>
      </c>
      <c r="H205" s="19">
        <f>P8</f>
        <v>12.239999999999998</v>
      </c>
      <c r="I205" s="22">
        <f t="shared" si="10"/>
        <v>3.3984360000000002</v>
      </c>
    </row>
    <row r="206" spans="1:9" x14ac:dyDescent="0.25">
      <c r="A206" t="s">
        <v>435</v>
      </c>
      <c r="B206" s="2">
        <v>10</v>
      </c>
      <c r="C206" s="2">
        <v>400</v>
      </c>
      <c r="D206" s="49">
        <v>100</v>
      </c>
      <c r="E206" s="2">
        <f t="shared" si="11"/>
        <v>500</v>
      </c>
      <c r="F206" s="2">
        <v>6.1700000000000001E-3</v>
      </c>
      <c r="G206" s="26">
        <f t="shared" si="12"/>
        <v>308.5</v>
      </c>
      <c r="H206" s="19">
        <f>P9</f>
        <v>37.44</v>
      </c>
      <c r="I206" s="22">
        <f t="shared" si="10"/>
        <v>11.550240000000001</v>
      </c>
    </row>
    <row r="207" spans="1:9" x14ac:dyDescent="0.25">
      <c r="A207" t="s">
        <v>437</v>
      </c>
      <c r="B207" s="2">
        <v>10</v>
      </c>
      <c r="C207" s="2">
        <v>450</v>
      </c>
      <c r="D207" s="49">
        <v>100</v>
      </c>
      <c r="E207" s="2">
        <f t="shared" si="11"/>
        <v>550</v>
      </c>
      <c r="F207" s="2">
        <v>6.1700000000000001E-3</v>
      </c>
      <c r="G207" s="26">
        <f t="shared" si="12"/>
        <v>339.35</v>
      </c>
      <c r="H207" s="19">
        <f>P9</f>
        <v>37.44</v>
      </c>
      <c r="I207" s="22">
        <f t="shared" si="10"/>
        <v>12.705264</v>
      </c>
    </row>
    <row r="208" spans="1:9" x14ac:dyDescent="0.25">
      <c r="A208" t="s">
        <v>439</v>
      </c>
      <c r="B208" s="2">
        <v>10</v>
      </c>
      <c r="C208" s="2">
        <v>500</v>
      </c>
      <c r="D208" s="49">
        <v>100</v>
      </c>
      <c r="E208" s="2">
        <f t="shared" si="11"/>
        <v>600</v>
      </c>
      <c r="F208" s="2">
        <v>6.1700000000000001E-3</v>
      </c>
      <c r="G208" s="26">
        <f t="shared" si="12"/>
        <v>370.2</v>
      </c>
      <c r="H208" s="19">
        <f>P9</f>
        <v>37.44</v>
      </c>
      <c r="I208" s="22">
        <f t="shared" si="10"/>
        <v>13.860287999999999</v>
      </c>
    </row>
    <row r="209" spans="1:9" x14ac:dyDescent="0.25">
      <c r="A209" t="s">
        <v>301</v>
      </c>
      <c r="B209" s="2">
        <v>3</v>
      </c>
      <c r="C209" s="2">
        <v>60</v>
      </c>
      <c r="D209" s="49">
        <v>60</v>
      </c>
      <c r="E209" s="2">
        <f t="shared" si="11"/>
        <v>120</v>
      </c>
      <c r="F209" s="2">
        <v>6.1700000000000001E-3</v>
      </c>
      <c r="G209" s="26">
        <f t="shared" si="12"/>
        <v>6.6635999999999997</v>
      </c>
      <c r="H209" s="19">
        <f>P7</f>
        <v>18</v>
      </c>
      <c r="I209" s="22">
        <f t="shared" si="10"/>
        <v>0.1199448</v>
      </c>
    </row>
    <row r="210" spans="1:9" x14ac:dyDescent="0.25">
      <c r="A210" t="s">
        <v>303</v>
      </c>
      <c r="B210" s="2">
        <v>3</v>
      </c>
      <c r="C210" s="2">
        <v>60</v>
      </c>
      <c r="D210" s="49">
        <v>60</v>
      </c>
      <c r="E210" s="2">
        <f t="shared" si="11"/>
        <v>120</v>
      </c>
      <c r="F210" s="2">
        <v>6.1700000000000001E-3</v>
      </c>
      <c r="G210" s="26">
        <f t="shared" si="12"/>
        <v>6.6635999999999997</v>
      </c>
      <c r="H210" s="19">
        <f>P7</f>
        <v>18</v>
      </c>
      <c r="I210" s="22">
        <f t="shared" si="10"/>
        <v>0.1199448</v>
      </c>
    </row>
    <row r="211" spans="1:9" x14ac:dyDescent="0.25">
      <c r="A211" t="s">
        <v>305</v>
      </c>
      <c r="B211" s="2">
        <v>3</v>
      </c>
      <c r="C211" s="2">
        <v>60</v>
      </c>
      <c r="D211" s="49">
        <v>60</v>
      </c>
      <c r="E211" s="2">
        <f t="shared" si="11"/>
        <v>120</v>
      </c>
      <c r="F211" s="2">
        <v>6.1700000000000001E-3</v>
      </c>
      <c r="G211" s="26">
        <f t="shared" si="12"/>
        <v>6.6635999999999997</v>
      </c>
      <c r="H211" s="19">
        <f>P7</f>
        <v>18</v>
      </c>
      <c r="I211" s="22">
        <f t="shared" si="10"/>
        <v>0.1199448</v>
      </c>
    </row>
    <row r="212" spans="1:9" x14ac:dyDescent="0.25">
      <c r="A212" t="s">
        <v>307</v>
      </c>
      <c r="B212" s="2">
        <v>3</v>
      </c>
      <c r="C212" s="2">
        <v>60</v>
      </c>
      <c r="D212" s="49">
        <v>60</v>
      </c>
      <c r="E212" s="2">
        <f t="shared" si="11"/>
        <v>120</v>
      </c>
      <c r="F212" s="2">
        <v>6.1700000000000001E-3</v>
      </c>
      <c r="G212" s="26">
        <f t="shared" si="12"/>
        <v>6.6635999999999997</v>
      </c>
      <c r="H212" s="19">
        <f>P7</f>
        <v>18</v>
      </c>
      <c r="I212" s="22">
        <f t="shared" si="10"/>
        <v>0.1199448</v>
      </c>
    </row>
    <row r="213" spans="1:9" x14ac:dyDescent="0.25">
      <c r="A213" t="s">
        <v>309</v>
      </c>
      <c r="B213" s="2">
        <v>4</v>
      </c>
      <c r="C213" s="2">
        <v>80</v>
      </c>
      <c r="D213" s="49">
        <v>60</v>
      </c>
      <c r="E213" s="2">
        <f t="shared" si="11"/>
        <v>140</v>
      </c>
      <c r="F213" s="2">
        <v>6.1700000000000001E-3</v>
      </c>
      <c r="G213" s="26">
        <f t="shared" si="12"/>
        <v>13.8208</v>
      </c>
      <c r="H213" s="19">
        <f>P8</f>
        <v>12.239999999999998</v>
      </c>
      <c r="I213" s="22">
        <f t="shared" si="10"/>
        <v>0.16916659199999998</v>
      </c>
    </row>
    <row r="214" spans="1:9" x14ac:dyDescent="0.25">
      <c r="A214" t="s">
        <v>311</v>
      </c>
      <c r="B214" s="2">
        <v>4</v>
      </c>
      <c r="C214" s="2">
        <v>80</v>
      </c>
      <c r="D214" s="49">
        <v>60</v>
      </c>
      <c r="E214" s="2">
        <f t="shared" si="11"/>
        <v>140</v>
      </c>
      <c r="F214" s="2">
        <v>6.1700000000000001E-3</v>
      </c>
      <c r="G214" s="26">
        <f t="shared" si="12"/>
        <v>13.8208</v>
      </c>
      <c r="H214" s="19">
        <f>P8</f>
        <v>12.239999999999998</v>
      </c>
      <c r="I214" s="22">
        <f t="shared" si="10"/>
        <v>0.16916659199999998</v>
      </c>
    </row>
    <row r="215" spans="1:9" x14ac:dyDescent="0.25">
      <c r="A215" t="s">
        <v>313</v>
      </c>
      <c r="B215" s="2">
        <v>5</v>
      </c>
      <c r="C215" s="2">
        <v>100</v>
      </c>
      <c r="D215" s="49">
        <v>60</v>
      </c>
      <c r="E215" s="2">
        <f t="shared" si="11"/>
        <v>160</v>
      </c>
      <c r="F215" s="2">
        <v>6.1700000000000001E-3</v>
      </c>
      <c r="G215" s="26">
        <f t="shared" si="12"/>
        <v>24.68</v>
      </c>
      <c r="H215" s="19">
        <f>P8</f>
        <v>12.239999999999998</v>
      </c>
      <c r="I215" s="22">
        <f t="shared" si="10"/>
        <v>0.3020832</v>
      </c>
    </row>
    <row r="216" spans="1:9" x14ac:dyDescent="0.25">
      <c r="A216" t="s">
        <v>315</v>
      </c>
      <c r="B216" s="2">
        <v>5</v>
      </c>
      <c r="C216" s="2">
        <v>100</v>
      </c>
      <c r="D216" s="49">
        <v>60</v>
      </c>
      <c r="E216" s="2">
        <f t="shared" si="11"/>
        <v>160</v>
      </c>
      <c r="F216" s="2">
        <v>6.1700000000000001E-3</v>
      </c>
      <c r="G216" s="26">
        <f t="shared" si="12"/>
        <v>24.68</v>
      </c>
      <c r="H216" s="19">
        <f>P8</f>
        <v>12.239999999999998</v>
      </c>
      <c r="I216" s="22">
        <f t="shared" si="10"/>
        <v>0.3020832</v>
      </c>
    </row>
    <row r="217" spans="1:9" x14ac:dyDescent="0.25">
      <c r="A217" t="s">
        <v>317</v>
      </c>
      <c r="B217" s="2">
        <v>6</v>
      </c>
      <c r="C217" s="2">
        <v>100</v>
      </c>
      <c r="D217" s="49">
        <v>80</v>
      </c>
      <c r="E217" s="2">
        <f t="shared" si="11"/>
        <v>180</v>
      </c>
      <c r="F217" s="2">
        <v>6.1700000000000001E-3</v>
      </c>
      <c r="G217" s="26">
        <f t="shared" si="12"/>
        <v>39.9816</v>
      </c>
      <c r="H217" s="19">
        <f>P8</f>
        <v>12.239999999999998</v>
      </c>
      <c r="I217" s="22">
        <f t="shared" si="10"/>
        <v>0.4893747839999999</v>
      </c>
    </row>
    <row r="218" spans="1:9" x14ac:dyDescent="0.25">
      <c r="A218" t="s">
        <v>319</v>
      </c>
      <c r="B218" s="2">
        <v>7</v>
      </c>
      <c r="C218" s="2">
        <v>125</v>
      </c>
      <c r="D218" s="49">
        <v>80</v>
      </c>
      <c r="E218" s="2">
        <f t="shared" si="11"/>
        <v>205</v>
      </c>
      <c r="F218" s="2">
        <v>6.1700000000000001E-3</v>
      </c>
      <c r="G218" s="26">
        <f t="shared" si="12"/>
        <v>61.977650000000004</v>
      </c>
      <c r="H218" s="19">
        <f>P8</f>
        <v>12.239999999999998</v>
      </c>
      <c r="I218" s="22">
        <f t="shared" si="10"/>
        <v>0.75860643599999988</v>
      </c>
    </row>
    <row r="219" spans="1:9" x14ac:dyDescent="0.25">
      <c r="A219" t="s">
        <v>321</v>
      </c>
      <c r="B219" s="2">
        <v>8</v>
      </c>
      <c r="C219" s="2">
        <v>150</v>
      </c>
      <c r="D219" s="49">
        <v>100</v>
      </c>
      <c r="E219" s="2">
        <f t="shared" si="11"/>
        <v>250</v>
      </c>
      <c r="F219" s="2">
        <v>6.1700000000000001E-3</v>
      </c>
      <c r="G219" s="26">
        <f t="shared" si="12"/>
        <v>98.72</v>
      </c>
      <c r="H219" s="19">
        <f>P8</f>
        <v>12.239999999999998</v>
      </c>
      <c r="I219" s="22">
        <f t="shared" si="10"/>
        <v>1.2083328</v>
      </c>
    </row>
    <row r="220" spans="1:9" x14ac:dyDescent="0.25">
      <c r="A220" t="s">
        <v>323</v>
      </c>
      <c r="B220" s="2">
        <v>8</v>
      </c>
      <c r="C220" s="2">
        <v>200</v>
      </c>
      <c r="D220" s="49">
        <v>100</v>
      </c>
      <c r="E220" s="2">
        <f t="shared" si="11"/>
        <v>300</v>
      </c>
      <c r="F220" s="2">
        <v>6.1700000000000001E-3</v>
      </c>
      <c r="G220" s="26">
        <f t="shared" si="12"/>
        <v>118.464</v>
      </c>
      <c r="H220" s="19">
        <f>P8</f>
        <v>12.239999999999998</v>
      </c>
      <c r="I220" s="22">
        <f t="shared" si="10"/>
        <v>1.4499993599999998</v>
      </c>
    </row>
    <row r="221" spans="1:9" x14ac:dyDescent="0.25">
      <c r="A221" t="s">
        <v>325</v>
      </c>
      <c r="B221" s="2">
        <v>3</v>
      </c>
      <c r="C221" s="2">
        <v>60</v>
      </c>
      <c r="D221" s="49">
        <v>60</v>
      </c>
      <c r="E221" s="2">
        <f t="shared" si="11"/>
        <v>120</v>
      </c>
      <c r="F221" s="2">
        <v>6.1700000000000001E-3</v>
      </c>
      <c r="G221" s="26">
        <f t="shared" si="12"/>
        <v>6.6635999999999997</v>
      </c>
      <c r="H221" s="19">
        <f>P7</f>
        <v>18</v>
      </c>
      <c r="I221" s="22">
        <f t="shared" si="10"/>
        <v>0.1199448</v>
      </c>
    </row>
    <row r="222" spans="1:9" x14ac:dyDescent="0.25">
      <c r="A222" t="s">
        <v>327</v>
      </c>
      <c r="B222" s="2">
        <v>3</v>
      </c>
      <c r="C222" s="2">
        <v>60</v>
      </c>
      <c r="D222" s="49">
        <v>60</v>
      </c>
      <c r="E222" s="2">
        <f t="shared" si="11"/>
        <v>120</v>
      </c>
      <c r="F222" s="2">
        <v>6.1700000000000001E-3</v>
      </c>
      <c r="G222" s="26">
        <f t="shared" si="12"/>
        <v>6.6635999999999997</v>
      </c>
      <c r="H222" s="19">
        <f>P7</f>
        <v>18</v>
      </c>
      <c r="I222" s="22">
        <f t="shared" si="10"/>
        <v>0.1199448</v>
      </c>
    </row>
    <row r="223" spans="1:9" x14ac:dyDescent="0.25">
      <c r="A223" t="s">
        <v>329</v>
      </c>
      <c r="B223" s="2">
        <v>3</v>
      </c>
      <c r="C223" s="2">
        <v>60</v>
      </c>
      <c r="D223" s="49">
        <v>60</v>
      </c>
      <c r="E223" s="2">
        <f t="shared" si="11"/>
        <v>120</v>
      </c>
      <c r="F223" s="2">
        <v>6.1700000000000001E-3</v>
      </c>
      <c r="G223" s="26">
        <f t="shared" si="12"/>
        <v>6.6635999999999997</v>
      </c>
      <c r="H223" s="19">
        <f>P7</f>
        <v>18</v>
      </c>
      <c r="I223" s="22">
        <f t="shared" si="10"/>
        <v>0.1199448</v>
      </c>
    </row>
    <row r="224" spans="1:9" x14ac:dyDescent="0.25">
      <c r="A224" t="s">
        <v>331</v>
      </c>
      <c r="B224" s="2">
        <v>3</v>
      </c>
      <c r="C224" s="2">
        <v>60</v>
      </c>
      <c r="D224" s="49">
        <v>60</v>
      </c>
      <c r="E224" s="2">
        <f t="shared" si="11"/>
        <v>120</v>
      </c>
      <c r="F224" s="2">
        <v>6.1700000000000001E-3</v>
      </c>
      <c r="G224" s="26">
        <f t="shared" si="12"/>
        <v>6.6635999999999997</v>
      </c>
      <c r="H224" s="19">
        <f>P7</f>
        <v>18</v>
      </c>
      <c r="I224" s="22">
        <f t="shared" si="10"/>
        <v>0.1199448</v>
      </c>
    </row>
    <row r="225" spans="1:9" x14ac:dyDescent="0.25">
      <c r="A225" t="s">
        <v>333</v>
      </c>
      <c r="B225" s="2">
        <v>4</v>
      </c>
      <c r="C225" s="2">
        <v>80</v>
      </c>
      <c r="D225" s="49">
        <v>60</v>
      </c>
      <c r="E225" s="2">
        <f t="shared" si="11"/>
        <v>140</v>
      </c>
      <c r="F225" s="2">
        <v>6.1700000000000001E-3</v>
      </c>
      <c r="G225" s="26">
        <f t="shared" si="12"/>
        <v>13.8208</v>
      </c>
      <c r="H225" s="19">
        <f>P8</f>
        <v>12.239999999999998</v>
      </c>
      <c r="I225" s="22">
        <f t="shared" si="10"/>
        <v>0.16916659199999998</v>
      </c>
    </row>
    <row r="226" spans="1:9" x14ac:dyDescent="0.25">
      <c r="A226" t="s">
        <v>335</v>
      </c>
      <c r="B226" s="2">
        <v>4</v>
      </c>
      <c r="C226" s="2">
        <v>80</v>
      </c>
      <c r="D226" s="49">
        <v>60</v>
      </c>
      <c r="E226" s="2">
        <f t="shared" si="11"/>
        <v>140</v>
      </c>
      <c r="F226" s="2">
        <v>6.1700000000000001E-3</v>
      </c>
      <c r="G226" s="26">
        <f t="shared" si="12"/>
        <v>13.8208</v>
      </c>
      <c r="H226" s="19">
        <f>P8</f>
        <v>12.239999999999998</v>
      </c>
      <c r="I226" s="22">
        <f t="shared" si="10"/>
        <v>0.16916659199999998</v>
      </c>
    </row>
    <row r="227" spans="1:9" x14ac:dyDescent="0.25">
      <c r="A227" t="s">
        <v>337</v>
      </c>
      <c r="B227" s="2">
        <v>5</v>
      </c>
      <c r="C227" s="2">
        <v>100</v>
      </c>
      <c r="D227" s="49">
        <v>60</v>
      </c>
      <c r="E227" s="2">
        <f t="shared" si="11"/>
        <v>160</v>
      </c>
      <c r="F227" s="2">
        <v>6.1700000000000001E-3</v>
      </c>
      <c r="G227" s="26">
        <f t="shared" si="12"/>
        <v>24.68</v>
      </c>
      <c r="H227" s="19">
        <f>P8</f>
        <v>12.239999999999998</v>
      </c>
      <c r="I227" s="22">
        <f t="shared" si="10"/>
        <v>0.3020832</v>
      </c>
    </row>
    <row r="228" spans="1:9" x14ac:dyDescent="0.25">
      <c r="A228" t="s">
        <v>339</v>
      </c>
      <c r="B228" s="2">
        <v>5</v>
      </c>
      <c r="C228" s="2">
        <v>100</v>
      </c>
      <c r="D228" s="49">
        <v>60</v>
      </c>
      <c r="E228" s="2">
        <f t="shared" si="11"/>
        <v>160</v>
      </c>
      <c r="F228" s="2">
        <v>6.1700000000000001E-3</v>
      </c>
      <c r="G228" s="26">
        <f t="shared" si="12"/>
        <v>24.68</v>
      </c>
      <c r="H228" s="19">
        <f>P8</f>
        <v>12.239999999999998</v>
      </c>
      <c r="I228" s="22">
        <f t="shared" si="10"/>
        <v>0.3020832</v>
      </c>
    </row>
    <row r="229" spans="1:9" x14ac:dyDescent="0.25">
      <c r="A229" t="s">
        <v>341</v>
      </c>
      <c r="B229" s="2">
        <v>6</v>
      </c>
      <c r="C229" s="2">
        <v>100</v>
      </c>
      <c r="D229" s="49">
        <v>80</v>
      </c>
      <c r="E229" s="2">
        <f t="shared" si="11"/>
        <v>180</v>
      </c>
      <c r="F229" s="2">
        <v>6.1700000000000001E-3</v>
      </c>
      <c r="G229" s="26">
        <f t="shared" si="12"/>
        <v>39.9816</v>
      </c>
      <c r="H229" s="19">
        <f>P8</f>
        <v>12.239999999999998</v>
      </c>
      <c r="I229" s="22">
        <f t="shared" si="10"/>
        <v>0.4893747839999999</v>
      </c>
    </row>
    <row r="230" spans="1:9" x14ac:dyDescent="0.25">
      <c r="A230" t="s">
        <v>343</v>
      </c>
      <c r="B230" s="2">
        <v>7</v>
      </c>
      <c r="C230" s="2">
        <v>125</v>
      </c>
      <c r="D230" s="49">
        <v>80</v>
      </c>
      <c r="E230" s="2">
        <f t="shared" si="11"/>
        <v>205</v>
      </c>
      <c r="F230" s="2">
        <v>6.1700000000000001E-3</v>
      </c>
      <c r="G230" s="26">
        <f t="shared" si="12"/>
        <v>61.977650000000004</v>
      </c>
      <c r="H230" s="19">
        <f>P8</f>
        <v>12.239999999999998</v>
      </c>
      <c r="I230" s="22">
        <f t="shared" si="10"/>
        <v>0.75860643599999988</v>
      </c>
    </row>
    <row r="231" spans="1:9" x14ac:dyDescent="0.25">
      <c r="A231" t="s">
        <v>345</v>
      </c>
      <c r="B231" s="2">
        <v>8</v>
      </c>
      <c r="C231" s="2">
        <v>150</v>
      </c>
      <c r="D231" s="49">
        <v>100</v>
      </c>
      <c r="E231" s="2">
        <f t="shared" si="11"/>
        <v>250</v>
      </c>
      <c r="F231" s="2">
        <v>6.1700000000000001E-3</v>
      </c>
      <c r="G231" s="26">
        <f t="shared" si="12"/>
        <v>98.72</v>
      </c>
      <c r="H231" s="19">
        <f>P8</f>
        <v>12.239999999999998</v>
      </c>
      <c r="I231" s="22">
        <f t="shared" si="10"/>
        <v>1.2083328</v>
      </c>
    </row>
    <row r="232" spans="1:9" x14ac:dyDescent="0.25">
      <c r="A232" t="s">
        <v>347</v>
      </c>
      <c r="B232" s="2">
        <v>8</v>
      </c>
      <c r="C232" s="2">
        <v>200</v>
      </c>
      <c r="D232" s="49">
        <v>100</v>
      </c>
      <c r="E232" s="2">
        <f t="shared" si="11"/>
        <v>300</v>
      </c>
      <c r="F232" s="2">
        <v>6.1700000000000001E-3</v>
      </c>
      <c r="G232" s="26">
        <f t="shared" si="12"/>
        <v>118.464</v>
      </c>
      <c r="H232" s="19">
        <f>P8</f>
        <v>12.239999999999998</v>
      </c>
      <c r="I232" s="22">
        <f t="shared" si="10"/>
        <v>1.4499993599999998</v>
      </c>
    </row>
    <row r="233" spans="1:9" x14ac:dyDescent="0.25">
      <c r="A233" t="s">
        <v>808</v>
      </c>
      <c r="B233" s="2">
        <v>2</v>
      </c>
      <c r="C233" s="2">
        <f>E233-D233</f>
        <v>50</v>
      </c>
      <c r="D233" s="2">
        <v>75</v>
      </c>
      <c r="E233" s="2">
        <v>125</v>
      </c>
      <c r="F233" s="2">
        <v>6.7999999999999996E-3</v>
      </c>
      <c r="G233" s="26">
        <f>B233*B233*E233*F233</f>
        <v>3.4</v>
      </c>
      <c r="H233" s="19">
        <v>12.5</v>
      </c>
      <c r="I233" s="22">
        <f t="shared" si="10"/>
        <v>4.2500000000000003E-2</v>
      </c>
    </row>
    <row r="234" spans="1:9" x14ac:dyDescent="0.25">
      <c r="A234" t="s">
        <v>816</v>
      </c>
      <c r="B234" s="2">
        <v>2.5</v>
      </c>
      <c r="C234" s="2">
        <f t="shared" ref="C234:C259" si="13">E234-D234</f>
        <v>50</v>
      </c>
      <c r="D234" s="2">
        <v>100</v>
      </c>
      <c r="E234" s="2">
        <v>150</v>
      </c>
      <c r="F234" s="2">
        <v>6.7999999999999996E-3</v>
      </c>
      <c r="G234" s="26">
        <f t="shared" ref="G234:G259" si="14">B234*B234*E234*F234</f>
        <v>6.375</v>
      </c>
      <c r="H234" s="19">
        <v>12.5</v>
      </c>
      <c r="I234" s="22">
        <f t="shared" si="10"/>
        <v>7.9687499999999994E-2</v>
      </c>
    </row>
    <row r="235" spans="1:9" x14ac:dyDescent="0.25">
      <c r="A235" t="s">
        <v>809</v>
      </c>
      <c r="B235" s="2">
        <v>3</v>
      </c>
      <c r="C235" s="2">
        <f t="shared" si="13"/>
        <v>50</v>
      </c>
      <c r="D235" s="2">
        <v>100</v>
      </c>
      <c r="E235" s="2">
        <v>150</v>
      </c>
      <c r="F235" s="2">
        <v>6.7999999999999996E-3</v>
      </c>
      <c r="G235" s="26">
        <f t="shared" si="14"/>
        <v>9.18</v>
      </c>
      <c r="H235" s="19">
        <v>12.5</v>
      </c>
      <c r="I235" s="22">
        <f t="shared" si="10"/>
        <v>0.11475</v>
      </c>
    </row>
    <row r="236" spans="1:9" x14ac:dyDescent="0.25">
      <c r="A236" t="s">
        <v>810</v>
      </c>
      <c r="B236" s="2">
        <v>4</v>
      </c>
      <c r="C236" s="2">
        <f t="shared" si="13"/>
        <v>60</v>
      </c>
      <c r="D236" s="2">
        <v>100</v>
      </c>
      <c r="E236" s="2">
        <v>160</v>
      </c>
      <c r="F236" s="2">
        <v>6.7999999999999996E-3</v>
      </c>
      <c r="G236" s="26">
        <f t="shared" si="14"/>
        <v>17.407999999999998</v>
      </c>
      <c r="H236" s="19">
        <v>8.5</v>
      </c>
      <c r="I236" s="22">
        <f t="shared" si="10"/>
        <v>0.14796799999999999</v>
      </c>
    </row>
    <row r="237" spans="1:9" x14ac:dyDescent="0.25">
      <c r="A237" t="s">
        <v>811</v>
      </c>
      <c r="B237" s="2">
        <v>5</v>
      </c>
      <c r="C237" s="2">
        <f t="shared" si="13"/>
        <v>60</v>
      </c>
      <c r="D237" s="2">
        <v>100</v>
      </c>
      <c r="E237" s="2">
        <v>160</v>
      </c>
      <c r="F237" s="2">
        <v>6.7999999999999996E-3</v>
      </c>
      <c r="G237" s="26">
        <f t="shared" si="14"/>
        <v>27.2</v>
      </c>
      <c r="H237" s="19">
        <v>8.5</v>
      </c>
      <c r="I237" s="22">
        <f t="shared" si="10"/>
        <v>0.23119999999999999</v>
      </c>
    </row>
    <row r="238" spans="1:9" x14ac:dyDescent="0.25">
      <c r="A238" t="s">
        <v>812</v>
      </c>
      <c r="B238" s="2">
        <v>6</v>
      </c>
      <c r="C238" s="2">
        <f t="shared" si="13"/>
        <v>80</v>
      </c>
      <c r="D238" s="2">
        <v>125</v>
      </c>
      <c r="E238" s="2">
        <v>205</v>
      </c>
      <c r="F238" s="2">
        <v>6.7999999999999996E-3</v>
      </c>
      <c r="G238" s="26">
        <f t="shared" si="14"/>
        <v>50.183999999999997</v>
      </c>
      <c r="H238" s="19">
        <v>8.5</v>
      </c>
      <c r="I238" s="22">
        <f t="shared" si="10"/>
        <v>0.42656399999999994</v>
      </c>
    </row>
    <row r="239" spans="1:9" x14ac:dyDescent="0.25">
      <c r="A239" t="s">
        <v>813</v>
      </c>
      <c r="B239" s="2">
        <v>6</v>
      </c>
      <c r="C239" s="2">
        <f t="shared" si="13"/>
        <v>80</v>
      </c>
      <c r="D239" s="2">
        <v>150</v>
      </c>
      <c r="E239" s="2">
        <v>230</v>
      </c>
      <c r="F239" s="2">
        <v>6.7999999999999996E-3</v>
      </c>
      <c r="G239" s="26">
        <f t="shared" si="14"/>
        <v>56.303999999999995</v>
      </c>
      <c r="H239" s="19">
        <v>8.5</v>
      </c>
      <c r="I239" s="22">
        <f t="shared" si="10"/>
        <v>0.47858399999999995</v>
      </c>
    </row>
    <row r="240" spans="1:9" x14ac:dyDescent="0.25">
      <c r="A240" t="s">
        <v>814</v>
      </c>
      <c r="B240" s="2">
        <v>8</v>
      </c>
      <c r="C240" s="2">
        <f t="shared" si="13"/>
        <v>95</v>
      </c>
      <c r="D240" s="2">
        <v>150</v>
      </c>
      <c r="E240" s="2">
        <v>245</v>
      </c>
      <c r="F240" s="2">
        <v>6.7999999999999996E-3</v>
      </c>
      <c r="G240" s="26">
        <f t="shared" si="14"/>
        <v>106.624</v>
      </c>
      <c r="H240" s="19">
        <v>8.5</v>
      </c>
      <c r="I240" s="22">
        <f t="shared" si="10"/>
        <v>0.906304</v>
      </c>
    </row>
    <row r="241" spans="1:9" x14ac:dyDescent="0.25">
      <c r="A241" t="s">
        <v>815</v>
      </c>
      <c r="B241" s="2">
        <v>10</v>
      </c>
      <c r="C241" s="2">
        <f t="shared" si="13"/>
        <v>84</v>
      </c>
      <c r="D241" s="2">
        <v>200</v>
      </c>
      <c r="E241" s="2">
        <v>284</v>
      </c>
      <c r="F241" s="2">
        <v>6.7999999999999996E-3</v>
      </c>
      <c r="G241" s="26">
        <f t="shared" si="14"/>
        <v>193.11999999999998</v>
      </c>
      <c r="H241" s="19">
        <v>8.5</v>
      </c>
      <c r="I241" s="22">
        <f t="shared" si="10"/>
        <v>1.6415199999999996</v>
      </c>
    </row>
    <row r="242" spans="1:9" x14ac:dyDescent="0.25">
      <c r="A242" t="s">
        <v>799</v>
      </c>
      <c r="B242" s="2">
        <v>2</v>
      </c>
      <c r="C242" s="2">
        <f t="shared" si="13"/>
        <v>50</v>
      </c>
      <c r="D242" s="2">
        <v>75</v>
      </c>
      <c r="E242" s="2">
        <v>125</v>
      </c>
      <c r="F242" s="2">
        <v>6.7999999999999996E-3</v>
      </c>
      <c r="G242" s="26">
        <f t="shared" si="14"/>
        <v>3.4</v>
      </c>
      <c r="H242" s="19">
        <v>12.5</v>
      </c>
      <c r="I242" s="22">
        <f t="shared" si="10"/>
        <v>4.2500000000000003E-2</v>
      </c>
    </row>
    <row r="243" spans="1:9" x14ac:dyDescent="0.25">
      <c r="A243" t="s">
        <v>800</v>
      </c>
      <c r="B243" s="2">
        <v>2.5</v>
      </c>
      <c r="C243" s="2">
        <f t="shared" si="13"/>
        <v>50</v>
      </c>
      <c r="D243" s="2">
        <v>100</v>
      </c>
      <c r="E243" s="2">
        <v>150</v>
      </c>
      <c r="F243" s="2">
        <v>6.7999999999999996E-3</v>
      </c>
      <c r="G243" s="26">
        <f t="shared" si="14"/>
        <v>6.375</v>
      </c>
      <c r="H243" s="19">
        <v>12.5</v>
      </c>
      <c r="I243" s="22">
        <f t="shared" si="10"/>
        <v>7.9687499999999994E-2</v>
      </c>
    </row>
    <row r="244" spans="1:9" x14ac:dyDescent="0.25">
      <c r="A244" t="s">
        <v>801</v>
      </c>
      <c r="B244" s="2">
        <v>3</v>
      </c>
      <c r="C244" s="2">
        <f t="shared" si="13"/>
        <v>50</v>
      </c>
      <c r="D244" s="2">
        <v>100</v>
      </c>
      <c r="E244" s="2">
        <v>150</v>
      </c>
      <c r="F244" s="2">
        <v>6.7999999999999996E-3</v>
      </c>
      <c r="G244" s="26">
        <f t="shared" si="14"/>
        <v>9.18</v>
      </c>
      <c r="H244" s="19">
        <v>12.5</v>
      </c>
      <c r="I244" s="22">
        <f t="shared" si="10"/>
        <v>0.11475</v>
      </c>
    </row>
    <row r="245" spans="1:9" x14ac:dyDescent="0.25">
      <c r="A245" t="s">
        <v>802</v>
      </c>
      <c r="B245" s="2">
        <v>4</v>
      </c>
      <c r="C245" s="2">
        <f t="shared" si="13"/>
        <v>60</v>
      </c>
      <c r="D245" s="2">
        <v>100</v>
      </c>
      <c r="E245" s="2">
        <v>160</v>
      </c>
      <c r="F245" s="2">
        <v>6.7999999999999996E-3</v>
      </c>
      <c r="G245" s="26">
        <f t="shared" si="14"/>
        <v>17.407999999999998</v>
      </c>
      <c r="H245" s="19">
        <v>8.5</v>
      </c>
      <c r="I245" s="22">
        <f t="shared" si="10"/>
        <v>0.14796799999999999</v>
      </c>
    </row>
    <row r="246" spans="1:9" x14ac:dyDescent="0.25">
      <c r="A246" t="s">
        <v>803</v>
      </c>
      <c r="B246" s="2">
        <v>5</v>
      </c>
      <c r="C246" s="2">
        <f t="shared" si="13"/>
        <v>60</v>
      </c>
      <c r="D246" s="2">
        <v>100</v>
      </c>
      <c r="E246" s="2">
        <v>160</v>
      </c>
      <c r="F246" s="2">
        <v>6.7999999999999996E-3</v>
      </c>
      <c r="G246" s="26">
        <f t="shared" si="14"/>
        <v>27.2</v>
      </c>
      <c r="H246" s="19">
        <v>8.5</v>
      </c>
      <c r="I246" s="22">
        <f t="shared" si="10"/>
        <v>0.23119999999999999</v>
      </c>
    </row>
    <row r="247" spans="1:9" x14ac:dyDescent="0.25">
      <c r="A247" t="s">
        <v>804</v>
      </c>
      <c r="B247" s="2">
        <v>6</v>
      </c>
      <c r="C247" s="2">
        <f t="shared" si="13"/>
        <v>80</v>
      </c>
      <c r="D247" s="2">
        <v>125</v>
      </c>
      <c r="E247" s="2">
        <v>205</v>
      </c>
      <c r="F247" s="2">
        <v>6.7999999999999996E-3</v>
      </c>
      <c r="G247" s="26">
        <f t="shared" si="14"/>
        <v>50.183999999999997</v>
      </c>
      <c r="H247" s="19">
        <v>8.5</v>
      </c>
      <c r="I247" s="22">
        <f t="shared" si="10"/>
        <v>0.42656399999999994</v>
      </c>
    </row>
    <row r="248" spans="1:9" x14ac:dyDescent="0.25">
      <c r="A248" t="s">
        <v>805</v>
      </c>
      <c r="B248" s="2">
        <v>6</v>
      </c>
      <c r="C248" s="2">
        <f t="shared" si="13"/>
        <v>80</v>
      </c>
      <c r="D248" s="2">
        <v>150</v>
      </c>
      <c r="E248" s="2">
        <v>230</v>
      </c>
      <c r="F248" s="2">
        <v>6.7999999999999996E-3</v>
      </c>
      <c r="G248" s="26">
        <f t="shared" si="14"/>
        <v>56.303999999999995</v>
      </c>
      <c r="H248" s="19">
        <v>8.5</v>
      </c>
      <c r="I248" s="22">
        <f t="shared" si="10"/>
        <v>0.47858399999999995</v>
      </c>
    </row>
    <row r="249" spans="1:9" x14ac:dyDescent="0.25">
      <c r="A249" t="s">
        <v>806</v>
      </c>
      <c r="B249" s="2">
        <v>8</v>
      </c>
      <c r="C249" s="2">
        <f t="shared" si="13"/>
        <v>95</v>
      </c>
      <c r="D249" s="2">
        <v>150</v>
      </c>
      <c r="E249" s="2">
        <v>245</v>
      </c>
      <c r="F249" s="2">
        <v>6.7999999999999996E-3</v>
      </c>
      <c r="G249" s="26">
        <f t="shared" si="14"/>
        <v>106.624</v>
      </c>
      <c r="H249" s="19">
        <v>8.5</v>
      </c>
      <c r="I249" s="22">
        <f t="shared" si="10"/>
        <v>0.906304</v>
      </c>
    </row>
    <row r="250" spans="1:9" x14ac:dyDescent="0.25">
      <c r="A250" t="s">
        <v>807</v>
      </c>
      <c r="B250" s="2">
        <v>10</v>
      </c>
      <c r="C250" s="2">
        <f t="shared" si="13"/>
        <v>84</v>
      </c>
      <c r="D250" s="2">
        <v>200</v>
      </c>
      <c r="E250" s="2">
        <v>284</v>
      </c>
      <c r="F250" s="2">
        <v>6.7999999999999996E-3</v>
      </c>
      <c r="G250" s="26">
        <f t="shared" si="14"/>
        <v>193.11999999999998</v>
      </c>
      <c r="H250" s="19">
        <v>8.5</v>
      </c>
      <c r="I250" s="22">
        <f t="shared" si="10"/>
        <v>1.6415199999999996</v>
      </c>
    </row>
    <row r="251" spans="1:9" x14ac:dyDescent="0.25">
      <c r="A251" t="s">
        <v>799</v>
      </c>
      <c r="B251" s="2">
        <v>2</v>
      </c>
      <c r="C251" s="2">
        <f t="shared" si="13"/>
        <v>50</v>
      </c>
      <c r="D251" s="2">
        <v>75</v>
      </c>
      <c r="E251" s="2">
        <v>125</v>
      </c>
      <c r="F251" s="2">
        <v>6.7999999999999996E-3</v>
      </c>
      <c r="G251" s="26">
        <f t="shared" si="14"/>
        <v>3.4</v>
      </c>
      <c r="H251" s="19">
        <v>12.5</v>
      </c>
      <c r="I251" s="22">
        <f t="shared" si="10"/>
        <v>4.2500000000000003E-2</v>
      </c>
    </row>
    <row r="252" spans="1:9" x14ac:dyDescent="0.25">
      <c r="A252" t="s">
        <v>817</v>
      </c>
      <c r="B252" s="2">
        <v>2.5</v>
      </c>
      <c r="C252" s="2">
        <f t="shared" si="13"/>
        <v>50</v>
      </c>
      <c r="D252" s="2">
        <v>100</v>
      </c>
      <c r="E252" s="2">
        <v>150</v>
      </c>
      <c r="F252" s="2">
        <v>6.7999999999999996E-3</v>
      </c>
      <c r="G252" s="26">
        <f t="shared" si="14"/>
        <v>6.375</v>
      </c>
      <c r="H252" s="19">
        <v>12.5</v>
      </c>
      <c r="I252" s="22">
        <f t="shared" si="10"/>
        <v>7.9687499999999994E-2</v>
      </c>
    </row>
    <row r="253" spans="1:9" x14ac:dyDescent="0.25">
      <c r="A253" t="s">
        <v>818</v>
      </c>
      <c r="B253" s="2">
        <v>3</v>
      </c>
      <c r="C253" s="2">
        <f t="shared" si="13"/>
        <v>50</v>
      </c>
      <c r="D253" s="2">
        <v>100</v>
      </c>
      <c r="E253" s="2">
        <v>150</v>
      </c>
      <c r="F253" s="2">
        <v>6.7999999999999996E-3</v>
      </c>
      <c r="G253" s="26">
        <f t="shared" si="14"/>
        <v>9.18</v>
      </c>
      <c r="H253" s="19">
        <v>12.5</v>
      </c>
      <c r="I253" s="22">
        <f t="shared" si="10"/>
        <v>0.11475</v>
      </c>
    </row>
    <row r="254" spans="1:9" x14ac:dyDescent="0.25">
      <c r="A254" t="s">
        <v>819</v>
      </c>
      <c r="B254" s="2">
        <v>4</v>
      </c>
      <c r="C254" s="2">
        <f t="shared" si="13"/>
        <v>60</v>
      </c>
      <c r="D254" s="2">
        <v>100</v>
      </c>
      <c r="E254" s="2">
        <v>160</v>
      </c>
      <c r="F254" s="2">
        <v>6.7999999999999996E-3</v>
      </c>
      <c r="G254" s="26">
        <f t="shared" si="14"/>
        <v>17.407999999999998</v>
      </c>
      <c r="H254" s="19">
        <v>8.5</v>
      </c>
      <c r="I254" s="22">
        <f t="shared" si="10"/>
        <v>0.14796799999999999</v>
      </c>
    </row>
    <row r="255" spans="1:9" x14ac:dyDescent="0.25">
      <c r="A255" t="s">
        <v>820</v>
      </c>
      <c r="B255" s="2">
        <v>5</v>
      </c>
      <c r="C255" s="2">
        <f t="shared" si="13"/>
        <v>60</v>
      </c>
      <c r="D255" s="2">
        <v>100</v>
      </c>
      <c r="E255" s="2">
        <v>160</v>
      </c>
      <c r="F255" s="2">
        <v>6.7999999999999996E-3</v>
      </c>
      <c r="G255" s="26">
        <f t="shared" si="14"/>
        <v>27.2</v>
      </c>
      <c r="H255" s="19">
        <v>8.5</v>
      </c>
      <c r="I255" s="22">
        <f t="shared" si="10"/>
        <v>0.23119999999999999</v>
      </c>
    </row>
    <row r="256" spans="1:9" x14ac:dyDescent="0.25">
      <c r="A256" t="s">
        <v>821</v>
      </c>
      <c r="B256" s="2">
        <v>6</v>
      </c>
      <c r="C256" s="2">
        <f t="shared" si="13"/>
        <v>80</v>
      </c>
      <c r="D256" s="2">
        <v>125</v>
      </c>
      <c r="E256" s="2">
        <v>205</v>
      </c>
      <c r="F256" s="2">
        <v>6.7999999999999996E-3</v>
      </c>
      <c r="G256" s="26">
        <f t="shared" si="14"/>
        <v>50.183999999999997</v>
      </c>
      <c r="H256" s="19">
        <v>8.5</v>
      </c>
      <c r="I256" s="22">
        <f t="shared" si="10"/>
        <v>0.42656399999999994</v>
      </c>
    </row>
    <row r="257" spans="1:9" x14ac:dyDescent="0.25">
      <c r="A257" t="s">
        <v>822</v>
      </c>
      <c r="B257" s="2">
        <v>6</v>
      </c>
      <c r="C257" s="2">
        <f t="shared" si="13"/>
        <v>80</v>
      </c>
      <c r="D257" s="2">
        <v>150</v>
      </c>
      <c r="E257" s="2">
        <v>230</v>
      </c>
      <c r="F257" s="2">
        <v>6.7999999999999996E-3</v>
      </c>
      <c r="G257" s="26">
        <f t="shared" si="14"/>
        <v>56.303999999999995</v>
      </c>
      <c r="H257" s="19">
        <v>8.5</v>
      </c>
      <c r="I257" s="22">
        <f t="shared" si="10"/>
        <v>0.47858399999999995</v>
      </c>
    </row>
    <row r="258" spans="1:9" x14ac:dyDescent="0.25">
      <c r="A258" t="s">
        <v>823</v>
      </c>
      <c r="B258" s="2">
        <v>8</v>
      </c>
      <c r="C258" s="2">
        <f t="shared" si="13"/>
        <v>95</v>
      </c>
      <c r="D258" s="2">
        <v>150</v>
      </c>
      <c r="E258" s="2">
        <v>245</v>
      </c>
      <c r="F258" s="2">
        <v>6.7999999999999996E-3</v>
      </c>
      <c r="G258" s="26">
        <f t="shared" si="14"/>
        <v>106.624</v>
      </c>
      <c r="H258" s="19">
        <v>8.5</v>
      </c>
      <c r="I258" s="22">
        <f t="shared" si="10"/>
        <v>0.906304</v>
      </c>
    </row>
    <row r="259" spans="1:9" x14ac:dyDescent="0.25">
      <c r="A259" t="s">
        <v>824</v>
      </c>
      <c r="B259" s="2">
        <v>10</v>
      </c>
      <c r="C259" s="2">
        <f t="shared" si="13"/>
        <v>84</v>
      </c>
      <c r="D259" s="2">
        <v>200</v>
      </c>
      <c r="E259" s="2">
        <v>284</v>
      </c>
      <c r="F259" s="2">
        <v>6.7999999999999996E-3</v>
      </c>
      <c r="G259" s="26">
        <f t="shared" si="14"/>
        <v>193.11999999999998</v>
      </c>
      <c r="H259" s="19">
        <v>8.5</v>
      </c>
      <c r="I259" s="22">
        <f t="shared" si="10"/>
        <v>1.6415199999999996</v>
      </c>
    </row>
    <row r="262" spans="1:9" ht="19.5" x14ac:dyDescent="0.25">
      <c r="A262" s="82" t="s">
        <v>1087</v>
      </c>
    </row>
    <row r="263" spans="1:9" x14ac:dyDescent="0.25">
      <c r="A263" s="4" t="s">
        <v>0</v>
      </c>
      <c r="B263" s="28" t="s">
        <v>443</v>
      </c>
      <c r="C263" s="28" t="s">
        <v>452</v>
      </c>
      <c r="D263" s="28" t="s">
        <v>454</v>
      </c>
      <c r="E263" s="28" t="s">
        <v>830</v>
      </c>
      <c r="F263" s="2" t="s">
        <v>450</v>
      </c>
      <c r="G263" s="2" t="s">
        <v>946</v>
      </c>
      <c r="H263" s="19" t="s">
        <v>949</v>
      </c>
      <c r="I263" s="21" t="s">
        <v>448</v>
      </c>
    </row>
    <row r="264" spans="1:9" x14ac:dyDescent="0.25">
      <c r="A264" s="4" t="s">
        <v>833</v>
      </c>
      <c r="B264" s="28">
        <v>5</v>
      </c>
      <c r="C264" s="28">
        <v>75</v>
      </c>
      <c r="D264" s="28">
        <v>90</v>
      </c>
      <c r="E264" s="28">
        <v>165</v>
      </c>
      <c r="F264" s="2">
        <v>7.8499999999999993E-3</v>
      </c>
      <c r="G264" s="2">
        <f>F264*E264*B264*B264</f>
        <v>32.381249999999994</v>
      </c>
      <c r="H264" s="78">
        <f>P8</f>
        <v>12.239999999999998</v>
      </c>
      <c r="I264" s="20">
        <f>G264*H264/1000</f>
        <v>0.39634649999999988</v>
      </c>
    </row>
    <row r="265" spans="1:9" x14ac:dyDescent="0.25">
      <c r="A265" s="4" t="s">
        <v>835</v>
      </c>
      <c r="B265" s="28">
        <v>5</v>
      </c>
      <c r="C265" s="28">
        <v>100</v>
      </c>
      <c r="D265" s="28">
        <v>90</v>
      </c>
      <c r="E265" s="28">
        <v>190</v>
      </c>
      <c r="F265" s="2">
        <v>7.8499999999999993E-3</v>
      </c>
      <c r="G265" s="2">
        <f t="shared" ref="G265:G319" si="15">F265*E265*B265*B265</f>
        <v>37.287499999999994</v>
      </c>
      <c r="H265" s="78">
        <f>P8</f>
        <v>12.239999999999998</v>
      </c>
      <c r="I265" s="20">
        <f t="shared" ref="I265:I319" si="16">G265*H265/1000</f>
        <v>0.45639899999999989</v>
      </c>
    </row>
    <row r="266" spans="1:9" x14ac:dyDescent="0.25">
      <c r="A266" s="4" t="s">
        <v>837</v>
      </c>
      <c r="B266" s="28">
        <v>5</v>
      </c>
      <c r="C266" s="28">
        <v>150</v>
      </c>
      <c r="D266" s="28">
        <v>90</v>
      </c>
      <c r="E266" s="28">
        <v>240</v>
      </c>
      <c r="F266" s="2">
        <v>7.8499999999999993E-3</v>
      </c>
      <c r="G266" s="2">
        <f t="shared" si="15"/>
        <v>47.1</v>
      </c>
      <c r="H266" s="78">
        <f>P8</f>
        <v>12.239999999999998</v>
      </c>
      <c r="I266" s="20">
        <f t="shared" si="16"/>
        <v>0.57650399999999991</v>
      </c>
    </row>
    <row r="267" spans="1:9" x14ac:dyDescent="0.25">
      <c r="A267" s="4" t="s">
        <v>839</v>
      </c>
      <c r="B267" s="28">
        <v>5</v>
      </c>
      <c r="C267" s="28">
        <v>200</v>
      </c>
      <c r="D267" s="28">
        <v>90</v>
      </c>
      <c r="E267" s="28">
        <v>290</v>
      </c>
      <c r="F267" s="2">
        <v>7.8499999999999993E-3</v>
      </c>
      <c r="G267" s="2">
        <f t="shared" si="15"/>
        <v>56.912500000000001</v>
      </c>
      <c r="H267" s="78">
        <f>P8</f>
        <v>12.239999999999998</v>
      </c>
      <c r="I267" s="20">
        <f t="shared" si="16"/>
        <v>0.69660899999999992</v>
      </c>
    </row>
    <row r="268" spans="1:9" x14ac:dyDescent="0.25">
      <c r="A268" s="4" t="s">
        <v>841</v>
      </c>
      <c r="B268" s="28">
        <v>5</v>
      </c>
      <c r="C268" s="28">
        <v>250</v>
      </c>
      <c r="D268" s="28">
        <v>90</v>
      </c>
      <c r="E268" s="28">
        <v>340</v>
      </c>
      <c r="F268" s="2">
        <v>7.8499999999999993E-3</v>
      </c>
      <c r="G268" s="2">
        <f t="shared" si="15"/>
        <v>66.724999999999994</v>
      </c>
      <c r="H268" s="78">
        <f>P8</f>
        <v>12.239999999999998</v>
      </c>
      <c r="I268" s="20">
        <f t="shared" si="16"/>
        <v>0.81671399999999983</v>
      </c>
    </row>
    <row r="269" spans="1:9" x14ac:dyDescent="0.25">
      <c r="A269" s="4" t="s">
        <v>843</v>
      </c>
      <c r="B269" s="28">
        <v>5</v>
      </c>
      <c r="C269" s="28">
        <v>300</v>
      </c>
      <c r="D269" s="28">
        <v>90</v>
      </c>
      <c r="E269" s="28">
        <v>390</v>
      </c>
      <c r="F269" s="2">
        <v>7.8499999999999993E-3</v>
      </c>
      <c r="G269" s="2">
        <f t="shared" si="15"/>
        <v>76.537499999999994</v>
      </c>
      <c r="H269" s="78">
        <f>P8</f>
        <v>12.239999999999998</v>
      </c>
      <c r="I269" s="20">
        <f t="shared" si="16"/>
        <v>0.93681899999999985</v>
      </c>
    </row>
    <row r="270" spans="1:9" x14ac:dyDescent="0.25">
      <c r="A270" s="4" t="s">
        <v>845</v>
      </c>
      <c r="B270" s="28">
        <v>6</v>
      </c>
      <c r="C270" s="28">
        <v>100</v>
      </c>
      <c r="D270" s="28">
        <v>110</v>
      </c>
      <c r="E270" s="28">
        <v>210</v>
      </c>
      <c r="F270" s="2">
        <v>7.8499999999999993E-3</v>
      </c>
      <c r="G270" s="2">
        <f t="shared" si="15"/>
        <v>59.345999999999989</v>
      </c>
      <c r="H270" s="78">
        <f>P8</f>
        <v>12.239999999999998</v>
      </c>
      <c r="I270" s="20">
        <f t="shared" si="16"/>
        <v>0.72639503999999977</v>
      </c>
    </row>
    <row r="271" spans="1:9" x14ac:dyDescent="0.25">
      <c r="A271" s="4" t="s">
        <v>847</v>
      </c>
      <c r="B271" s="28">
        <v>6</v>
      </c>
      <c r="C271" s="28">
        <v>125</v>
      </c>
      <c r="D271" s="28">
        <v>110</v>
      </c>
      <c r="E271" s="28">
        <v>235</v>
      </c>
      <c r="F271" s="2">
        <v>7.8499999999999993E-3</v>
      </c>
      <c r="G271" s="2">
        <f t="shared" si="15"/>
        <v>66.411000000000001</v>
      </c>
      <c r="H271" s="78">
        <f>P8</f>
        <v>12.239999999999998</v>
      </c>
      <c r="I271" s="20">
        <f t="shared" si="16"/>
        <v>0.81287063999999987</v>
      </c>
    </row>
    <row r="272" spans="1:9" x14ac:dyDescent="0.25">
      <c r="A272" s="4" t="s">
        <v>849</v>
      </c>
      <c r="B272" s="28">
        <v>6</v>
      </c>
      <c r="C272" s="28">
        <v>150</v>
      </c>
      <c r="D272" s="28">
        <v>110</v>
      </c>
      <c r="E272" s="28">
        <v>260</v>
      </c>
      <c r="F272" s="2">
        <v>7.8499999999999993E-3</v>
      </c>
      <c r="G272" s="2">
        <f t="shared" si="15"/>
        <v>73.475999999999999</v>
      </c>
      <c r="H272" s="78">
        <f>P8</f>
        <v>12.239999999999998</v>
      </c>
      <c r="I272" s="20">
        <f t="shared" si="16"/>
        <v>0.89934623999999985</v>
      </c>
    </row>
    <row r="273" spans="1:9" x14ac:dyDescent="0.25">
      <c r="A273" s="4" t="s">
        <v>851</v>
      </c>
      <c r="B273" s="28">
        <v>6</v>
      </c>
      <c r="C273" s="28">
        <v>200</v>
      </c>
      <c r="D273" s="28">
        <v>110</v>
      </c>
      <c r="E273" s="28">
        <v>310</v>
      </c>
      <c r="F273" s="2">
        <v>7.8499999999999993E-3</v>
      </c>
      <c r="G273" s="2">
        <f t="shared" si="15"/>
        <v>87.605999999999995</v>
      </c>
      <c r="H273" s="78">
        <f>P8</f>
        <v>12.239999999999998</v>
      </c>
      <c r="I273" s="20">
        <f t="shared" si="16"/>
        <v>1.0722974399999998</v>
      </c>
    </row>
    <row r="274" spans="1:9" x14ac:dyDescent="0.25">
      <c r="A274" s="4" t="s">
        <v>853</v>
      </c>
      <c r="B274" s="28">
        <v>6</v>
      </c>
      <c r="C274" s="28">
        <v>250</v>
      </c>
      <c r="D274" s="28">
        <v>110</v>
      </c>
      <c r="E274" s="28">
        <v>360</v>
      </c>
      <c r="F274" s="2">
        <v>7.8499999999999993E-3</v>
      </c>
      <c r="G274" s="2">
        <f t="shared" si="15"/>
        <v>101.73599999999998</v>
      </c>
      <c r="H274" s="78">
        <f>P8</f>
        <v>12.239999999999998</v>
      </c>
      <c r="I274" s="20">
        <f t="shared" si="16"/>
        <v>1.2452486399999996</v>
      </c>
    </row>
    <row r="275" spans="1:9" x14ac:dyDescent="0.25">
      <c r="A275" s="4" t="s">
        <v>855</v>
      </c>
      <c r="B275" s="28">
        <v>6</v>
      </c>
      <c r="C275" s="28">
        <v>300</v>
      </c>
      <c r="D275" s="28">
        <v>110</v>
      </c>
      <c r="E275" s="28">
        <v>410</v>
      </c>
      <c r="F275" s="2">
        <v>7.8499999999999993E-3</v>
      </c>
      <c r="G275" s="2">
        <f t="shared" si="15"/>
        <v>115.866</v>
      </c>
      <c r="H275" s="78">
        <f>P8</f>
        <v>12.239999999999998</v>
      </c>
      <c r="I275" s="20">
        <f t="shared" si="16"/>
        <v>1.4181998399999998</v>
      </c>
    </row>
    <row r="276" spans="1:9" x14ac:dyDescent="0.25">
      <c r="A276" s="4" t="s">
        <v>857</v>
      </c>
      <c r="B276" s="28">
        <v>6</v>
      </c>
      <c r="C276" s="28">
        <v>350</v>
      </c>
      <c r="D276" s="28">
        <v>110</v>
      </c>
      <c r="E276" s="28">
        <v>460</v>
      </c>
      <c r="F276" s="2">
        <v>7.8499999999999993E-3</v>
      </c>
      <c r="G276" s="2">
        <f t="shared" si="15"/>
        <v>129.99599999999998</v>
      </c>
      <c r="H276" s="78">
        <f>P8</f>
        <v>12.239999999999998</v>
      </c>
      <c r="I276" s="20">
        <f t="shared" si="16"/>
        <v>1.5911510399999995</v>
      </c>
    </row>
    <row r="277" spans="1:9" x14ac:dyDescent="0.25">
      <c r="A277" s="4" t="s">
        <v>859</v>
      </c>
      <c r="B277" s="28">
        <v>6</v>
      </c>
      <c r="C277" s="28">
        <v>400</v>
      </c>
      <c r="D277" s="28">
        <v>110</v>
      </c>
      <c r="E277" s="28">
        <v>510</v>
      </c>
      <c r="F277" s="2">
        <v>7.8499999999999993E-3</v>
      </c>
      <c r="G277" s="2">
        <f t="shared" si="15"/>
        <v>144.126</v>
      </c>
      <c r="H277" s="78">
        <f>P9</f>
        <v>37.44</v>
      </c>
      <c r="I277" s="20">
        <f t="shared" si="16"/>
        <v>5.39607744</v>
      </c>
    </row>
    <row r="278" spans="1:9" x14ac:dyDescent="0.25">
      <c r="A278" s="4" t="s">
        <v>861</v>
      </c>
      <c r="B278" s="28">
        <v>8</v>
      </c>
      <c r="C278" s="28">
        <v>125</v>
      </c>
      <c r="D278" s="28">
        <v>125</v>
      </c>
      <c r="E278" s="28">
        <v>250</v>
      </c>
      <c r="F278" s="2">
        <v>7.8499999999999993E-3</v>
      </c>
      <c r="G278" s="2">
        <f t="shared" si="15"/>
        <v>125.6</v>
      </c>
      <c r="H278" s="78">
        <f>P8</f>
        <v>12.239999999999998</v>
      </c>
      <c r="I278" s="20">
        <f t="shared" si="16"/>
        <v>1.5373439999999998</v>
      </c>
    </row>
    <row r="279" spans="1:9" x14ac:dyDescent="0.25">
      <c r="A279" s="4" t="s">
        <v>863</v>
      </c>
      <c r="B279" s="28">
        <v>8</v>
      </c>
      <c r="C279" s="28">
        <v>150</v>
      </c>
      <c r="D279" s="28">
        <v>125</v>
      </c>
      <c r="E279" s="28">
        <v>275</v>
      </c>
      <c r="F279" s="2">
        <v>7.8499999999999993E-3</v>
      </c>
      <c r="G279" s="2">
        <f t="shared" si="15"/>
        <v>138.16</v>
      </c>
      <c r="H279" s="78">
        <f>P8</f>
        <v>12.239999999999998</v>
      </c>
      <c r="I279" s="20">
        <f t="shared" si="16"/>
        <v>1.6910783999999996</v>
      </c>
    </row>
    <row r="280" spans="1:9" x14ac:dyDescent="0.25">
      <c r="A280" s="4" t="s">
        <v>865</v>
      </c>
      <c r="B280" s="28">
        <v>8</v>
      </c>
      <c r="C280" s="28">
        <v>200</v>
      </c>
      <c r="D280" s="28">
        <v>125</v>
      </c>
      <c r="E280" s="28">
        <v>325</v>
      </c>
      <c r="F280" s="2">
        <v>7.8499999999999993E-3</v>
      </c>
      <c r="G280" s="2">
        <f t="shared" si="15"/>
        <v>163.27999999999997</v>
      </c>
      <c r="H280" s="78">
        <f>P8</f>
        <v>12.239999999999998</v>
      </c>
      <c r="I280" s="20">
        <f t="shared" si="16"/>
        <v>1.9985471999999995</v>
      </c>
    </row>
    <row r="281" spans="1:9" x14ac:dyDescent="0.25">
      <c r="A281" s="4" t="s">
        <v>867</v>
      </c>
      <c r="B281" s="28">
        <v>8</v>
      </c>
      <c r="C281" s="28">
        <v>250</v>
      </c>
      <c r="D281" s="28">
        <v>125</v>
      </c>
      <c r="E281" s="28">
        <v>375</v>
      </c>
      <c r="F281" s="2">
        <v>7.8499999999999993E-3</v>
      </c>
      <c r="G281" s="2">
        <f t="shared" si="15"/>
        <v>188.39999999999998</v>
      </c>
      <c r="H281" s="78">
        <f>P8</f>
        <v>12.239999999999998</v>
      </c>
      <c r="I281" s="20">
        <f t="shared" si="16"/>
        <v>2.3060159999999996</v>
      </c>
    </row>
    <row r="282" spans="1:9" x14ac:dyDescent="0.25">
      <c r="A282" s="4" t="s">
        <v>869</v>
      </c>
      <c r="B282" s="28">
        <v>8</v>
      </c>
      <c r="C282" s="28">
        <v>300</v>
      </c>
      <c r="D282" s="28">
        <v>125</v>
      </c>
      <c r="E282" s="28">
        <v>425</v>
      </c>
      <c r="F282" s="2">
        <v>7.8499999999999993E-3</v>
      </c>
      <c r="G282" s="2">
        <f t="shared" si="15"/>
        <v>213.51999999999998</v>
      </c>
      <c r="H282" s="78">
        <f>P8</f>
        <v>12.239999999999998</v>
      </c>
      <c r="I282" s="20">
        <f t="shared" si="16"/>
        <v>2.6134847999999993</v>
      </c>
    </row>
    <row r="283" spans="1:9" x14ac:dyDescent="0.25">
      <c r="A283" s="4" t="s">
        <v>871</v>
      </c>
      <c r="B283" s="28">
        <v>8</v>
      </c>
      <c r="C283" s="28">
        <v>350</v>
      </c>
      <c r="D283" s="28">
        <v>125</v>
      </c>
      <c r="E283" s="28">
        <v>475</v>
      </c>
      <c r="F283" s="2">
        <v>7.8499999999999993E-3</v>
      </c>
      <c r="G283" s="2">
        <f t="shared" si="15"/>
        <v>238.64</v>
      </c>
      <c r="H283" s="78">
        <f>P8</f>
        <v>12.239999999999998</v>
      </c>
      <c r="I283" s="20">
        <f t="shared" si="16"/>
        <v>2.9209535999999994</v>
      </c>
    </row>
    <row r="284" spans="1:9" x14ac:dyDescent="0.25">
      <c r="A284" s="4" t="s">
        <v>873</v>
      </c>
      <c r="B284" s="28">
        <v>8</v>
      </c>
      <c r="C284" s="28">
        <v>400</v>
      </c>
      <c r="D284" s="28">
        <v>125</v>
      </c>
      <c r="E284" s="28">
        <v>525</v>
      </c>
      <c r="F284" s="2">
        <v>7.8499999999999993E-3</v>
      </c>
      <c r="G284" s="2">
        <f t="shared" si="15"/>
        <v>263.76</v>
      </c>
      <c r="H284" s="78">
        <f>P9</f>
        <v>37.44</v>
      </c>
      <c r="I284" s="20">
        <f t="shared" si="16"/>
        <v>9.8751744000000006</v>
      </c>
    </row>
    <row r="285" spans="1:9" x14ac:dyDescent="0.25">
      <c r="A285" s="4" t="s">
        <v>875</v>
      </c>
      <c r="B285" s="28">
        <v>8</v>
      </c>
      <c r="C285" s="28">
        <v>450</v>
      </c>
      <c r="D285" s="28">
        <v>125</v>
      </c>
      <c r="E285" s="28">
        <v>575</v>
      </c>
      <c r="F285" s="2">
        <v>7.8499999999999993E-3</v>
      </c>
      <c r="G285" s="2">
        <f t="shared" si="15"/>
        <v>288.88</v>
      </c>
      <c r="H285" s="78">
        <f>P9</f>
        <v>37.44</v>
      </c>
      <c r="I285" s="20">
        <f t="shared" si="16"/>
        <v>10.8156672</v>
      </c>
    </row>
    <row r="286" spans="1:9" x14ac:dyDescent="0.25">
      <c r="A286" s="4" t="s">
        <v>877</v>
      </c>
      <c r="B286" s="28">
        <v>8</v>
      </c>
      <c r="C286" s="28">
        <v>500</v>
      </c>
      <c r="D286" s="28">
        <v>125</v>
      </c>
      <c r="E286" s="28">
        <v>625</v>
      </c>
      <c r="F286" s="2">
        <v>7.8499999999999993E-3</v>
      </c>
      <c r="G286" s="2">
        <f t="shared" si="15"/>
        <v>314</v>
      </c>
      <c r="H286" s="78">
        <f>P9</f>
        <v>37.44</v>
      </c>
      <c r="I286" s="20">
        <f t="shared" si="16"/>
        <v>11.756159999999999</v>
      </c>
    </row>
    <row r="287" spans="1:9" x14ac:dyDescent="0.25">
      <c r="A287" s="4" t="s">
        <v>879</v>
      </c>
      <c r="B287" s="28">
        <v>4</v>
      </c>
      <c r="C287" s="28">
        <v>75</v>
      </c>
      <c r="D287" s="28">
        <v>98</v>
      </c>
      <c r="E287" s="28">
        <v>173</v>
      </c>
      <c r="F287" s="2">
        <v>7.8499999999999993E-3</v>
      </c>
      <c r="G287" s="2">
        <f t="shared" si="15"/>
        <v>21.7288</v>
      </c>
      <c r="H287" s="78">
        <f>P8</f>
        <v>12.239999999999998</v>
      </c>
      <c r="I287" s="20">
        <f t="shared" si="16"/>
        <v>0.26596051199999993</v>
      </c>
    </row>
    <row r="288" spans="1:9" x14ac:dyDescent="0.25">
      <c r="A288" s="4" t="s">
        <v>881</v>
      </c>
      <c r="B288" s="28">
        <v>4</v>
      </c>
      <c r="C288" s="28">
        <v>100</v>
      </c>
      <c r="D288" s="28">
        <v>98</v>
      </c>
      <c r="E288" s="28">
        <v>198</v>
      </c>
      <c r="F288" s="2">
        <v>7.8499999999999993E-3</v>
      </c>
      <c r="G288" s="2">
        <f t="shared" si="15"/>
        <v>24.868799999999997</v>
      </c>
      <c r="H288" s="78">
        <f>P8</f>
        <v>12.239999999999998</v>
      </c>
      <c r="I288" s="20">
        <f t="shared" si="16"/>
        <v>0.30439411199999988</v>
      </c>
    </row>
    <row r="289" spans="1:9" x14ac:dyDescent="0.25">
      <c r="A289" s="4" t="s">
        <v>883</v>
      </c>
      <c r="B289" s="28">
        <v>5</v>
      </c>
      <c r="C289" s="28">
        <v>100</v>
      </c>
      <c r="D289" s="28">
        <v>98</v>
      </c>
      <c r="E289" s="28">
        <v>198</v>
      </c>
      <c r="F289" s="2">
        <v>7.8499999999999993E-3</v>
      </c>
      <c r="G289" s="2">
        <f t="shared" si="15"/>
        <v>38.857499999999995</v>
      </c>
      <c r="H289" s="78">
        <f>P8</f>
        <v>12.239999999999998</v>
      </c>
      <c r="I289" s="20">
        <f t="shared" si="16"/>
        <v>0.47561579999999987</v>
      </c>
    </row>
    <row r="290" spans="1:9" x14ac:dyDescent="0.25">
      <c r="A290" s="4" t="s">
        <v>885</v>
      </c>
      <c r="B290" s="28">
        <v>5</v>
      </c>
      <c r="C290" s="28">
        <v>125</v>
      </c>
      <c r="D290" s="28">
        <v>98</v>
      </c>
      <c r="E290" s="28">
        <v>223</v>
      </c>
      <c r="F290" s="2">
        <v>7.8499999999999993E-3</v>
      </c>
      <c r="G290" s="2">
        <f t="shared" si="15"/>
        <v>43.763749999999995</v>
      </c>
      <c r="H290" s="78">
        <f>P8</f>
        <v>12.239999999999998</v>
      </c>
      <c r="I290" s="20">
        <f t="shared" si="16"/>
        <v>0.53566829999999976</v>
      </c>
    </row>
    <row r="291" spans="1:9" x14ac:dyDescent="0.25">
      <c r="A291" s="4" t="s">
        <v>887</v>
      </c>
      <c r="B291" s="28">
        <v>5</v>
      </c>
      <c r="C291" s="28">
        <v>150</v>
      </c>
      <c r="D291" s="28">
        <v>98</v>
      </c>
      <c r="E291" s="28">
        <v>248</v>
      </c>
      <c r="F291" s="2">
        <v>7.8499999999999993E-3</v>
      </c>
      <c r="G291" s="2">
        <f t="shared" si="15"/>
        <v>48.67</v>
      </c>
      <c r="H291" s="78">
        <f>P8</f>
        <v>12.239999999999998</v>
      </c>
      <c r="I291" s="20">
        <f t="shared" si="16"/>
        <v>0.59572079999999994</v>
      </c>
    </row>
    <row r="292" spans="1:9" x14ac:dyDescent="0.25">
      <c r="A292" s="4" t="s">
        <v>889</v>
      </c>
      <c r="B292" s="28">
        <v>5</v>
      </c>
      <c r="C292" s="28">
        <v>200</v>
      </c>
      <c r="D292" s="28">
        <v>98</v>
      </c>
      <c r="E292" s="28">
        <v>298</v>
      </c>
      <c r="F292" s="2">
        <v>7.8499999999999993E-3</v>
      </c>
      <c r="G292" s="2">
        <f t="shared" si="15"/>
        <v>58.482499999999995</v>
      </c>
      <c r="H292" s="78">
        <f>P8</f>
        <v>12.239999999999998</v>
      </c>
      <c r="I292" s="20">
        <f t="shared" si="16"/>
        <v>0.71582579999999985</v>
      </c>
    </row>
    <row r="293" spans="1:9" x14ac:dyDescent="0.25">
      <c r="A293" s="4" t="s">
        <v>891</v>
      </c>
      <c r="B293" s="28">
        <v>5</v>
      </c>
      <c r="C293" s="28">
        <v>250</v>
      </c>
      <c r="D293" s="28">
        <v>98</v>
      </c>
      <c r="E293" s="28">
        <v>348</v>
      </c>
      <c r="F293" s="2">
        <v>7.8499999999999993E-3</v>
      </c>
      <c r="G293" s="2">
        <f t="shared" si="15"/>
        <v>68.294999999999987</v>
      </c>
      <c r="H293" s="78">
        <f>P8</f>
        <v>12.239999999999998</v>
      </c>
      <c r="I293" s="20">
        <f t="shared" si="16"/>
        <v>0.83593079999999975</v>
      </c>
    </row>
    <row r="294" spans="1:9" x14ac:dyDescent="0.25">
      <c r="A294" s="4" t="s">
        <v>893</v>
      </c>
      <c r="B294" s="28">
        <v>5</v>
      </c>
      <c r="C294" s="28">
        <v>300</v>
      </c>
      <c r="D294" s="28">
        <v>98</v>
      </c>
      <c r="E294" s="28">
        <v>398</v>
      </c>
      <c r="F294" s="2">
        <v>7.8499999999999993E-3</v>
      </c>
      <c r="G294" s="2">
        <f t="shared" si="15"/>
        <v>78.107500000000002</v>
      </c>
      <c r="H294" s="78">
        <f>P8</f>
        <v>12.239999999999998</v>
      </c>
      <c r="I294" s="20">
        <f t="shared" si="16"/>
        <v>0.95603579999999988</v>
      </c>
    </row>
    <row r="295" spans="1:9" x14ac:dyDescent="0.25">
      <c r="A295" s="4" t="s">
        <v>895</v>
      </c>
      <c r="B295" s="28">
        <v>6</v>
      </c>
      <c r="C295" s="28">
        <v>100</v>
      </c>
      <c r="D295" s="28">
        <v>119</v>
      </c>
      <c r="E295" s="28">
        <v>219</v>
      </c>
      <c r="F295" s="2">
        <v>7.8499999999999993E-3</v>
      </c>
      <c r="G295" s="2">
        <f t="shared" si="15"/>
        <v>61.889399999999995</v>
      </c>
      <c r="H295" s="78">
        <f>P8</f>
        <v>12.239999999999998</v>
      </c>
      <c r="I295" s="20">
        <f t="shared" si="16"/>
        <v>0.7575262559999999</v>
      </c>
    </row>
    <row r="296" spans="1:9" x14ac:dyDescent="0.25">
      <c r="A296" s="4" t="s">
        <v>897</v>
      </c>
      <c r="B296" s="28">
        <v>6</v>
      </c>
      <c r="C296" s="28">
        <v>125</v>
      </c>
      <c r="D296" s="28">
        <v>119</v>
      </c>
      <c r="E296" s="28">
        <v>244</v>
      </c>
      <c r="F296" s="2">
        <v>7.8499999999999993E-3</v>
      </c>
      <c r="G296" s="2">
        <f t="shared" si="15"/>
        <v>68.954399999999993</v>
      </c>
      <c r="H296" s="78">
        <f>P8</f>
        <v>12.239999999999998</v>
      </c>
      <c r="I296" s="20">
        <f t="shared" si="16"/>
        <v>0.84400185599999977</v>
      </c>
    </row>
    <row r="297" spans="1:9" x14ac:dyDescent="0.25">
      <c r="A297" s="4" t="s">
        <v>899</v>
      </c>
      <c r="B297" s="28">
        <v>6</v>
      </c>
      <c r="C297" s="28">
        <v>150</v>
      </c>
      <c r="D297" s="28">
        <v>119</v>
      </c>
      <c r="E297" s="28">
        <v>269</v>
      </c>
      <c r="F297" s="2">
        <v>7.8499999999999993E-3</v>
      </c>
      <c r="G297" s="2">
        <f t="shared" si="15"/>
        <v>76.019400000000005</v>
      </c>
      <c r="H297" s="78">
        <f>P8</f>
        <v>12.239999999999998</v>
      </c>
      <c r="I297" s="20">
        <f t="shared" si="16"/>
        <v>0.93047745599999998</v>
      </c>
    </row>
    <row r="298" spans="1:9" x14ac:dyDescent="0.25">
      <c r="A298" s="4" t="s">
        <v>901</v>
      </c>
      <c r="B298" s="28">
        <v>6</v>
      </c>
      <c r="C298" s="28">
        <v>200</v>
      </c>
      <c r="D298" s="28">
        <v>119</v>
      </c>
      <c r="E298" s="28">
        <v>319</v>
      </c>
      <c r="F298" s="2">
        <v>7.8499999999999993E-3</v>
      </c>
      <c r="G298" s="2">
        <f t="shared" si="15"/>
        <v>90.149399999999986</v>
      </c>
      <c r="H298" s="78">
        <f>P8</f>
        <v>12.239999999999998</v>
      </c>
      <c r="I298" s="20">
        <f t="shared" si="16"/>
        <v>1.1034286559999995</v>
      </c>
    </row>
    <row r="299" spans="1:9" x14ac:dyDescent="0.25">
      <c r="A299" s="4" t="s">
        <v>903</v>
      </c>
      <c r="B299" s="28">
        <v>6</v>
      </c>
      <c r="C299" s="28">
        <v>250</v>
      </c>
      <c r="D299" s="28">
        <v>119</v>
      </c>
      <c r="E299" s="28">
        <v>369</v>
      </c>
      <c r="F299" s="2">
        <v>7.8499999999999993E-3</v>
      </c>
      <c r="G299" s="2">
        <f t="shared" si="15"/>
        <v>104.2794</v>
      </c>
      <c r="H299" s="78">
        <f>P8</f>
        <v>12.239999999999998</v>
      </c>
      <c r="I299" s="20">
        <f t="shared" si="16"/>
        <v>1.2763798559999997</v>
      </c>
    </row>
    <row r="300" spans="1:9" x14ac:dyDescent="0.25">
      <c r="A300" s="4" t="s">
        <v>905</v>
      </c>
      <c r="B300" s="28">
        <v>6</v>
      </c>
      <c r="C300" s="28">
        <v>300</v>
      </c>
      <c r="D300" s="28">
        <v>119</v>
      </c>
      <c r="E300" s="28">
        <v>419</v>
      </c>
      <c r="F300" s="2">
        <v>7.8499999999999993E-3</v>
      </c>
      <c r="G300" s="2">
        <f t="shared" si="15"/>
        <v>118.40940000000001</v>
      </c>
      <c r="H300" s="78">
        <f>P8</f>
        <v>12.239999999999998</v>
      </c>
      <c r="I300" s="20">
        <f t="shared" si="16"/>
        <v>1.4493310559999999</v>
      </c>
    </row>
    <row r="301" spans="1:9" x14ac:dyDescent="0.25">
      <c r="A301" s="4" t="s">
        <v>907</v>
      </c>
      <c r="B301" s="28">
        <v>6</v>
      </c>
      <c r="C301" s="28">
        <v>350</v>
      </c>
      <c r="D301" s="28">
        <v>119</v>
      </c>
      <c r="E301" s="28">
        <v>469</v>
      </c>
      <c r="F301" s="2">
        <v>7.8499999999999993E-3</v>
      </c>
      <c r="G301" s="2">
        <f t="shared" si="15"/>
        <v>132.5394</v>
      </c>
      <c r="H301" s="78">
        <f>P8</f>
        <v>12.239999999999998</v>
      </c>
      <c r="I301" s="20">
        <f t="shared" si="16"/>
        <v>1.6222822559999996</v>
      </c>
    </row>
    <row r="302" spans="1:9" x14ac:dyDescent="0.25">
      <c r="A302" s="4" t="s">
        <v>909</v>
      </c>
      <c r="B302" s="28">
        <v>6</v>
      </c>
      <c r="C302" s="28">
        <v>400</v>
      </c>
      <c r="D302" s="28">
        <v>119</v>
      </c>
      <c r="E302" s="28">
        <v>519</v>
      </c>
      <c r="F302" s="2">
        <v>7.8499999999999993E-3</v>
      </c>
      <c r="G302" s="2">
        <f t="shared" si="15"/>
        <v>146.6694</v>
      </c>
      <c r="H302" s="78">
        <f>P9</f>
        <v>37.44</v>
      </c>
      <c r="I302" s="20">
        <f t="shared" si="16"/>
        <v>5.4913023359999995</v>
      </c>
    </row>
    <row r="303" spans="1:9" x14ac:dyDescent="0.25">
      <c r="A303" s="4" t="s">
        <v>911</v>
      </c>
      <c r="B303" s="28">
        <v>7</v>
      </c>
      <c r="C303" s="28">
        <v>150</v>
      </c>
      <c r="D303" s="28">
        <v>134</v>
      </c>
      <c r="E303" s="28">
        <v>284</v>
      </c>
      <c r="F303" s="2">
        <v>7.8499999999999993E-3</v>
      </c>
      <c r="G303" s="2">
        <f t="shared" si="15"/>
        <v>109.24059999999997</v>
      </c>
      <c r="H303" s="78">
        <f>P8</f>
        <v>12.239999999999998</v>
      </c>
      <c r="I303" s="20">
        <f t="shared" si="16"/>
        <v>1.3371049439999996</v>
      </c>
    </row>
    <row r="304" spans="1:9" x14ac:dyDescent="0.25">
      <c r="A304" s="4" t="s">
        <v>913</v>
      </c>
      <c r="B304" s="28">
        <v>7</v>
      </c>
      <c r="C304" s="28">
        <v>175</v>
      </c>
      <c r="D304" s="28">
        <v>134</v>
      </c>
      <c r="E304" s="28">
        <v>309</v>
      </c>
      <c r="F304" s="2">
        <v>7.8499999999999993E-3</v>
      </c>
      <c r="G304" s="2">
        <f t="shared" si="15"/>
        <v>118.85684999999998</v>
      </c>
      <c r="H304" s="78">
        <f>P8</f>
        <v>12.239999999999998</v>
      </c>
      <c r="I304" s="20">
        <f t="shared" si="16"/>
        <v>1.4548078439999994</v>
      </c>
    </row>
    <row r="305" spans="1:9" x14ac:dyDescent="0.25">
      <c r="A305" s="4" t="s">
        <v>915</v>
      </c>
      <c r="B305" s="28">
        <v>7</v>
      </c>
      <c r="C305" s="28">
        <v>200</v>
      </c>
      <c r="D305" s="28">
        <v>134</v>
      </c>
      <c r="E305" s="28">
        <v>334</v>
      </c>
      <c r="F305" s="2">
        <v>7.8499999999999993E-3</v>
      </c>
      <c r="G305" s="2">
        <f t="shared" si="15"/>
        <v>128.47309999999999</v>
      </c>
      <c r="H305" s="78">
        <f>P8</f>
        <v>12.239999999999998</v>
      </c>
      <c r="I305" s="20">
        <f t="shared" si="16"/>
        <v>1.5725107439999997</v>
      </c>
    </row>
    <row r="306" spans="1:9" x14ac:dyDescent="0.25">
      <c r="A306" s="4" t="s">
        <v>917</v>
      </c>
      <c r="B306" s="28">
        <v>7</v>
      </c>
      <c r="C306" s="28">
        <v>250</v>
      </c>
      <c r="D306" s="28">
        <v>134</v>
      </c>
      <c r="E306" s="28">
        <v>384</v>
      </c>
      <c r="F306" s="2">
        <v>7.8499999999999993E-3</v>
      </c>
      <c r="G306" s="2">
        <f t="shared" si="15"/>
        <v>147.7056</v>
      </c>
      <c r="H306" s="78">
        <f>P8</f>
        <v>12.239999999999998</v>
      </c>
      <c r="I306" s="20">
        <f t="shared" si="16"/>
        <v>1.807916544</v>
      </c>
    </row>
    <row r="307" spans="1:9" x14ac:dyDescent="0.25">
      <c r="A307" s="4" t="s">
        <v>919</v>
      </c>
      <c r="B307" s="28">
        <v>7</v>
      </c>
      <c r="C307" s="28">
        <v>300</v>
      </c>
      <c r="D307" s="28">
        <v>134</v>
      </c>
      <c r="E307" s="28">
        <v>434</v>
      </c>
      <c r="F307" s="2">
        <v>7.8499999999999993E-3</v>
      </c>
      <c r="G307" s="2">
        <f t="shared" si="15"/>
        <v>166.93809999999999</v>
      </c>
      <c r="H307" s="78">
        <f>P8</f>
        <v>12.239999999999998</v>
      </c>
      <c r="I307" s="20">
        <f t="shared" si="16"/>
        <v>2.0433223439999999</v>
      </c>
    </row>
    <row r="308" spans="1:9" x14ac:dyDescent="0.25">
      <c r="A308" s="4" t="s">
        <v>921</v>
      </c>
      <c r="B308" s="28">
        <v>7</v>
      </c>
      <c r="C308" s="28">
        <v>350</v>
      </c>
      <c r="D308" s="28">
        <v>134</v>
      </c>
      <c r="E308" s="28">
        <v>484</v>
      </c>
      <c r="F308" s="2">
        <v>7.8499999999999993E-3</v>
      </c>
      <c r="G308" s="2">
        <f t="shared" si="15"/>
        <v>186.17060000000001</v>
      </c>
      <c r="H308" s="78">
        <f>P8</f>
        <v>12.239999999999998</v>
      </c>
      <c r="I308" s="20">
        <f t="shared" si="16"/>
        <v>2.2787281439999996</v>
      </c>
    </row>
    <row r="309" spans="1:9" x14ac:dyDescent="0.25">
      <c r="A309" s="4" t="s">
        <v>923</v>
      </c>
      <c r="B309" s="28">
        <v>7</v>
      </c>
      <c r="C309" s="28">
        <v>400</v>
      </c>
      <c r="D309" s="28">
        <v>134</v>
      </c>
      <c r="E309" s="28">
        <v>534</v>
      </c>
      <c r="F309" s="2">
        <v>7.8499999999999993E-3</v>
      </c>
      <c r="G309" s="2">
        <f t="shared" si="15"/>
        <v>205.40309999999997</v>
      </c>
      <c r="H309" s="78">
        <f>P9</f>
        <v>37.44</v>
      </c>
      <c r="I309" s="20">
        <f t="shared" si="16"/>
        <v>7.6902920639999985</v>
      </c>
    </row>
    <row r="310" spans="1:9" x14ac:dyDescent="0.25">
      <c r="A310" s="4" t="s">
        <v>925</v>
      </c>
      <c r="B310" s="28">
        <v>7</v>
      </c>
      <c r="C310" s="28">
        <v>450</v>
      </c>
      <c r="D310" s="28">
        <v>134</v>
      </c>
      <c r="E310" s="28">
        <v>584</v>
      </c>
      <c r="F310" s="2">
        <v>7.8499999999999993E-3</v>
      </c>
      <c r="G310" s="2">
        <f t="shared" si="15"/>
        <v>224.63559999999995</v>
      </c>
      <c r="H310" s="78">
        <f>P9</f>
        <v>37.44</v>
      </c>
      <c r="I310" s="20">
        <f t="shared" si="16"/>
        <v>8.410356863999997</v>
      </c>
    </row>
    <row r="311" spans="1:9" x14ac:dyDescent="0.25">
      <c r="A311" s="4" t="s">
        <v>927</v>
      </c>
      <c r="B311" s="28">
        <v>7</v>
      </c>
      <c r="C311" s="28">
        <v>500</v>
      </c>
      <c r="D311" s="28">
        <v>134</v>
      </c>
      <c r="E311" s="28">
        <v>634</v>
      </c>
      <c r="F311" s="2">
        <v>7.8499999999999993E-3</v>
      </c>
      <c r="G311" s="2">
        <f t="shared" si="15"/>
        <v>243.86809999999997</v>
      </c>
      <c r="H311" s="78">
        <f>P9</f>
        <v>37.44</v>
      </c>
      <c r="I311" s="20">
        <f t="shared" si="16"/>
        <v>9.1304216639999982</v>
      </c>
    </row>
    <row r="312" spans="1:9" x14ac:dyDescent="0.25">
      <c r="A312" s="4" t="s">
        <v>929</v>
      </c>
      <c r="B312" s="28">
        <v>8</v>
      </c>
      <c r="C312" s="28">
        <v>175</v>
      </c>
      <c r="D312" s="28">
        <v>134</v>
      </c>
      <c r="E312" s="28">
        <v>309</v>
      </c>
      <c r="F312" s="2">
        <v>7.8499999999999993E-3</v>
      </c>
      <c r="G312" s="2">
        <f t="shared" si="15"/>
        <v>155.24159999999998</v>
      </c>
      <c r="H312" s="78">
        <f>P8</f>
        <v>12.239999999999998</v>
      </c>
      <c r="I312" s="20">
        <f t="shared" si="16"/>
        <v>1.9001571839999996</v>
      </c>
    </row>
    <row r="313" spans="1:9" x14ac:dyDescent="0.25">
      <c r="A313" s="4" t="s">
        <v>931</v>
      </c>
      <c r="B313" s="28">
        <v>8</v>
      </c>
      <c r="C313" s="28">
        <v>200</v>
      </c>
      <c r="D313" s="28">
        <v>134</v>
      </c>
      <c r="E313" s="28">
        <v>334</v>
      </c>
      <c r="F313" s="2">
        <v>7.8499999999999993E-3</v>
      </c>
      <c r="G313" s="2">
        <f t="shared" si="15"/>
        <v>167.80159999999998</v>
      </c>
      <c r="H313" s="78">
        <f>P8</f>
        <v>12.239999999999998</v>
      </c>
      <c r="I313" s="20">
        <f t="shared" si="16"/>
        <v>2.0538915839999996</v>
      </c>
    </row>
    <row r="314" spans="1:9" x14ac:dyDescent="0.25">
      <c r="A314" s="4" t="s">
        <v>933</v>
      </c>
      <c r="B314" s="28">
        <v>8</v>
      </c>
      <c r="C314" s="28">
        <v>250</v>
      </c>
      <c r="D314" s="28">
        <v>134</v>
      </c>
      <c r="E314" s="28">
        <v>384</v>
      </c>
      <c r="F314" s="2">
        <v>7.8499999999999993E-3</v>
      </c>
      <c r="G314" s="2">
        <f t="shared" si="15"/>
        <v>192.92159999999998</v>
      </c>
      <c r="H314" s="78">
        <f>P8</f>
        <v>12.239999999999998</v>
      </c>
      <c r="I314" s="20">
        <f t="shared" si="16"/>
        <v>2.3613603839999997</v>
      </c>
    </row>
    <row r="315" spans="1:9" x14ac:dyDescent="0.25">
      <c r="A315" s="4" t="s">
        <v>935</v>
      </c>
      <c r="B315" s="28">
        <v>8</v>
      </c>
      <c r="C315" s="28">
        <v>300</v>
      </c>
      <c r="D315" s="28">
        <v>134</v>
      </c>
      <c r="E315" s="28">
        <v>434</v>
      </c>
      <c r="F315" s="2">
        <v>7.8499999999999993E-3</v>
      </c>
      <c r="G315" s="2">
        <f t="shared" si="15"/>
        <v>218.04159999999999</v>
      </c>
      <c r="H315" s="78">
        <f>P8</f>
        <v>12.239999999999998</v>
      </c>
      <c r="I315" s="20">
        <f t="shared" si="16"/>
        <v>2.6688291839999998</v>
      </c>
    </row>
    <row r="316" spans="1:9" x14ac:dyDescent="0.25">
      <c r="A316" s="4" t="s">
        <v>937</v>
      </c>
      <c r="B316" s="28">
        <v>8</v>
      </c>
      <c r="C316" s="28">
        <v>350</v>
      </c>
      <c r="D316" s="28">
        <v>134</v>
      </c>
      <c r="E316" s="28">
        <v>484</v>
      </c>
      <c r="F316" s="2">
        <v>7.8499999999999993E-3</v>
      </c>
      <c r="G316" s="2">
        <f t="shared" si="15"/>
        <v>243.16159999999999</v>
      </c>
      <c r="H316" s="78">
        <f>P8</f>
        <v>12.239999999999998</v>
      </c>
      <c r="I316" s="20">
        <f t="shared" si="16"/>
        <v>2.9762979839999995</v>
      </c>
    </row>
    <row r="317" spans="1:9" x14ac:dyDescent="0.25">
      <c r="A317" s="4" t="s">
        <v>939</v>
      </c>
      <c r="B317" s="28">
        <v>8</v>
      </c>
      <c r="C317" s="28">
        <v>400</v>
      </c>
      <c r="D317" s="28">
        <v>134</v>
      </c>
      <c r="E317" s="28">
        <v>534</v>
      </c>
      <c r="F317" s="2">
        <v>7.8499999999999993E-3</v>
      </c>
      <c r="G317" s="2">
        <f t="shared" si="15"/>
        <v>268.28159999999997</v>
      </c>
      <c r="H317" s="78">
        <f>P9</f>
        <v>37.44</v>
      </c>
      <c r="I317" s="20">
        <f t="shared" si="16"/>
        <v>10.044463103999998</v>
      </c>
    </row>
    <row r="318" spans="1:9" x14ac:dyDescent="0.25">
      <c r="A318" s="4" t="s">
        <v>941</v>
      </c>
      <c r="B318" s="28">
        <v>8</v>
      </c>
      <c r="C318" s="28">
        <v>450</v>
      </c>
      <c r="D318" s="28">
        <v>134</v>
      </c>
      <c r="E318" s="28">
        <v>584</v>
      </c>
      <c r="F318" s="2">
        <v>7.8499999999999993E-3</v>
      </c>
      <c r="G318" s="2">
        <f t="shared" si="15"/>
        <v>293.40159999999997</v>
      </c>
      <c r="H318" s="78">
        <f>P9</f>
        <v>37.44</v>
      </c>
      <c r="I318" s="20">
        <f t="shared" si="16"/>
        <v>10.984955903999998</v>
      </c>
    </row>
    <row r="319" spans="1:9" x14ac:dyDescent="0.25">
      <c r="A319" s="4" t="s">
        <v>943</v>
      </c>
      <c r="B319" s="28">
        <v>8</v>
      </c>
      <c r="C319" s="28">
        <v>500</v>
      </c>
      <c r="D319" s="28">
        <v>134</v>
      </c>
      <c r="E319" s="28">
        <v>634</v>
      </c>
      <c r="F319" s="2">
        <v>7.8499999999999993E-3</v>
      </c>
      <c r="G319" s="2">
        <f t="shared" si="15"/>
        <v>318.52159999999998</v>
      </c>
      <c r="H319" s="78">
        <f>P9</f>
        <v>37.44</v>
      </c>
      <c r="I319" s="20">
        <f t="shared" si="16"/>
        <v>11.925448703999999</v>
      </c>
    </row>
    <row r="323" spans="1:9" ht="21" x14ac:dyDescent="0.25">
      <c r="A323" s="25" t="s">
        <v>959</v>
      </c>
      <c r="B323" s="113"/>
      <c r="C323" s="113"/>
      <c r="D323" s="113"/>
      <c r="E323" s="113"/>
      <c r="F323" s="113"/>
      <c r="G323" s="113"/>
      <c r="H323" s="113"/>
      <c r="I323" s="113"/>
    </row>
    <row r="324" spans="1:9" x14ac:dyDescent="0.25">
      <c r="A324" s="115" t="s">
        <v>0</v>
      </c>
      <c r="B324" s="28" t="s">
        <v>443</v>
      </c>
      <c r="C324" s="28" t="s">
        <v>452</v>
      </c>
      <c r="D324" s="28" t="s">
        <v>454</v>
      </c>
      <c r="E324" s="28" t="s">
        <v>645</v>
      </c>
      <c r="F324" s="28" t="s">
        <v>450</v>
      </c>
      <c r="G324" s="28" t="s">
        <v>831</v>
      </c>
      <c r="H324" s="28" t="s">
        <v>947</v>
      </c>
      <c r="I324" s="28" t="s">
        <v>448</v>
      </c>
    </row>
    <row r="325" spans="1:9" x14ac:dyDescent="0.25">
      <c r="A325" s="115" t="s">
        <v>834</v>
      </c>
      <c r="B325" s="28">
        <v>5</v>
      </c>
      <c r="C325" s="28">
        <v>75</v>
      </c>
      <c r="D325" s="28">
        <v>90</v>
      </c>
      <c r="E325" s="33">
        <f t="shared" ref="E325:E403" si="17">D325+C325</f>
        <v>165</v>
      </c>
      <c r="F325" s="28">
        <v>6.7999999999999996E-3</v>
      </c>
      <c r="G325" s="28">
        <f>B325*B325*E325*F325</f>
        <v>28.049999999999997</v>
      </c>
      <c r="H325" s="81">
        <f>P8</f>
        <v>12.239999999999998</v>
      </c>
      <c r="I325" s="22">
        <f>G325*H325/1000</f>
        <v>0.34333199999999992</v>
      </c>
    </row>
    <row r="326" spans="1:9" x14ac:dyDescent="0.25">
      <c r="A326" s="115" t="s">
        <v>836</v>
      </c>
      <c r="B326" s="28">
        <v>5</v>
      </c>
      <c r="C326" s="28">
        <v>100</v>
      </c>
      <c r="D326" s="28">
        <v>90</v>
      </c>
      <c r="E326" s="33">
        <f t="shared" si="17"/>
        <v>190</v>
      </c>
      <c r="F326" s="28">
        <v>6.7999999999999996E-3</v>
      </c>
      <c r="G326" s="28">
        <f t="shared" ref="G326:G403" si="18">B326*B326*E326*F326</f>
        <v>32.299999999999997</v>
      </c>
      <c r="H326" s="81">
        <f>P8</f>
        <v>12.239999999999998</v>
      </c>
      <c r="I326" s="22">
        <f t="shared" ref="I326:I403" si="19">G326*H326/1000</f>
        <v>0.39535199999999993</v>
      </c>
    </row>
    <row r="327" spans="1:9" x14ac:dyDescent="0.25">
      <c r="A327" s="115" t="s">
        <v>838</v>
      </c>
      <c r="B327" s="28">
        <v>5</v>
      </c>
      <c r="C327" s="28">
        <v>150</v>
      </c>
      <c r="D327" s="28">
        <v>90</v>
      </c>
      <c r="E327" s="33">
        <f t="shared" si="17"/>
        <v>240</v>
      </c>
      <c r="F327" s="28">
        <v>6.7999999999999996E-3</v>
      </c>
      <c r="G327" s="28">
        <f t="shared" si="18"/>
        <v>40.799999999999997</v>
      </c>
      <c r="H327" s="81">
        <f>P8</f>
        <v>12.239999999999998</v>
      </c>
      <c r="I327" s="22">
        <f t="shared" si="19"/>
        <v>0.49939199999999989</v>
      </c>
    </row>
    <row r="328" spans="1:9" x14ac:dyDescent="0.25">
      <c r="A328" s="115" t="s">
        <v>840</v>
      </c>
      <c r="B328" s="28">
        <v>5</v>
      </c>
      <c r="C328" s="28">
        <v>200</v>
      </c>
      <c r="D328" s="28">
        <v>90</v>
      </c>
      <c r="E328" s="33">
        <f t="shared" si="17"/>
        <v>290</v>
      </c>
      <c r="F328" s="28">
        <v>6.7999999999999996E-3</v>
      </c>
      <c r="G328" s="28">
        <f t="shared" si="18"/>
        <v>49.3</v>
      </c>
      <c r="H328" s="81">
        <f>P8</f>
        <v>12.239999999999998</v>
      </c>
      <c r="I328" s="22">
        <f t="shared" si="19"/>
        <v>0.60343199999999986</v>
      </c>
    </row>
    <row r="329" spans="1:9" x14ac:dyDescent="0.25">
      <c r="A329" s="115" t="s">
        <v>842</v>
      </c>
      <c r="B329" s="28">
        <v>5</v>
      </c>
      <c r="C329" s="28">
        <v>250</v>
      </c>
      <c r="D329" s="28">
        <v>90</v>
      </c>
      <c r="E329" s="33">
        <f t="shared" si="17"/>
        <v>340</v>
      </c>
      <c r="F329" s="28">
        <v>6.7999999999999996E-3</v>
      </c>
      <c r="G329" s="28">
        <f t="shared" si="18"/>
        <v>57.8</v>
      </c>
      <c r="H329" s="81">
        <f>P8</f>
        <v>12.239999999999998</v>
      </c>
      <c r="I329" s="22">
        <f t="shared" si="19"/>
        <v>0.70747199999999988</v>
      </c>
    </row>
    <row r="330" spans="1:9" x14ac:dyDescent="0.25">
      <c r="A330" s="115" t="s">
        <v>844</v>
      </c>
      <c r="B330" s="28">
        <v>5</v>
      </c>
      <c r="C330" s="28">
        <v>300</v>
      </c>
      <c r="D330" s="28">
        <v>90</v>
      </c>
      <c r="E330" s="33">
        <f t="shared" si="17"/>
        <v>390</v>
      </c>
      <c r="F330" s="28">
        <v>6.7999999999999996E-3</v>
      </c>
      <c r="G330" s="28">
        <f t="shared" si="18"/>
        <v>66.3</v>
      </c>
      <c r="H330" s="81">
        <f>P8</f>
        <v>12.239999999999998</v>
      </c>
      <c r="I330" s="22">
        <f t="shared" si="19"/>
        <v>0.81151199999999979</v>
      </c>
    </row>
    <row r="331" spans="1:9" x14ac:dyDescent="0.25">
      <c r="A331" s="115" t="s">
        <v>846</v>
      </c>
      <c r="B331" s="28">
        <v>6</v>
      </c>
      <c r="C331" s="28">
        <v>100</v>
      </c>
      <c r="D331" s="28">
        <v>110</v>
      </c>
      <c r="E331" s="33">
        <f t="shared" si="17"/>
        <v>210</v>
      </c>
      <c r="F331" s="28">
        <v>6.7999999999999996E-3</v>
      </c>
      <c r="G331" s="28">
        <f t="shared" si="18"/>
        <v>51.407999999999994</v>
      </c>
      <c r="H331" s="81">
        <f>P8</f>
        <v>12.239999999999998</v>
      </c>
      <c r="I331" s="22">
        <f t="shared" si="19"/>
        <v>0.62923391999999989</v>
      </c>
    </row>
    <row r="332" spans="1:9" x14ac:dyDescent="0.25">
      <c r="A332" s="115" t="s">
        <v>848</v>
      </c>
      <c r="B332" s="28">
        <v>6</v>
      </c>
      <c r="C332" s="28">
        <v>125</v>
      </c>
      <c r="D332" s="28">
        <v>110</v>
      </c>
      <c r="E332" s="33">
        <f t="shared" si="17"/>
        <v>235</v>
      </c>
      <c r="F332" s="28">
        <v>6.7999999999999996E-3</v>
      </c>
      <c r="G332" s="28">
        <f t="shared" si="18"/>
        <v>57.527999999999999</v>
      </c>
      <c r="H332" s="81">
        <f>P8</f>
        <v>12.239999999999998</v>
      </c>
      <c r="I332" s="22">
        <f t="shared" si="19"/>
        <v>0.70414271999999989</v>
      </c>
    </row>
    <row r="333" spans="1:9" x14ac:dyDescent="0.25">
      <c r="A333" s="115" t="s">
        <v>850</v>
      </c>
      <c r="B333" s="28">
        <v>6</v>
      </c>
      <c r="C333" s="28">
        <v>150</v>
      </c>
      <c r="D333" s="28">
        <v>110</v>
      </c>
      <c r="E333" s="33">
        <f t="shared" si="17"/>
        <v>260</v>
      </c>
      <c r="F333" s="28">
        <v>6.7999999999999996E-3</v>
      </c>
      <c r="G333" s="28">
        <f t="shared" si="18"/>
        <v>63.647999999999996</v>
      </c>
      <c r="H333" s="81">
        <f>P8</f>
        <v>12.239999999999998</v>
      </c>
      <c r="I333" s="22">
        <f t="shared" si="19"/>
        <v>0.77905151999999989</v>
      </c>
    </row>
    <row r="334" spans="1:9" x14ac:dyDescent="0.25">
      <c r="A334" s="115" t="s">
        <v>852</v>
      </c>
      <c r="B334" s="28">
        <v>6</v>
      </c>
      <c r="C334" s="28">
        <v>200</v>
      </c>
      <c r="D334" s="28">
        <v>110</v>
      </c>
      <c r="E334" s="33">
        <f t="shared" si="17"/>
        <v>310</v>
      </c>
      <c r="F334" s="28">
        <v>6.7999999999999996E-3</v>
      </c>
      <c r="G334" s="28">
        <f t="shared" si="18"/>
        <v>75.887999999999991</v>
      </c>
      <c r="H334" s="81">
        <f>P8</f>
        <v>12.239999999999998</v>
      </c>
      <c r="I334" s="22">
        <f t="shared" si="19"/>
        <v>0.92886911999999977</v>
      </c>
    </row>
    <row r="335" spans="1:9" x14ac:dyDescent="0.25">
      <c r="A335" s="115" t="s">
        <v>854</v>
      </c>
      <c r="B335" s="28">
        <v>6</v>
      </c>
      <c r="C335" s="28">
        <v>250</v>
      </c>
      <c r="D335" s="28">
        <v>110</v>
      </c>
      <c r="E335" s="33">
        <f t="shared" si="17"/>
        <v>360</v>
      </c>
      <c r="F335" s="28">
        <v>6.7999999999999996E-3</v>
      </c>
      <c r="G335" s="28">
        <f t="shared" si="18"/>
        <v>88.128</v>
      </c>
      <c r="H335" s="81">
        <f>P8</f>
        <v>12.239999999999998</v>
      </c>
      <c r="I335" s="22">
        <f t="shared" si="19"/>
        <v>1.0786867199999999</v>
      </c>
    </row>
    <row r="336" spans="1:9" x14ac:dyDescent="0.25">
      <c r="A336" s="115" t="s">
        <v>856</v>
      </c>
      <c r="B336" s="28">
        <v>6</v>
      </c>
      <c r="C336" s="28">
        <v>300</v>
      </c>
      <c r="D336" s="28">
        <v>110</v>
      </c>
      <c r="E336" s="33">
        <f t="shared" si="17"/>
        <v>410</v>
      </c>
      <c r="F336" s="28">
        <v>6.7999999999999996E-3</v>
      </c>
      <c r="G336" s="28">
        <f t="shared" si="18"/>
        <v>100.36799999999999</v>
      </c>
      <c r="H336" s="81">
        <f>P8</f>
        <v>12.239999999999998</v>
      </c>
      <c r="I336" s="22">
        <f t="shared" si="19"/>
        <v>1.2285043199999999</v>
      </c>
    </row>
    <row r="337" spans="1:9" x14ac:dyDescent="0.25">
      <c r="A337" s="115" t="s">
        <v>858</v>
      </c>
      <c r="B337" s="28">
        <v>6</v>
      </c>
      <c r="C337" s="28">
        <v>350</v>
      </c>
      <c r="D337" s="28">
        <v>110</v>
      </c>
      <c r="E337" s="33">
        <f t="shared" si="17"/>
        <v>460</v>
      </c>
      <c r="F337" s="28">
        <v>6.7999999999999996E-3</v>
      </c>
      <c r="G337" s="28">
        <f t="shared" si="18"/>
        <v>112.60799999999999</v>
      </c>
      <c r="H337" s="81">
        <f>P8</f>
        <v>12.239999999999998</v>
      </c>
      <c r="I337" s="22">
        <f t="shared" si="19"/>
        <v>1.3783219199999996</v>
      </c>
    </row>
    <row r="338" spans="1:9" x14ac:dyDescent="0.25">
      <c r="A338" s="115" t="s">
        <v>860</v>
      </c>
      <c r="B338" s="28">
        <v>6</v>
      </c>
      <c r="C338" s="28">
        <v>400</v>
      </c>
      <c r="D338" s="28">
        <v>110</v>
      </c>
      <c r="E338" s="33">
        <f t="shared" si="17"/>
        <v>510</v>
      </c>
      <c r="F338" s="28">
        <v>6.7999999999999996E-3</v>
      </c>
      <c r="G338" s="28">
        <f t="shared" si="18"/>
        <v>124.848</v>
      </c>
      <c r="H338" s="81">
        <f>P9</f>
        <v>37.44</v>
      </c>
      <c r="I338" s="22">
        <f t="shared" si="19"/>
        <v>4.6743091200000002</v>
      </c>
    </row>
    <row r="339" spans="1:9" x14ac:dyDescent="0.25">
      <c r="A339" s="115" t="s">
        <v>862</v>
      </c>
      <c r="B339" s="28">
        <v>8</v>
      </c>
      <c r="C339" s="28">
        <v>125</v>
      </c>
      <c r="D339" s="28">
        <v>125</v>
      </c>
      <c r="E339" s="33">
        <f t="shared" si="17"/>
        <v>250</v>
      </c>
      <c r="F339" s="28">
        <v>6.7999999999999996E-3</v>
      </c>
      <c r="G339" s="28">
        <f t="shared" si="18"/>
        <v>108.8</v>
      </c>
      <c r="H339" s="81">
        <f>P8</f>
        <v>12.239999999999998</v>
      </c>
      <c r="I339" s="22">
        <f t="shared" si="19"/>
        <v>1.3317119999999998</v>
      </c>
    </row>
    <row r="340" spans="1:9" x14ac:dyDescent="0.25">
      <c r="A340" s="115" t="s">
        <v>864</v>
      </c>
      <c r="B340" s="28">
        <v>8</v>
      </c>
      <c r="C340" s="28">
        <v>150</v>
      </c>
      <c r="D340" s="28">
        <v>125</v>
      </c>
      <c r="E340" s="33">
        <f t="shared" si="17"/>
        <v>275</v>
      </c>
      <c r="F340" s="28">
        <v>6.7999999999999996E-3</v>
      </c>
      <c r="G340" s="28">
        <f t="shared" si="18"/>
        <v>119.67999999999999</v>
      </c>
      <c r="H340" s="81">
        <f>P8</f>
        <v>12.239999999999998</v>
      </c>
      <c r="I340" s="22">
        <f t="shared" si="19"/>
        <v>1.4648831999999998</v>
      </c>
    </row>
    <row r="341" spans="1:9" x14ac:dyDescent="0.25">
      <c r="A341" s="115" t="s">
        <v>866</v>
      </c>
      <c r="B341" s="28">
        <v>8</v>
      </c>
      <c r="C341" s="28">
        <v>200</v>
      </c>
      <c r="D341" s="28">
        <v>125</v>
      </c>
      <c r="E341" s="33">
        <f t="shared" si="17"/>
        <v>325</v>
      </c>
      <c r="F341" s="28">
        <v>6.7999999999999996E-3</v>
      </c>
      <c r="G341" s="28">
        <f t="shared" si="18"/>
        <v>141.44</v>
      </c>
      <c r="H341" s="81">
        <f>P8</f>
        <v>12.239999999999998</v>
      </c>
      <c r="I341" s="22">
        <f t="shared" si="19"/>
        <v>1.7312255999999997</v>
      </c>
    </row>
    <row r="342" spans="1:9" x14ac:dyDescent="0.25">
      <c r="A342" s="115" t="s">
        <v>868</v>
      </c>
      <c r="B342" s="28">
        <v>8</v>
      </c>
      <c r="C342" s="28">
        <v>250</v>
      </c>
      <c r="D342" s="28">
        <v>125</v>
      </c>
      <c r="E342" s="33">
        <f t="shared" si="17"/>
        <v>375</v>
      </c>
      <c r="F342" s="28">
        <v>6.7999999999999996E-3</v>
      </c>
      <c r="G342" s="28">
        <f t="shared" si="18"/>
        <v>163.19999999999999</v>
      </c>
      <c r="H342" s="81">
        <f>P8</f>
        <v>12.239999999999998</v>
      </c>
      <c r="I342" s="22">
        <f t="shared" si="19"/>
        <v>1.9975679999999996</v>
      </c>
    </row>
    <row r="343" spans="1:9" x14ac:dyDescent="0.25">
      <c r="A343" s="115" t="s">
        <v>870</v>
      </c>
      <c r="B343" s="28">
        <v>8</v>
      </c>
      <c r="C343" s="28">
        <v>300</v>
      </c>
      <c r="D343" s="28">
        <v>125</v>
      </c>
      <c r="E343" s="33">
        <f t="shared" si="17"/>
        <v>425</v>
      </c>
      <c r="F343" s="28">
        <v>6.7999999999999996E-3</v>
      </c>
      <c r="G343" s="28">
        <f t="shared" si="18"/>
        <v>184.95999999999998</v>
      </c>
      <c r="H343" s="81">
        <f>P8</f>
        <v>12.239999999999998</v>
      </c>
      <c r="I343" s="22">
        <f t="shared" si="19"/>
        <v>2.2639103999999994</v>
      </c>
    </row>
    <row r="344" spans="1:9" x14ac:dyDescent="0.25">
      <c r="A344" s="115" t="s">
        <v>872</v>
      </c>
      <c r="B344" s="28">
        <v>8</v>
      </c>
      <c r="C344" s="28">
        <v>350</v>
      </c>
      <c r="D344" s="28">
        <v>125</v>
      </c>
      <c r="E344" s="33">
        <f t="shared" si="17"/>
        <v>475</v>
      </c>
      <c r="F344" s="28">
        <v>6.7999999999999996E-3</v>
      </c>
      <c r="G344" s="28">
        <f t="shared" si="18"/>
        <v>206.72</v>
      </c>
      <c r="H344" s="81">
        <f>P8</f>
        <v>12.239999999999998</v>
      </c>
      <c r="I344" s="22">
        <f t="shared" si="19"/>
        <v>2.5302528</v>
      </c>
    </row>
    <row r="345" spans="1:9" x14ac:dyDescent="0.25">
      <c r="A345" s="115" t="s">
        <v>874</v>
      </c>
      <c r="B345" s="28">
        <v>8</v>
      </c>
      <c r="C345" s="28">
        <v>400</v>
      </c>
      <c r="D345" s="28">
        <v>125</v>
      </c>
      <c r="E345" s="33">
        <f t="shared" si="17"/>
        <v>525</v>
      </c>
      <c r="F345" s="28">
        <v>6.7999999999999996E-3</v>
      </c>
      <c r="G345" s="28">
        <f t="shared" si="18"/>
        <v>228.48</v>
      </c>
      <c r="H345" s="81">
        <f>P9</f>
        <v>37.44</v>
      </c>
      <c r="I345" s="22">
        <f t="shared" si="19"/>
        <v>8.5542911999999998</v>
      </c>
    </row>
    <row r="346" spans="1:9" x14ac:dyDescent="0.25">
      <c r="A346" s="115" t="s">
        <v>876</v>
      </c>
      <c r="B346" s="28">
        <v>8</v>
      </c>
      <c r="C346" s="28">
        <v>450</v>
      </c>
      <c r="D346" s="28">
        <v>125</v>
      </c>
      <c r="E346" s="33">
        <f t="shared" si="17"/>
        <v>575</v>
      </c>
      <c r="F346" s="28">
        <v>6.7999999999999996E-3</v>
      </c>
      <c r="G346" s="28">
        <f t="shared" si="18"/>
        <v>250.23999999999998</v>
      </c>
      <c r="H346" s="81">
        <f>P9</f>
        <v>37.44</v>
      </c>
      <c r="I346" s="22">
        <f t="shared" si="19"/>
        <v>9.3689855999999985</v>
      </c>
    </row>
    <row r="347" spans="1:9" x14ac:dyDescent="0.25">
      <c r="A347" s="115" t="s">
        <v>878</v>
      </c>
      <c r="B347" s="28">
        <v>8</v>
      </c>
      <c r="C347" s="28">
        <v>500</v>
      </c>
      <c r="D347" s="28">
        <v>125</v>
      </c>
      <c r="E347" s="33">
        <f t="shared" si="17"/>
        <v>625</v>
      </c>
      <c r="F347" s="28">
        <v>6.7999999999999996E-3</v>
      </c>
      <c r="G347" s="28">
        <f t="shared" si="18"/>
        <v>272</v>
      </c>
      <c r="H347" s="81">
        <f>P9</f>
        <v>37.44</v>
      </c>
      <c r="I347" s="22">
        <f t="shared" si="19"/>
        <v>10.183680000000001</v>
      </c>
    </row>
    <row r="348" spans="1:9" x14ac:dyDescent="0.25">
      <c r="A348" s="115" t="s">
        <v>1064</v>
      </c>
      <c r="B348" s="28">
        <v>5</v>
      </c>
      <c r="C348" s="28">
        <v>75</v>
      </c>
      <c r="D348" s="28">
        <v>90</v>
      </c>
      <c r="E348" s="33">
        <f t="shared" si="17"/>
        <v>165</v>
      </c>
      <c r="F348" s="28">
        <v>6.7999999999999996E-3</v>
      </c>
      <c r="G348" s="28">
        <f>B348*B348*E348*F348</f>
        <v>28.049999999999997</v>
      </c>
      <c r="H348" s="81">
        <f>P8</f>
        <v>12.239999999999998</v>
      </c>
      <c r="I348" s="22">
        <f>G348*H348/1000</f>
        <v>0.34333199999999992</v>
      </c>
    </row>
    <row r="349" spans="1:9" x14ac:dyDescent="0.25">
      <c r="A349" s="115" t="s">
        <v>1065</v>
      </c>
      <c r="B349" s="28">
        <v>5</v>
      </c>
      <c r="C349" s="28">
        <v>100</v>
      </c>
      <c r="D349" s="28">
        <v>90</v>
      </c>
      <c r="E349" s="33">
        <f t="shared" si="17"/>
        <v>190</v>
      </c>
      <c r="F349" s="28">
        <v>6.7999999999999996E-3</v>
      </c>
      <c r="G349" s="28">
        <f t="shared" ref="G349:G370" si="20">B349*B349*E349*F349</f>
        <v>32.299999999999997</v>
      </c>
      <c r="H349" s="81">
        <f>P8</f>
        <v>12.239999999999998</v>
      </c>
      <c r="I349" s="22">
        <f t="shared" ref="I349:I370" si="21">G349*H349/1000</f>
        <v>0.39535199999999993</v>
      </c>
    </row>
    <row r="350" spans="1:9" x14ac:dyDescent="0.25">
      <c r="A350" s="115" t="s">
        <v>1066</v>
      </c>
      <c r="B350" s="28">
        <v>5</v>
      </c>
      <c r="C350" s="28">
        <v>150</v>
      </c>
      <c r="D350" s="28">
        <v>90</v>
      </c>
      <c r="E350" s="33">
        <f t="shared" si="17"/>
        <v>240</v>
      </c>
      <c r="F350" s="28">
        <v>6.7999999999999996E-3</v>
      </c>
      <c r="G350" s="28">
        <f t="shared" si="20"/>
        <v>40.799999999999997</v>
      </c>
      <c r="H350" s="81">
        <f>P8</f>
        <v>12.239999999999998</v>
      </c>
      <c r="I350" s="22">
        <f t="shared" si="21"/>
        <v>0.49939199999999989</v>
      </c>
    </row>
    <row r="351" spans="1:9" x14ac:dyDescent="0.25">
      <c r="A351" s="115" t="s">
        <v>1067</v>
      </c>
      <c r="B351" s="28">
        <v>5</v>
      </c>
      <c r="C351" s="28">
        <v>200</v>
      </c>
      <c r="D351" s="28">
        <v>90</v>
      </c>
      <c r="E351" s="33">
        <f t="shared" si="17"/>
        <v>290</v>
      </c>
      <c r="F351" s="28">
        <v>6.7999999999999996E-3</v>
      </c>
      <c r="G351" s="28">
        <f t="shared" si="20"/>
        <v>49.3</v>
      </c>
      <c r="H351" s="81">
        <f>P8</f>
        <v>12.239999999999998</v>
      </c>
      <c r="I351" s="22">
        <f t="shared" si="21"/>
        <v>0.60343199999999986</v>
      </c>
    </row>
    <row r="352" spans="1:9" x14ac:dyDescent="0.25">
      <c r="A352" s="115" t="s">
        <v>1068</v>
      </c>
      <c r="B352" s="28">
        <v>5</v>
      </c>
      <c r="C352" s="28">
        <v>250</v>
      </c>
      <c r="D352" s="28">
        <v>90</v>
      </c>
      <c r="E352" s="33">
        <f t="shared" si="17"/>
        <v>340</v>
      </c>
      <c r="F352" s="28">
        <v>6.7999999999999996E-3</v>
      </c>
      <c r="G352" s="28">
        <f t="shared" si="20"/>
        <v>57.8</v>
      </c>
      <c r="H352" s="81">
        <f>P8</f>
        <v>12.239999999999998</v>
      </c>
      <c r="I352" s="22">
        <f t="shared" si="21"/>
        <v>0.70747199999999988</v>
      </c>
    </row>
    <row r="353" spans="1:9" x14ac:dyDescent="0.25">
      <c r="A353" s="115" t="s">
        <v>1069</v>
      </c>
      <c r="B353" s="28">
        <v>5</v>
      </c>
      <c r="C353" s="28">
        <v>300</v>
      </c>
      <c r="D353" s="28">
        <v>90</v>
      </c>
      <c r="E353" s="33">
        <f t="shared" si="17"/>
        <v>390</v>
      </c>
      <c r="F353" s="28">
        <v>6.7999999999999996E-3</v>
      </c>
      <c r="G353" s="28">
        <f t="shared" si="20"/>
        <v>66.3</v>
      </c>
      <c r="H353" s="81">
        <f>P8</f>
        <v>12.239999999999998</v>
      </c>
      <c r="I353" s="22">
        <f t="shared" si="21"/>
        <v>0.81151199999999979</v>
      </c>
    </row>
    <row r="354" spans="1:9" x14ac:dyDescent="0.25">
      <c r="A354" s="115" t="s">
        <v>1070</v>
      </c>
      <c r="B354" s="28">
        <v>6</v>
      </c>
      <c r="C354" s="28">
        <v>100</v>
      </c>
      <c r="D354" s="28">
        <v>110</v>
      </c>
      <c r="E354" s="33">
        <f t="shared" si="17"/>
        <v>210</v>
      </c>
      <c r="F354" s="28">
        <v>6.7999999999999996E-3</v>
      </c>
      <c r="G354" s="28">
        <f t="shared" si="20"/>
        <v>51.407999999999994</v>
      </c>
      <c r="H354" s="81">
        <f>P8</f>
        <v>12.239999999999998</v>
      </c>
      <c r="I354" s="22">
        <f t="shared" si="21"/>
        <v>0.62923391999999989</v>
      </c>
    </row>
    <row r="355" spans="1:9" x14ac:dyDescent="0.25">
      <c r="A355" s="115" t="s">
        <v>1071</v>
      </c>
      <c r="B355" s="28">
        <v>6</v>
      </c>
      <c r="C355" s="28">
        <v>125</v>
      </c>
      <c r="D355" s="28">
        <v>110</v>
      </c>
      <c r="E355" s="33">
        <f t="shared" si="17"/>
        <v>235</v>
      </c>
      <c r="F355" s="28">
        <v>6.7999999999999996E-3</v>
      </c>
      <c r="G355" s="28">
        <f t="shared" si="20"/>
        <v>57.527999999999999</v>
      </c>
      <c r="H355" s="81">
        <f>P8</f>
        <v>12.239999999999998</v>
      </c>
      <c r="I355" s="22">
        <f t="shared" si="21"/>
        <v>0.70414271999999989</v>
      </c>
    </row>
    <row r="356" spans="1:9" x14ac:dyDescent="0.25">
      <c r="A356" s="115" t="s">
        <v>1072</v>
      </c>
      <c r="B356" s="28">
        <v>6</v>
      </c>
      <c r="C356" s="28">
        <v>150</v>
      </c>
      <c r="D356" s="28">
        <v>110</v>
      </c>
      <c r="E356" s="33">
        <f t="shared" si="17"/>
        <v>260</v>
      </c>
      <c r="F356" s="28">
        <v>6.7999999999999996E-3</v>
      </c>
      <c r="G356" s="28">
        <f t="shared" si="20"/>
        <v>63.647999999999996</v>
      </c>
      <c r="H356" s="81">
        <f>P8</f>
        <v>12.239999999999998</v>
      </c>
      <c r="I356" s="22">
        <f t="shared" si="21"/>
        <v>0.77905151999999989</v>
      </c>
    </row>
    <row r="357" spans="1:9" x14ac:dyDescent="0.25">
      <c r="A357" s="115" t="s">
        <v>1073</v>
      </c>
      <c r="B357" s="28">
        <v>6</v>
      </c>
      <c r="C357" s="28">
        <v>200</v>
      </c>
      <c r="D357" s="28">
        <v>110</v>
      </c>
      <c r="E357" s="33">
        <f t="shared" si="17"/>
        <v>310</v>
      </c>
      <c r="F357" s="28">
        <v>6.7999999999999996E-3</v>
      </c>
      <c r="G357" s="28">
        <f t="shared" si="20"/>
        <v>75.887999999999991</v>
      </c>
      <c r="H357" s="81">
        <f>P8</f>
        <v>12.239999999999998</v>
      </c>
      <c r="I357" s="22">
        <f t="shared" si="21"/>
        <v>0.92886911999999977</v>
      </c>
    </row>
    <row r="358" spans="1:9" x14ac:dyDescent="0.25">
      <c r="A358" s="115" t="s">
        <v>1074</v>
      </c>
      <c r="B358" s="28">
        <v>6</v>
      </c>
      <c r="C358" s="28">
        <v>250</v>
      </c>
      <c r="D358" s="28">
        <v>110</v>
      </c>
      <c r="E358" s="33">
        <f t="shared" si="17"/>
        <v>360</v>
      </c>
      <c r="F358" s="28">
        <v>6.7999999999999996E-3</v>
      </c>
      <c r="G358" s="28">
        <f t="shared" si="20"/>
        <v>88.128</v>
      </c>
      <c r="H358" s="81">
        <f>P8</f>
        <v>12.239999999999998</v>
      </c>
      <c r="I358" s="22">
        <f t="shared" si="21"/>
        <v>1.0786867199999999</v>
      </c>
    </row>
    <row r="359" spans="1:9" x14ac:dyDescent="0.25">
      <c r="A359" s="115" t="s">
        <v>1075</v>
      </c>
      <c r="B359" s="28">
        <v>6</v>
      </c>
      <c r="C359" s="28">
        <v>300</v>
      </c>
      <c r="D359" s="28">
        <v>110</v>
      </c>
      <c r="E359" s="33">
        <f t="shared" si="17"/>
        <v>410</v>
      </c>
      <c r="F359" s="28">
        <v>6.7999999999999996E-3</v>
      </c>
      <c r="G359" s="28">
        <f t="shared" si="20"/>
        <v>100.36799999999999</v>
      </c>
      <c r="H359" s="81">
        <f>P8</f>
        <v>12.239999999999998</v>
      </c>
      <c r="I359" s="22">
        <f t="shared" si="21"/>
        <v>1.2285043199999999</v>
      </c>
    </row>
    <row r="360" spans="1:9" x14ac:dyDescent="0.25">
      <c r="A360" s="115" t="s">
        <v>1076</v>
      </c>
      <c r="B360" s="28">
        <v>6</v>
      </c>
      <c r="C360" s="28">
        <v>350</v>
      </c>
      <c r="D360" s="28">
        <v>110</v>
      </c>
      <c r="E360" s="33">
        <f t="shared" si="17"/>
        <v>460</v>
      </c>
      <c r="F360" s="28">
        <v>6.7999999999999996E-3</v>
      </c>
      <c r="G360" s="28">
        <f t="shared" si="20"/>
        <v>112.60799999999999</v>
      </c>
      <c r="H360" s="81">
        <f>P8</f>
        <v>12.239999999999998</v>
      </c>
      <c r="I360" s="22">
        <f t="shared" si="21"/>
        <v>1.3783219199999996</v>
      </c>
    </row>
    <row r="361" spans="1:9" x14ac:dyDescent="0.25">
      <c r="A361" s="115" t="s">
        <v>1077</v>
      </c>
      <c r="B361" s="28">
        <v>6</v>
      </c>
      <c r="C361" s="28">
        <v>400</v>
      </c>
      <c r="D361" s="28">
        <v>110</v>
      </c>
      <c r="E361" s="33">
        <f t="shared" si="17"/>
        <v>510</v>
      </c>
      <c r="F361" s="28">
        <v>6.7999999999999996E-3</v>
      </c>
      <c r="G361" s="28">
        <f t="shared" si="20"/>
        <v>124.848</v>
      </c>
      <c r="H361" s="81">
        <f>P8</f>
        <v>12.239999999999998</v>
      </c>
      <c r="I361" s="22">
        <f t="shared" si="21"/>
        <v>1.5281395199999996</v>
      </c>
    </row>
    <row r="362" spans="1:9" x14ac:dyDescent="0.25">
      <c r="A362" s="115" t="s">
        <v>1078</v>
      </c>
      <c r="B362" s="28">
        <v>8</v>
      </c>
      <c r="C362" s="28">
        <v>125</v>
      </c>
      <c r="D362" s="28">
        <v>125</v>
      </c>
      <c r="E362" s="33">
        <f t="shared" si="17"/>
        <v>250</v>
      </c>
      <c r="F362" s="28">
        <v>6.7999999999999996E-3</v>
      </c>
      <c r="G362" s="28">
        <f t="shared" si="20"/>
        <v>108.8</v>
      </c>
      <c r="H362" s="81">
        <f>P8</f>
        <v>12.239999999999998</v>
      </c>
      <c r="I362" s="22">
        <f t="shared" si="21"/>
        <v>1.3317119999999998</v>
      </c>
    </row>
    <row r="363" spans="1:9" x14ac:dyDescent="0.25">
      <c r="A363" s="115" t="s">
        <v>1079</v>
      </c>
      <c r="B363" s="28">
        <v>8</v>
      </c>
      <c r="C363" s="28">
        <v>150</v>
      </c>
      <c r="D363" s="28">
        <v>125</v>
      </c>
      <c r="E363" s="33">
        <f t="shared" si="17"/>
        <v>275</v>
      </c>
      <c r="F363" s="28">
        <v>6.7999999999999996E-3</v>
      </c>
      <c r="G363" s="28">
        <f t="shared" si="20"/>
        <v>119.67999999999999</v>
      </c>
      <c r="H363" s="81">
        <f>P8</f>
        <v>12.239999999999998</v>
      </c>
      <c r="I363" s="22">
        <f t="shared" si="21"/>
        <v>1.4648831999999998</v>
      </c>
    </row>
    <row r="364" spans="1:9" x14ac:dyDescent="0.25">
      <c r="A364" s="115" t="s">
        <v>1080</v>
      </c>
      <c r="B364" s="28">
        <v>8</v>
      </c>
      <c r="C364" s="28">
        <v>200</v>
      </c>
      <c r="D364" s="28">
        <v>125</v>
      </c>
      <c r="E364" s="33">
        <f t="shared" si="17"/>
        <v>325</v>
      </c>
      <c r="F364" s="28">
        <v>6.7999999999999996E-3</v>
      </c>
      <c r="G364" s="28">
        <f t="shared" si="20"/>
        <v>141.44</v>
      </c>
      <c r="H364" s="81">
        <f>P8</f>
        <v>12.239999999999998</v>
      </c>
      <c r="I364" s="22">
        <f t="shared" si="21"/>
        <v>1.7312255999999997</v>
      </c>
    </row>
    <row r="365" spans="1:9" x14ac:dyDescent="0.25">
      <c r="A365" s="115" t="s">
        <v>1081</v>
      </c>
      <c r="B365" s="28">
        <v>8</v>
      </c>
      <c r="C365" s="28">
        <v>250</v>
      </c>
      <c r="D365" s="28">
        <v>125</v>
      </c>
      <c r="E365" s="33">
        <f t="shared" si="17"/>
        <v>375</v>
      </c>
      <c r="F365" s="28">
        <v>6.7999999999999996E-3</v>
      </c>
      <c r="G365" s="28">
        <f t="shared" si="20"/>
        <v>163.19999999999999</v>
      </c>
      <c r="H365" s="81">
        <f>P8</f>
        <v>12.239999999999998</v>
      </c>
      <c r="I365" s="22">
        <f t="shared" si="21"/>
        <v>1.9975679999999996</v>
      </c>
    </row>
    <row r="366" spans="1:9" x14ac:dyDescent="0.25">
      <c r="A366" s="115" t="s">
        <v>1082</v>
      </c>
      <c r="B366" s="28">
        <v>8</v>
      </c>
      <c r="C366" s="28">
        <v>300</v>
      </c>
      <c r="D366" s="28">
        <v>125</v>
      </c>
      <c r="E366" s="33">
        <f t="shared" si="17"/>
        <v>425</v>
      </c>
      <c r="F366" s="28">
        <v>6.7999999999999996E-3</v>
      </c>
      <c r="G366" s="28">
        <f t="shared" si="20"/>
        <v>184.95999999999998</v>
      </c>
      <c r="H366" s="81">
        <f>P8</f>
        <v>12.239999999999998</v>
      </c>
      <c r="I366" s="22">
        <f t="shared" si="21"/>
        <v>2.2639103999999994</v>
      </c>
    </row>
    <row r="367" spans="1:9" x14ac:dyDescent="0.25">
      <c r="A367" s="115" t="s">
        <v>1083</v>
      </c>
      <c r="B367" s="28">
        <v>8</v>
      </c>
      <c r="C367" s="28">
        <v>350</v>
      </c>
      <c r="D367" s="28">
        <v>125</v>
      </c>
      <c r="E367" s="33">
        <f t="shared" si="17"/>
        <v>475</v>
      </c>
      <c r="F367" s="28">
        <v>6.7999999999999996E-3</v>
      </c>
      <c r="G367" s="28">
        <f t="shared" si="20"/>
        <v>206.72</v>
      </c>
      <c r="H367" s="81">
        <f>P8</f>
        <v>12.239999999999998</v>
      </c>
      <c r="I367" s="22">
        <f t="shared" si="21"/>
        <v>2.5302528</v>
      </c>
    </row>
    <row r="368" spans="1:9" x14ac:dyDescent="0.25">
      <c r="A368" s="115" t="s">
        <v>1084</v>
      </c>
      <c r="B368" s="28">
        <v>8</v>
      </c>
      <c r="C368" s="28">
        <v>400</v>
      </c>
      <c r="D368" s="28">
        <v>125</v>
      </c>
      <c r="E368" s="33">
        <f t="shared" si="17"/>
        <v>525</v>
      </c>
      <c r="F368" s="28">
        <v>6.7999999999999996E-3</v>
      </c>
      <c r="G368" s="28">
        <f t="shared" si="20"/>
        <v>228.48</v>
      </c>
      <c r="H368" s="81">
        <f>P9</f>
        <v>37.44</v>
      </c>
      <c r="I368" s="22">
        <f t="shared" si="21"/>
        <v>8.5542911999999998</v>
      </c>
    </row>
    <row r="369" spans="1:9" x14ac:dyDescent="0.25">
      <c r="A369" s="115" t="s">
        <v>1085</v>
      </c>
      <c r="B369" s="28">
        <v>8</v>
      </c>
      <c r="C369" s="28">
        <v>450</v>
      </c>
      <c r="D369" s="28">
        <v>125</v>
      </c>
      <c r="E369" s="33">
        <f t="shared" si="17"/>
        <v>575</v>
      </c>
      <c r="F369" s="28">
        <v>6.7999999999999996E-3</v>
      </c>
      <c r="G369" s="28">
        <f t="shared" si="20"/>
        <v>250.23999999999998</v>
      </c>
      <c r="H369" s="81">
        <f>P9</f>
        <v>37.44</v>
      </c>
      <c r="I369" s="22">
        <f t="shared" si="21"/>
        <v>9.3689855999999985</v>
      </c>
    </row>
    <row r="370" spans="1:9" x14ac:dyDescent="0.25">
      <c r="A370" s="115" t="s">
        <v>1086</v>
      </c>
      <c r="B370" s="28">
        <v>8</v>
      </c>
      <c r="C370" s="28">
        <v>500</v>
      </c>
      <c r="D370" s="28">
        <v>125</v>
      </c>
      <c r="E370" s="33">
        <f t="shared" si="17"/>
        <v>625</v>
      </c>
      <c r="F370" s="28">
        <v>6.7999999999999996E-3</v>
      </c>
      <c r="G370" s="28">
        <f t="shared" si="20"/>
        <v>272</v>
      </c>
      <c r="H370" s="81">
        <f>P9</f>
        <v>37.44</v>
      </c>
      <c r="I370" s="22">
        <f t="shared" si="21"/>
        <v>10.183680000000001</v>
      </c>
    </row>
    <row r="371" spans="1:9" x14ac:dyDescent="0.25">
      <c r="A371" s="115" t="s">
        <v>880</v>
      </c>
      <c r="B371" s="28">
        <v>4</v>
      </c>
      <c r="C371" s="28">
        <v>75</v>
      </c>
      <c r="D371" s="28">
        <v>98</v>
      </c>
      <c r="E371" s="33">
        <f t="shared" si="17"/>
        <v>173</v>
      </c>
      <c r="F371" s="28">
        <v>6.7999999999999996E-3</v>
      </c>
      <c r="G371" s="28">
        <f t="shared" si="18"/>
        <v>18.822399999999998</v>
      </c>
      <c r="H371" s="81">
        <f>P8</f>
        <v>12.239999999999998</v>
      </c>
      <c r="I371" s="22">
        <f t="shared" si="19"/>
        <v>0.23038617599999994</v>
      </c>
    </row>
    <row r="372" spans="1:9" x14ac:dyDescent="0.25">
      <c r="A372" s="115" t="s">
        <v>882</v>
      </c>
      <c r="B372" s="28">
        <v>4</v>
      </c>
      <c r="C372" s="28">
        <v>100</v>
      </c>
      <c r="D372" s="28">
        <v>98</v>
      </c>
      <c r="E372" s="33">
        <f t="shared" si="17"/>
        <v>198</v>
      </c>
      <c r="F372" s="28">
        <v>6.7999999999999996E-3</v>
      </c>
      <c r="G372" s="28">
        <f t="shared" si="18"/>
        <v>21.542399999999997</v>
      </c>
      <c r="H372" s="81">
        <f>P8</f>
        <v>12.239999999999998</v>
      </c>
      <c r="I372" s="22">
        <f t="shared" si="19"/>
        <v>0.2636789759999999</v>
      </c>
    </row>
    <row r="373" spans="1:9" x14ac:dyDescent="0.25">
      <c r="A373" s="115" t="s">
        <v>884</v>
      </c>
      <c r="B373" s="28">
        <v>5</v>
      </c>
      <c r="C373" s="28">
        <v>100</v>
      </c>
      <c r="D373" s="28">
        <v>98</v>
      </c>
      <c r="E373" s="33">
        <f t="shared" si="17"/>
        <v>198</v>
      </c>
      <c r="F373" s="28">
        <v>6.7999999999999996E-3</v>
      </c>
      <c r="G373" s="28">
        <f t="shared" si="18"/>
        <v>33.659999999999997</v>
      </c>
      <c r="H373" s="81">
        <f>P8</f>
        <v>12.239999999999998</v>
      </c>
      <c r="I373" s="22">
        <f t="shared" si="19"/>
        <v>0.41199839999999988</v>
      </c>
    </row>
    <row r="374" spans="1:9" x14ac:dyDescent="0.25">
      <c r="A374" s="115" t="s">
        <v>886</v>
      </c>
      <c r="B374" s="28">
        <v>5</v>
      </c>
      <c r="C374" s="28">
        <v>125</v>
      </c>
      <c r="D374" s="28">
        <v>98</v>
      </c>
      <c r="E374" s="33">
        <f t="shared" si="17"/>
        <v>223</v>
      </c>
      <c r="F374" s="28">
        <v>6.7999999999999996E-3</v>
      </c>
      <c r="G374" s="28">
        <f t="shared" si="18"/>
        <v>37.909999999999997</v>
      </c>
      <c r="H374" s="81">
        <f>P8</f>
        <v>12.239999999999998</v>
      </c>
      <c r="I374" s="22">
        <f t="shared" si="19"/>
        <v>0.46401839999999989</v>
      </c>
    </row>
    <row r="375" spans="1:9" x14ac:dyDescent="0.25">
      <c r="A375" s="115" t="s">
        <v>888</v>
      </c>
      <c r="B375" s="28">
        <v>5</v>
      </c>
      <c r="C375" s="28">
        <v>150</v>
      </c>
      <c r="D375" s="28">
        <v>98</v>
      </c>
      <c r="E375" s="33">
        <f t="shared" si="17"/>
        <v>248</v>
      </c>
      <c r="F375" s="28">
        <v>6.7999999999999996E-3</v>
      </c>
      <c r="G375" s="28">
        <f t="shared" si="18"/>
        <v>42.16</v>
      </c>
      <c r="H375" s="81">
        <f>P8</f>
        <v>12.239999999999998</v>
      </c>
      <c r="I375" s="22">
        <f t="shared" si="19"/>
        <v>0.5160383999999999</v>
      </c>
    </row>
    <row r="376" spans="1:9" x14ac:dyDescent="0.25">
      <c r="A376" s="115" t="s">
        <v>890</v>
      </c>
      <c r="B376" s="28">
        <v>5</v>
      </c>
      <c r="C376" s="28">
        <v>200</v>
      </c>
      <c r="D376" s="28">
        <v>98</v>
      </c>
      <c r="E376" s="33">
        <f t="shared" si="17"/>
        <v>298</v>
      </c>
      <c r="F376" s="28">
        <v>6.7999999999999996E-3</v>
      </c>
      <c r="G376" s="28">
        <f t="shared" si="18"/>
        <v>50.66</v>
      </c>
      <c r="H376" s="81">
        <f>P8</f>
        <v>12.239999999999998</v>
      </c>
      <c r="I376" s="22">
        <f t="shared" si="19"/>
        <v>0.62007839999999992</v>
      </c>
    </row>
    <row r="377" spans="1:9" x14ac:dyDescent="0.25">
      <c r="A377" s="115" t="s">
        <v>892</v>
      </c>
      <c r="B377" s="28">
        <v>5</v>
      </c>
      <c r="C377" s="28">
        <v>250</v>
      </c>
      <c r="D377" s="28">
        <v>98</v>
      </c>
      <c r="E377" s="33">
        <f t="shared" si="17"/>
        <v>348</v>
      </c>
      <c r="F377" s="28">
        <v>6.7999999999999996E-3</v>
      </c>
      <c r="G377" s="28">
        <f t="shared" si="18"/>
        <v>59.16</v>
      </c>
      <c r="H377" s="81">
        <f>P8</f>
        <v>12.239999999999998</v>
      </c>
      <c r="I377" s="22">
        <f t="shared" si="19"/>
        <v>0.72411839999999983</v>
      </c>
    </row>
    <row r="378" spans="1:9" x14ac:dyDescent="0.25">
      <c r="A378" s="115" t="s">
        <v>894</v>
      </c>
      <c r="B378" s="28">
        <v>5</v>
      </c>
      <c r="C378" s="28">
        <v>300</v>
      </c>
      <c r="D378" s="28">
        <v>98</v>
      </c>
      <c r="E378" s="33">
        <f t="shared" si="17"/>
        <v>398</v>
      </c>
      <c r="F378" s="28">
        <v>6.7999999999999996E-3</v>
      </c>
      <c r="G378" s="28">
        <f t="shared" si="18"/>
        <v>67.66</v>
      </c>
      <c r="H378" s="81">
        <f>P8</f>
        <v>12.239999999999998</v>
      </c>
      <c r="I378" s="22">
        <f t="shared" si="19"/>
        <v>0.82815839999999985</v>
      </c>
    </row>
    <row r="379" spans="1:9" x14ac:dyDescent="0.25">
      <c r="A379" s="115" t="s">
        <v>896</v>
      </c>
      <c r="B379" s="28">
        <v>6</v>
      </c>
      <c r="C379" s="28">
        <v>100</v>
      </c>
      <c r="D379" s="28">
        <v>119</v>
      </c>
      <c r="E379" s="33">
        <f t="shared" si="17"/>
        <v>219</v>
      </c>
      <c r="F379" s="28">
        <v>6.7999999999999996E-3</v>
      </c>
      <c r="G379" s="28">
        <f t="shared" si="18"/>
        <v>53.611199999999997</v>
      </c>
      <c r="H379" s="81">
        <f>P8</f>
        <v>12.239999999999998</v>
      </c>
      <c r="I379" s="22">
        <f t="shared" si="19"/>
        <v>0.65620108799999988</v>
      </c>
    </row>
    <row r="380" spans="1:9" x14ac:dyDescent="0.25">
      <c r="A380" s="115" t="s">
        <v>898</v>
      </c>
      <c r="B380" s="28">
        <v>6</v>
      </c>
      <c r="C380" s="28">
        <v>125</v>
      </c>
      <c r="D380" s="28">
        <v>119</v>
      </c>
      <c r="E380" s="33">
        <f t="shared" si="17"/>
        <v>244</v>
      </c>
      <c r="F380" s="28">
        <v>6.7999999999999996E-3</v>
      </c>
      <c r="G380" s="28">
        <f t="shared" si="18"/>
        <v>59.731199999999994</v>
      </c>
      <c r="H380" s="81">
        <f>P8</f>
        <v>12.239999999999998</v>
      </c>
      <c r="I380" s="22">
        <f t="shared" si="19"/>
        <v>0.73110988799999987</v>
      </c>
    </row>
    <row r="381" spans="1:9" x14ac:dyDescent="0.25">
      <c r="A381" s="115" t="s">
        <v>900</v>
      </c>
      <c r="B381" s="28">
        <v>6</v>
      </c>
      <c r="C381" s="28">
        <v>150</v>
      </c>
      <c r="D381" s="28">
        <v>119</v>
      </c>
      <c r="E381" s="33">
        <f t="shared" si="17"/>
        <v>269</v>
      </c>
      <c r="F381" s="28">
        <v>6.7999999999999996E-3</v>
      </c>
      <c r="G381" s="28">
        <f t="shared" si="18"/>
        <v>65.851199999999992</v>
      </c>
      <c r="H381" s="81">
        <f>P8</f>
        <v>12.239999999999998</v>
      </c>
      <c r="I381" s="22">
        <f t="shared" si="19"/>
        <v>0.80601868799999976</v>
      </c>
    </row>
    <row r="382" spans="1:9" x14ac:dyDescent="0.25">
      <c r="A382" s="115" t="s">
        <v>902</v>
      </c>
      <c r="B382" s="28">
        <v>6</v>
      </c>
      <c r="C382" s="28">
        <v>200</v>
      </c>
      <c r="D382" s="28">
        <v>119</v>
      </c>
      <c r="E382" s="33">
        <f t="shared" si="17"/>
        <v>319</v>
      </c>
      <c r="F382" s="28">
        <v>6.7999999999999996E-3</v>
      </c>
      <c r="G382" s="28">
        <f t="shared" si="18"/>
        <v>78.091200000000001</v>
      </c>
      <c r="H382" s="81">
        <f>P8</f>
        <v>12.239999999999998</v>
      </c>
      <c r="I382" s="22">
        <f t="shared" si="19"/>
        <v>0.95583628799999987</v>
      </c>
    </row>
    <row r="383" spans="1:9" x14ac:dyDescent="0.25">
      <c r="A383" s="115" t="s">
        <v>904</v>
      </c>
      <c r="B383" s="28">
        <v>6</v>
      </c>
      <c r="C383" s="28">
        <v>250</v>
      </c>
      <c r="D383" s="28">
        <v>119</v>
      </c>
      <c r="E383" s="33">
        <f t="shared" si="17"/>
        <v>369</v>
      </c>
      <c r="F383" s="28">
        <v>6.7999999999999996E-3</v>
      </c>
      <c r="G383" s="28">
        <f t="shared" si="18"/>
        <v>90.331199999999995</v>
      </c>
      <c r="H383" s="81">
        <f>P8</f>
        <v>12.239999999999998</v>
      </c>
      <c r="I383" s="22">
        <f t="shared" si="19"/>
        <v>1.1056538879999998</v>
      </c>
    </row>
    <row r="384" spans="1:9" x14ac:dyDescent="0.25">
      <c r="A384" s="115" t="s">
        <v>906</v>
      </c>
      <c r="B384" s="28">
        <v>6</v>
      </c>
      <c r="C384" s="28">
        <v>300</v>
      </c>
      <c r="D384" s="28">
        <v>119</v>
      </c>
      <c r="E384" s="33">
        <f t="shared" si="17"/>
        <v>419</v>
      </c>
      <c r="F384" s="28">
        <v>6.7999999999999996E-3</v>
      </c>
      <c r="G384" s="28">
        <f t="shared" si="18"/>
        <v>102.57119999999999</v>
      </c>
      <c r="H384" s="81">
        <f>P8</f>
        <v>12.239999999999998</v>
      </c>
      <c r="I384" s="22">
        <f t="shared" si="19"/>
        <v>1.2554714879999997</v>
      </c>
    </row>
    <row r="385" spans="1:9" x14ac:dyDescent="0.25">
      <c r="A385" s="115" t="s">
        <v>908</v>
      </c>
      <c r="B385" s="28">
        <v>6</v>
      </c>
      <c r="C385" s="28">
        <v>350</v>
      </c>
      <c r="D385" s="28">
        <v>119</v>
      </c>
      <c r="E385" s="33">
        <f t="shared" si="17"/>
        <v>469</v>
      </c>
      <c r="F385" s="28">
        <v>6.7999999999999996E-3</v>
      </c>
      <c r="G385" s="28">
        <f t="shared" si="18"/>
        <v>114.8112</v>
      </c>
      <c r="H385" s="81">
        <f>P8</f>
        <v>12.239999999999998</v>
      </c>
      <c r="I385" s="22">
        <f t="shared" si="19"/>
        <v>1.4052890879999997</v>
      </c>
    </row>
    <row r="386" spans="1:9" x14ac:dyDescent="0.25">
      <c r="A386" s="115" t="s">
        <v>910</v>
      </c>
      <c r="B386" s="28">
        <v>6</v>
      </c>
      <c r="C386" s="28">
        <v>400</v>
      </c>
      <c r="D386" s="28">
        <v>119</v>
      </c>
      <c r="E386" s="33">
        <f t="shared" si="17"/>
        <v>519</v>
      </c>
      <c r="F386" s="28">
        <v>6.7999999999999996E-3</v>
      </c>
      <c r="G386" s="28">
        <f t="shared" si="18"/>
        <v>127.05119999999999</v>
      </c>
      <c r="H386" s="81">
        <f>P9</f>
        <v>37.44</v>
      </c>
      <c r="I386" s="22">
        <f t="shared" si="19"/>
        <v>4.756796928</v>
      </c>
    </row>
    <row r="387" spans="1:9" x14ac:dyDescent="0.25">
      <c r="A387" s="115" t="s">
        <v>912</v>
      </c>
      <c r="B387" s="28">
        <v>7</v>
      </c>
      <c r="C387" s="28">
        <v>150</v>
      </c>
      <c r="D387" s="28">
        <v>134</v>
      </c>
      <c r="E387" s="33">
        <f t="shared" si="17"/>
        <v>284</v>
      </c>
      <c r="F387" s="28">
        <v>6.7999999999999996E-3</v>
      </c>
      <c r="G387" s="28">
        <f t="shared" si="18"/>
        <v>94.628799999999998</v>
      </c>
      <c r="H387" s="81">
        <f>P8</f>
        <v>12.239999999999998</v>
      </c>
      <c r="I387" s="22">
        <f t="shared" si="19"/>
        <v>1.1582565119999999</v>
      </c>
    </row>
    <row r="388" spans="1:9" x14ac:dyDescent="0.25">
      <c r="A388" s="115" t="s">
        <v>914</v>
      </c>
      <c r="B388" s="28">
        <v>7</v>
      </c>
      <c r="C388" s="28">
        <v>175</v>
      </c>
      <c r="D388" s="28">
        <v>134</v>
      </c>
      <c r="E388" s="33">
        <f t="shared" si="17"/>
        <v>309</v>
      </c>
      <c r="F388" s="28">
        <v>6.7999999999999996E-3</v>
      </c>
      <c r="G388" s="28">
        <f t="shared" si="18"/>
        <v>102.9588</v>
      </c>
      <c r="H388" s="81">
        <f>P8</f>
        <v>12.239999999999998</v>
      </c>
      <c r="I388" s="22">
        <f t="shared" si="19"/>
        <v>1.2602157119999997</v>
      </c>
    </row>
    <row r="389" spans="1:9" x14ac:dyDescent="0.25">
      <c r="A389" s="115" t="s">
        <v>916</v>
      </c>
      <c r="B389" s="28">
        <v>7</v>
      </c>
      <c r="C389" s="28">
        <v>200</v>
      </c>
      <c r="D389" s="28">
        <v>134</v>
      </c>
      <c r="E389" s="33">
        <f t="shared" si="17"/>
        <v>334</v>
      </c>
      <c r="F389" s="28">
        <v>6.7999999999999996E-3</v>
      </c>
      <c r="G389" s="28">
        <f t="shared" si="18"/>
        <v>111.28879999999999</v>
      </c>
      <c r="H389" s="81">
        <f>P8</f>
        <v>12.239999999999998</v>
      </c>
      <c r="I389" s="22">
        <f t="shared" si="19"/>
        <v>1.3621749119999997</v>
      </c>
    </row>
    <row r="390" spans="1:9" x14ac:dyDescent="0.25">
      <c r="A390" s="115" t="s">
        <v>918</v>
      </c>
      <c r="B390" s="28">
        <v>7</v>
      </c>
      <c r="C390" s="28">
        <v>250</v>
      </c>
      <c r="D390" s="28">
        <v>134</v>
      </c>
      <c r="E390" s="33">
        <f t="shared" si="17"/>
        <v>384</v>
      </c>
      <c r="F390" s="28">
        <v>6.7999999999999996E-3</v>
      </c>
      <c r="G390" s="28">
        <f t="shared" si="18"/>
        <v>127.94879999999999</v>
      </c>
      <c r="H390" s="81">
        <f>P8</f>
        <v>12.239999999999998</v>
      </c>
      <c r="I390" s="22">
        <f t="shared" si="19"/>
        <v>1.5660933119999998</v>
      </c>
    </row>
    <row r="391" spans="1:9" x14ac:dyDescent="0.25">
      <c r="A391" s="115" t="s">
        <v>920</v>
      </c>
      <c r="B391" s="28">
        <v>7</v>
      </c>
      <c r="C391" s="28">
        <v>300</v>
      </c>
      <c r="D391" s="28">
        <v>134</v>
      </c>
      <c r="E391" s="33">
        <f t="shared" si="17"/>
        <v>434</v>
      </c>
      <c r="F391" s="28">
        <v>6.7999999999999996E-3</v>
      </c>
      <c r="G391" s="28">
        <f t="shared" si="18"/>
        <v>144.6088</v>
      </c>
      <c r="H391" s="81">
        <f>P8</f>
        <v>12.239999999999998</v>
      </c>
      <c r="I391" s="22">
        <f t="shared" si="19"/>
        <v>1.7700117119999998</v>
      </c>
    </row>
    <row r="392" spans="1:9" x14ac:dyDescent="0.25">
      <c r="A392" s="115" t="s">
        <v>922</v>
      </c>
      <c r="B392" s="28">
        <v>7</v>
      </c>
      <c r="C392" s="28">
        <v>350</v>
      </c>
      <c r="D392" s="28">
        <v>134</v>
      </c>
      <c r="E392" s="33">
        <f t="shared" si="17"/>
        <v>484</v>
      </c>
      <c r="F392" s="28">
        <v>6.7999999999999996E-3</v>
      </c>
      <c r="G392" s="28">
        <f t="shared" si="18"/>
        <v>161.2688</v>
      </c>
      <c r="H392" s="81">
        <f>P8</f>
        <v>12.239999999999998</v>
      </c>
      <c r="I392" s="22">
        <f t="shared" si="19"/>
        <v>1.9739301119999997</v>
      </c>
    </row>
    <row r="393" spans="1:9" x14ac:dyDescent="0.25">
      <c r="A393" s="115" t="s">
        <v>924</v>
      </c>
      <c r="B393" s="28">
        <v>7</v>
      </c>
      <c r="C393" s="28">
        <v>400</v>
      </c>
      <c r="D393" s="28">
        <v>134</v>
      </c>
      <c r="E393" s="33">
        <f t="shared" si="17"/>
        <v>534</v>
      </c>
      <c r="F393" s="28">
        <v>6.7999999999999996E-3</v>
      </c>
      <c r="G393" s="28">
        <f t="shared" si="18"/>
        <v>177.9288</v>
      </c>
      <c r="H393" s="81">
        <f>P9</f>
        <v>37.44</v>
      </c>
      <c r="I393" s="22">
        <f t="shared" si="19"/>
        <v>6.6616542719999998</v>
      </c>
    </row>
    <row r="394" spans="1:9" x14ac:dyDescent="0.25">
      <c r="A394" s="115" t="s">
        <v>926</v>
      </c>
      <c r="B394" s="28">
        <v>7</v>
      </c>
      <c r="C394" s="28">
        <v>450</v>
      </c>
      <c r="D394" s="28">
        <v>134</v>
      </c>
      <c r="E394" s="33">
        <f t="shared" si="17"/>
        <v>584</v>
      </c>
      <c r="F394" s="28">
        <v>6.7999999999999996E-3</v>
      </c>
      <c r="G394" s="28">
        <f t="shared" si="18"/>
        <v>194.58879999999999</v>
      </c>
      <c r="H394" s="81">
        <f>P9</f>
        <v>37.44</v>
      </c>
      <c r="I394" s="22">
        <f t="shared" si="19"/>
        <v>7.2854046719999994</v>
      </c>
    </row>
    <row r="395" spans="1:9" x14ac:dyDescent="0.25">
      <c r="A395" s="115" t="s">
        <v>928</v>
      </c>
      <c r="B395" s="28">
        <v>7</v>
      </c>
      <c r="C395" s="28">
        <v>500</v>
      </c>
      <c r="D395" s="28">
        <v>134</v>
      </c>
      <c r="E395" s="33">
        <f t="shared" si="17"/>
        <v>634</v>
      </c>
      <c r="F395" s="28">
        <v>6.7999999999999996E-3</v>
      </c>
      <c r="G395" s="28">
        <f t="shared" si="18"/>
        <v>211.24879999999999</v>
      </c>
      <c r="H395" s="81">
        <f>P9</f>
        <v>37.44</v>
      </c>
      <c r="I395" s="22">
        <f t="shared" si="19"/>
        <v>7.909155071999999</v>
      </c>
    </row>
    <row r="396" spans="1:9" x14ac:dyDescent="0.25">
      <c r="A396" s="115" t="s">
        <v>930</v>
      </c>
      <c r="B396" s="28">
        <v>8</v>
      </c>
      <c r="C396" s="28">
        <v>175</v>
      </c>
      <c r="D396" s="28">
        <v>134</v>
      </c>
      <c r="E396" s="33">
        <f t="shared" si="17"/>
        <v>309</v>
      </c>
      <c r="F396" s="28">
        <v>6.7999999999999996E-3</v>
      </c>
      <c r="G396" s="28">
        <f t="shared" si="18"/>
        <v>134.4768</v>
      </c>
      <c r="H396" s="81">
        <f>P8</f>
        <v>12.239999999999998</v>
      </c>
      <c r="I396" s="22">
        <f t="shared" si="19"/>
        <v>1.6459960319999998</v>
      </c>
    </row>
    <row r="397" spans="1:9" x14ac:dyDescent="0.25">
      <c r="A397" s="115" t="s">
        <v>932</v>
      </c>
      <c r="B397" s="28">
        <v>8</v>
      </c>
      <c r="C397" s="28">
        <v>200</v>
      </c>
      <c r="D397" s="28">
        <v>134</v>
      </c>
      <c r="E397" s="33">
        <f t="shared" si="17"/>
        <v>334</v>
      </c>
      <c r="F397" s="28">
        <v>6.7999999999999996E-3</v>
      </c>
      <c r="G397" s="28">
        <f t="shared" si="18"/>
        <v>145.35679999999999</v>
      </c>
      <c r="H397" s="81">
        <f>P8</f>
        <v>12.239999999999998</v>
      </c>
      <c r="I397" s="22">
        <f t="shared" si="19"/>
        <v>1.7791672319999998</v>
      </c>
    </row>
    <row r="398" spans="1:9" x14ac:dyDescent="0.25">
      <c r="A398" s="115" t="s">
        <v>934</v>
      </c>
      <c r="B398" s="28">
        <v>8</v>
      </c>
      <c r="C398" s="28">
        <v>250</v>
      </c>
      <c r="D398" s="28">
        <v>134</v>
      </c>
      <c r="E398" s="33">
        <f t="shared" si="17"/>
        <v>384</v>
      </c>
      <c r="F398" s="28">
        <v>6.7999999999999996E-3</v>
      </c>
      <c r="G398" s="28">
        <f t="shared" si="18"/>
        <v>167.11679999999998</v>
      </c>
      <c r="H398" s="81">
        <f>P8</f>
        <v>12.239999999999998</v>
      </c>
      <c r="I398" s="22">
        <f t="shared" si="19"/>
        <v>2.0455096319999995</v>
      </c>
    </row>
    <row r="399" spans="1:9" x14ac:dyDescent="0.25">
      <c r="A399" s="115" t="s">
        <v>936</v>
      </c>
      <c r="B399" s="28">
        <v>8</v>
      </c>
      <c r="C399" s="28">
        <v>300</v>
      </c>
      <c r="D399" s="28">
        <v>134</v>
      </c>
      <c r="E399" s="33">
        <f t="shared" si="17"/>
        <v>434</v>
      </c>
      <c r="F399" s="28">
        <v>6.7999999999999996E-3</v>
      </c>
      <c r="G399" s="28">
        <f t="shared" si="18"/>
        <v>188.8768</v>
      </c>
      <c r="H399" s="81">
        <f>P8</f>
        <v>12.239999999999998</v>
      </c>
      <c r="I399" s="22">
        <f t="shared" si="19"/>
        <v>2.311852032</v>
      </c>
    </row>
    <row r="400" spans="1:9" x14ac:dyDescent="0.25">
      <c r="A400" s="115" t="s">
        <v>938</v>
      </c>
      <c r="B400" s="28">
        <v>8</v>
      </c>
      <c r="C400" s="28">
        <v>350</v>
      </c>
      <c r="D400" s="28">
        <v>134</v>
      </c>
      <c r="E400" s="33">
        <f t="shared" si="17"/>
        <v>484</v>
      </c>
      <c r="F400" s="28">
        <v>6.7999999999999996E-3</v>
      </c>
      <c r="G400" s="28">
        <f t="shared" si="18"/>
        <v>210.63679999999999</v>
      </c>
      <c r="H400" s="81">
        <f>P8</f>
        <v>12.239999999999998</v>
      </c>
      <c r="I400" s="22">
        <f t="shared" si="19"/>
        <v>2.5781944319999996</v>
      </c>
    </row>
    <row r="401" spans="1:9" x14ac:dyDescent="0.25">
      <c r="A401" s="115" t="s">
        <v>940</v>
      </c>
      <c r="B401" s="28">
        <v>8</v>
      </c>
      <c r="C401" s="28">
        <v>400</v>
      </c>
      <c r="D401" s="28">
        <v>134</v>
      </c>
      <c r="E401" s="33">
        <f t="shared" si="17"/>
        <v>534</v>
      </c>
      <c r="F401" s="28">
        <v>6.7999999999999996E-3</v>
      </c>
      <c r="G401" s="28">
        <f t="shared" si="18"/>
        <v>232.39679999999998</v>
      </c>
      <c r="H401" s="81">
        <f>P9</f>
        <v>37.44</v>
      </c>
      <c r="I401" s="22">
        <f t="shared" si="19"/>
        <v>8.7009361919999986</v>
      </c>
    </row>
    <row r="402" spans="1:9" x14ac:dyDescent="0.25">
      <c r="A402" s="115" t="s">
        <v>942</v>
      </c>
      <c r="B402" s="28">
        <v>8</v>
      </c>
      <c r="C402" s="28">
        <v>450</v>
      </c>
      <c r="D402" s="28">
        <v>134</v>
      </c>
      <c r="E402" s="33">
        <f t="shared" si="17"/>
        <v>584</v>
      </c>
      <c r="F402" s="28">
        <v>6.7999999999999996E-3</v>
      </c>
      <c r="G402" s="28">
        <f t="shared" si="18"/>
        <v>254.15679999999998</v>
      </c>
      <c r="H402" s="81">
        <f>P9</f>
        <v>37.44</v>
      </c>
      <c r="I402" s="22">
        <f t="shared" si="19"/>
        <v>9.5156305919999973</v>
      </c>
    </row>
    <row r="403" spans="1:9" x14ac:dyDescent="0.25">
      <c r="A403" s="115" t="s">
        <v>944</v>
      </c>
      <c r="B403" s="28">
        <v>8</v>
      </c>
      <c r="C403" s="28">
        <v>500</v>
      </c>
      <c r="D403" s="28">
        <v>134</v>
      </c>
      <c r="E403" s="33">
        <f t="shared" si="17"/>
        <v>634</v>
      </c>
      <c r="F403" s="28">
        <v>6.7999999999999996E-3</v>
      </c>
      <c r="G403" s="28">
        <f t="shared" si="18"/>
        <v>275.91679999999997</v>
      </c>
      <c r="H403" s="81">
        <f>P9</f>
        <v>37.44</v>
      </c>
      <c r="I403" s="22">
        <f t="shared" si="19"/>
        <v>10.330324991999998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04"/>
  <sheetViews>
    <sheetView workbookViewId="0">
      <selection activeCell="A324" sqref="A324:E404"/>
    </sheetView>
  </sheetViews>
  <sheetFormatPr defaultRowHeight="16.5" x14ac:dyDescent="0.25"/>
  <cols>
    <col min="1" max="1" width="15.625" customWidth="1"/>
    <col min="2" max="10" width="10.625" customWidth="1"/>
    <col min="11" max="15" width="10.625" style="2" customWidth="1"/>
    <col min="16" max="16" width="10.625" customWidth="1"/>
  </cols>
  <sheetData>
    <row r="1" spans="1:15" ht="21" x14ac:dyDescent="0.25">
      <c r="A1" s="25" t="s">
        <v>483</v>
      </c>
    </row>
    <row r="3" spans="1:15" x14ac:dyDescent="0.25">
      <c r="A3" s="23" t="s">
        <v>441</v>
      </c>
      <c r="B3" s="18" t="s">
        <v>478</v>
      </c>
      <c r="C3" s="2"/>
      <c r="D3" s="2"/>
      <c r="E3" s="2"/>
      <c r="F3" s="2"/>
      <c r="G3" s="2"/>
      <c r="H3" s="2"/>
      <c r="I3" s="2"/>
    </row>
    <row r="4" spans="1:15" x14ac:dyDescent="0.25">
      <c r="A4" s="23" t="s">
        <v>479</v>
      </c>
      <c r="B4" s="18" t="s">
        <v>771</v>
      </c>
      <c r="C4" s="2"/>
      <c r="D4" s="2"/>
      <c r="E4" s="2"/>
      <c r="F4" s="2"/>
      <c r="G4" s="2"/>
      <c r="H4" s="2"/>
      <c r="I4" s="2"/>
    </row>
    <row r="5" spans="1:15" x14ac:dyDescent="0.25">
      <c r="A5" s="23" t="s">
        <v>485</v>
      </c>
      <c r="B5" s="18" t="s">
        <v>484</v>
      </c>
      <c r="C5" s="2"/>
      <c r="D5" s="2"/>
      <c r="E5" s="2"/>
      <c r="F5" s="2"/>
      <c r="G5" s="2"/>
      <c r="H5" s="2"/>
      <c r="I5" s="2"/>
    </row>
    <row r="6" spans="1:15" x14ac:dyDescent="0.25">
      <c r="B6" s="2"/>
      <c r="C6" s="2"/>
      <c r="D6" s="2"/>
      <c r="E6" s="2"/>
      <c r="F6" s="2"/>
      <c r="G6" s="2"/>
      <c r="H6" s="2"/>
      <c r="I6" s="2"/>
    </row>
    <row r="7" spans="1:15" x14ac:dyDescent="0.25">
      <c r="A7" t="s">
        <v>0</v>
      </c>
      <c r="B7" s="2" t="s">
        <v>443</v>
      </c>
      <c r="C7" s="2" t="s">
        <v>452</v>
      </c>
      <c r="D7" s="2" t="s">
        <v>454</v>
      </c>
      <c r="E7" s="2" t="s">
        <v>645</v>
      </c>
      <c r="F7" s="2" t="s">
        <v>450</v>
      </c>
      <c r="G7" s="2" t="s">
        <v>481</v>
      </c>
      <c r="H7" s="19" t="s">
        <v>446</v>
      </c>
      <c r="I7" s="21" t="s">
        <v>448</v>
      </c>
      <c r="K7" s="2" t="s">
        <v>490</v>
      </c>
      <c r="L7" s="2" t="s">
        <v>442</v>
      </c>
      <c r="M7" s="2" t="s">
        <v>977</v>
      </c>
      <c r="N7" s="2" t="s">
        <v>529</v>
      </c>
      <c r="O7" s="19" t="s">
        <v>449</v>
      </c>
    </row>
    <row r="8" spans="1:15" x14ac:dyDescent="0.25">
      <c r="A8" t="s">
        <v>11</v>
      </c>
      <c r="B8" s="2">
        <v>3</v>
      </c>
      <c r="C8" s="2">
        <v>60</v>
      </c>
      <c r="D8" s="49">
        <v>60</v>
      </c>
      <c r="E8" s="2">
        <f>D8+C8</f>
        <v>120</v>
      </c>
      <c r="F8" s="2">
        <v>6.1700000000000001E-3</v>
      </c>
      <c r="G8" s="26">
        <f>B8*B8*E8*F8</f>
        <v>6.6635999999999997</v>
      </c>
      <c r="H8" s="29">
        <f>O8</f>
        <v>36.75</v>
      </c>
      <c r="I8" s="22">
        <f>G8*H8/1000</f>
        <v>0.24488729999999997</v>
      </c>
      <c r="K8" s="2" t="s">
        <v>530</v>
      </c>
      <c r="M8" s="2">
        <v>35</v>
      </c>
      <c r="N8" s="2">
        <v>1.05</v>
      </c>
      <c r="O8" s="35">
        <f>N8*M8</f>
        <v>36.75</v>
      </c>
    </row>
    <row r="9" spans="1:15" x14ac:dyDescent="0.25">
      <c r="A9" t="s">
        <v>13</v>
      </c>
      <c r="B9" s="2">
        <v>3</v>
      </c>
      <c r="C9" s="2">
        <v>80</v>
      </c>
      <c r="D9" s="49">
        <v>60</v>
      </c>
      <c r="E9" s="2">
        <f t="shared" ref="E9:E72" si="0">D9+C9</f>
        <v>140</v>
      </c>
      <c r="F9" s="2">
        <v>6.1700000000000001E-3</v>
      </c>
      <c r="G9" s="26">
        <f t="shared" ref="G9:G72" si="1">B9*B9*E9*F9</f>
        <v>7.7742000000000004</v>
      </c>
      <c r="H9" s="29">
        <f>O8</f>
        <v>36.75</v>
      </c>
      <c r="I9" s="22">
        <f>G9*H9/1000</f>
        <v>0.28570185000000003</v>
      </c>
      <c r="K9" s="2" t="s">
        <v>489</v>
      </c>
      <c r="L9" s="2" t="s">
        <v>531</v>
      </c>
      <c r="M9" s="2">
        <v>12</v>
      </c>
      <c r="N9" s="2">
        <v>1.05</v>
      </c>
      <c r="O9" s="35">
        <f t="shared" ref="O9:O16" si="2">N9*M9</f>
        <v>12.600000000000001</v>
      </c>
    </row>
    <row r="10" spans="1:15" x14ac:dyDescent="0.25">
      <c r="A10" t="s">
        <v>15</v>
      </c>
      <c r="B10" s="2">
        <v>3</v>
      </c>
      <c r="C10" s="2">
        <v>100</v>
      </c>
      <c r="D10" s="49">
        <v>60</v>
      </c>
      <c r="E10" s="2">
        <f t="shared" si="0"/>
        <v>160</v>
      </c>
      <c r="F10" s="2">
        <v>6.1700000000000001E-3</v>
      </c>
      <c r="G10" s="26">
        <f t="shared" si="1"/>
        <v>8.8848000000000003</v>
      </c>
      <c r="H10" s="29">
        <f>O8</f>
        <v>36.75</v>
      </c>
      <c r="I10" s="22">
        <f>G10*H10/1000</f>
        <v>0.32651640000000004</v>
      </c>
      <c r="K10" s="2" t="s">
        <v>538</v>
      </c>
      <c r="L10" s="2" t="s">
        <v>539</v>
      </c>
      <c r="M10" s="2">
        <v>18</v>
      </c>
      <c r="N10" s="2">
        <v>1.05</v>
      </c>
      <c r="O10" s="35">
        <f>N10*M10</f>
        <v>18.900000000000002</v>
      </c>
    </row>
    <row r="11" spans="1:15" x14ac:dyDescent="0.25">
      <c r="A11" t="s">
        <v>17</v>
      </c>
      <c r="B11" s="2">
        <v>3</v>
      </c>
      <c r="C11" s="2">
        <v>125</v>
      </c>
      <c r="D11" s="49">
        <v>60</v>
      </c>
      <c r="E11" s="2">
        <f t="shared" si="0"/>
        <v>185</v>
      </c>
      <c r="F11" s="2">
        <v>6.1700000000000001E-3</v>
      </c>
      <c r="G11" s="26">
        <f t="shared" si="1"/>
        <v>10.27305</v>
      </c>
      <c r="H11" s="29">
        <f>O8</f>
        <v>36.75</v>
      </c>
      <c r="I11" s="22">
        <f t="shared" ref="I11:I74" si="3">G11*H11/1000</f>
        <v>0.37753458749999996</v>
      </c>
      <c r="K11" s="2" t="s">
        <v>510</v>
      </c>
      <c r="L11" s="2" t="s">
        <v>532</v>
      </c>
      <c r="M11" s="2">
        <v>12</v>
      </c>
      <c r="N11" s="2">
        <v>1.05</v>
      </c>
      <c r="O11" s="35">
        <f t="shared" si="2"/>
        <v>12.600000000000001</v>
      </c>
    </row>
    <row r="12" spans="1:15" x14ac:dyDescent="0.25">
      <c r="A12" t="s">
        <v>19</v>
      </c>
      <c r="B12" s="2">
        <v>3</v>
      </c>
      <c r="C12" s="2">
        <v>150</v>
      </c>
      <c r="D12" s="49">
        <v>60</v>
      </c>
      <c r="E12" s="2">
        <f t="shared" si="0"/>
        <v>210</v>
      </c>
      <c r="F12" s="2">
        <v>6.1700000000000001E-3</v>
      </c>
      <c r="G12" s="26">
        <f t="shared" si="1"/>
        <v>11.661300000000001</v>
      </c>
      <c r="H12" s="29">
        <f>O8</f>
        <v>36.75</v>
      </c>
      <c r="I12" s="22">
        <f t="shared" si="3"/>
        <v>0.428552775</v>
      </c>
      <c r="K12" s="2" t="s">
        <v>540</v>
      </c>
      <c r="L12" s="2" t="s">
        <v>539</v>
      </c>
      <c r="M12" s="2">
        <v>18</v>
      </c>
      <c r="N12" s="2">
        <v>1.05</v>
      </c>
      <c r="O12" s="35">
        <f>N12*M12</f>
        <v>18.900000000000002</v>
      </c>
    </row>
    <row r="13" spans="1:15" x14ac:dyDescent="0.25">
      <c r="A13" t="s">
        <v>21</v>
      </c>
      <c r="B13" s="2">
        <v>3</v>
      </c>
      <c r="C13" s="2">
        <v>200</v>
      </c>
      <c r="D13" s="49">
        <v>60</v>
      </c>
      <c r="E13" s="2">
        <f t="shared" si="0"/>
        <v>260</v>
      </c>
      <c r="F13" s="2">
        <v>6.1700000000000001E-3</v>
      </c>
      <c r="G13" s="26">
        <f t="shared" si="1"/>
        <v>14.437800000000001</v>
      </c>
      <c r="H13" s="29">
        <f>O8</f>
        <v>36.75</v>
      </c>
      <c r="I13" s="22">
        <f t="shared" si="3"/>
        <v>0.53058915000000006</v>
      </c>
      <c r="K13" s="2" t="s">
        <v>533</v>
      </c>
      <c r="L13" s="2" t="s">
        <v>534</v>
      </c>
      <c r="M13" s="2">
        <v>5</v>
      </c>
      <c r="N13" s="2">
        <v>1.05</v>
      </c>
      <c r="O13" s="35">
        <f t="shared" si="2"/>
        <v>5.25</v>
      </c>
    </row>
    <row r="14" spans="1:15" x14ac:dyDescent="0.25">
      <c r="A14" t="s">
        <v>23</v>
      </c>
      <c r="B14" s="2">
        <v>3</v>
      </c>
      <c r="C14" s="2">
        <v>250</v>
      </c>
      <c r="D14" s="49">
        <v>60</v>
      </c>
      <c r="E14" s="2">
        <f t="shared" si="0"/>
        <v>310</v>
      </c>
      <c r="F14" s="2">
        <v>6.1700000000000001E-3</v>
      </c>
      <c r="G14" s="26">
        <f t="shared" si="1"/>
        <v>17.214300000000001</v>
      </c>
      <c r="H14" s="29">
        <f>O8</f>
        <v>36.75</v>
      </c>
      <c r="I14" s="22">
        <f t="shared" si="3"/>
        <v>0.63262552500000002</v>
      </c>
      <c r="K14" s="2" t="s">
        <v>533</v>
      </c>
      <c r="L14" s="2" t="s">
        <v>535</v>
      </c>
      <c r="M14" s="2">
        <v>10</v>
      </c>
      <c r="N14" s="2">
        <v>1.05</v>
      </c>
      <c r="O14" s="35">
        <f t="shared" si="2"/>
        <v>10.5</v>
      </c>
    </row>
    <row r="15" spans="1:15" x14ac:dyDescent="0.25">
      <c r="A15" t="s">
        <v>25</v>
      </c>
      <c r="B15" s="2">
        <v>3</v>
      </c>
      <c r="C15" s="2">
        <v>300</v>
      </c>
      <c r="D15" s="49">
        <v>60</v>
      </c>
      <c r="E15" s="2">
        <f t="shared" si="0"/>
        <v>360</v>
      </c>
      <c r="F15" s="2">
        <v>6.1700000000000001E-3</v>
      </c>
      <c r="G15" s="26">
        <f t="shared" si="1"/>
        <v>19.9908</v>
      </c>
      <c r="H15" s="29">
        <f>O8</f>
        <v>36.75</v>
      </c>
      <c r="I15" s="22">
        <f t="shared" si="3"/>
        <v>0.73466190000000009</v>
      </c>
      <c r="K15" s="2" t="s">
        <v>533</v>
      </c>
      <c r="L15" s="2" t="s">
        <v>536</v>
      </c>
      <c r="M15" s="2">
        <v>12</v>
      </c>
      <c r="N15" s="2">
        <v>1.05</v>
      </c>
      <c r="O15" s="35">
        <f t="shared" si="2"/>
        <v>12.600000000000001</v>
      </c>
    </row>
    <row r="16" spans="1:15" x14ac:dyDescent="0.25">
      <c r="A16" t="s">
        <v>35</v>
      </c>
      <c r="B16" s="2">
        <v>5</v>
      </c>
      <c r="C16" s="2">
        <v>38</v>
      </c>
      <c r="D16" s="49">
        <v>45</v>
      </c>
      <c r="E16" s="2">
        <f t="shared" si="0"/>
        <v>83</v>
      </c>
      <c r="F16" s="2">
        <v>6.1700000000000001E-3</v>
      </c>
      <c r="G16" s="26">
        <f t="shared" si="1"/>
        <v>12.80275</v>
      </c>
      <c r="H16" s="29">
        <f>O11</f>
        <v>12.600000000000001</v>
      </c>
      <c r="I16" s="22">
        <f t="shared" si="3"/>
        <v>0.16131465</v>
      </c>
      <c r="K16" s="2" t="s">
        <v>533</v>
      </c>
      <c r="L16" s="2" t="s">
        <v>537</v>
      </c>
      <c r="M16" s="2">
        <v>15</v>
      </c>
      <c r="N16" s="2">
        <v>1.05</v>
      </c>
      <c r="O16" s="35">
        <f t="shared" si="2"/>
        <v>15.75</v>
      </c>
    </row>
    <row r="17" spans="1:9" x14ac:dyDescent="0.25">
      <c r="A17" t="s">
        <v>27</v>
      </c>
      <c r="B17" s="2">
        <v>5</v>
      </c>
      <c r="C17" s="2">
        <v>80</v>
      </c>
      <c r="D17" s="49">
        <v>60</v>
      </c>
      <c r="E17" s="2">
        <f t="shared" si="0"/>
        <v>140</v>
      </c>
      <c r="F17" s="2">
        <v>6.1700000000000001E-3</v>
      </c>
      <c r="G17" s="26">
        <f t="shared" si="1"/>
        <v>21.594999999999999</v>
      </c>
      <c r="H17" s="29">
        <f>O11</f>
        <v>12.600000000000001</v>
      </c>
      <c r="I17" s="22">
        <f t="shared" si="3"/>
        <v>0.27209700000000003</v>
      </c>
    </row>
    <row r="18" spans="1:9" x14ac:dyDescent="0.25">
      <c r="A18" t="s">
        <v>29</v>
      </c>
      <c r="B18" s="2">
        <v>5</v>
      </c>
      <c r="C18" s="2">
        <v>100</v>
      </c>
      <c r="D18" s="49">
        <v>60</v>
      </c>
      <c r="E18" s="2">
        <f t="shared" si="0"/>
        <v>160</v>
      </c>
      <c r="F18" s="2">
        <v>6.1700000000000001E-3</v>
      </c>
      <c r="G18" s="26">
        <f t="shared" si="1"/>
        <v>24.68</v>
      </c>
      <c r="H18" s="29">
        <f>O11</f>
        <v>12.600000000000001</v>
      </c>
      <c r="I18" s="22">
        <f t="shared" si="3"/>
        <v>0.31096800000000002</v>
      </c>
    </row>
    <row r="19" spans="1:9" x14ac:dyDescent="0.25">
      <c r="A19" t="s">
        <v>31</v>
      </c>
      <c r="B19" s="2">
        <v>5</v>
      </c>
      <c r="C19" s="2">
        <v>125</v>
      </c>
      <c r="D19" s="49">
        <v>60</v>
      </c>
      <c r="E19" s="2">
        <f t="shared" si="0"/>
        <v>185</v>
      </c>
      <c r="F19" s="2">
        <v>6.1700000000000001E-3</v>
      </c>
      <c r="G19" s="26">
        <f t="shared" si="1"/>
        <v>28.536249999999999</v>
      </c>
      <c r="H19" s="29">
        <f>O11</f>
        <v>12.600000000000001</v>
      </c>
      <c r="I19" s="22">
        <f t="shared" si="3"/>
        <v>0.35955675000000004</v>
      </c>
    </row>
    <row r="20" spans="1:9" x14ac:dyDescent="0.25">
      <c r="A20" t="s">
        <v>33</v>
      </c>
      <c r="B20" s="2">
        <v>5</v>
      </c>
      <c r="C20" s="2">
        <v>150</v>
      </c>
      <c r="D20" s="49">
        <v>60</v>
      </c>
      <c r="E20" s="2">
        <f t="shared" si="0"/>
        <v>210</v>
      </c>
      <c r="F20" s="2">
        <v>6.1700000000000001E-3</v>
      </c>
      <c r="G20" s="26">
        <f t="shared" si="1"/>
        <v>32.392499999999998</v>
      </c>
      <c r="H20" s="29">
        <f>O11</f>
        <v>12.600000000000001</v>
      </c>
      <c r="I20" s="22">
        <f t="shared" si="3"/>
        <v>0.40814550000000005</v>
      </c>
    </row>
    <row r="21" spans="1:9" x14ac:dyDescent="0.25">
      <c r="A21" t="s">
        <v>37</v>
      </c>
      <c r="B21" s="2">
        <v>5</v>
      </c>
      <c r="C21" s="2">
        <v>200</v>
      </c>
      <c r="D21" s="49">
        <v>60</v>
      </c>
      <c r="E21" s="2">
        <f t="shared" si="0"/>
        <v>260</v>
      </c>
      <c r="F21" s="2">
        <v>6.1700000000000001E-3</v>
      </c>
      <c r="G21" s="26">
        <f t="shared" si="1"/>
        <v>40.105000000000004</v>
      </c>
      <c r="H21" s="29">
        <f>O11</f>
        <v>12.600000000000001</v>
      </c>
      <c r="I21" s="22">
        <f t="shared" si="3"/>
        <v>0.50532300000000008</v>
      </c>
    </row>
    <row r="22" spans="1:9" x14ac:dyDescent="0.25">
      <c r="A22" t="s">
        <v>39</v>
      </c>
      <c r="B22" s="2">
        <v>5</v>
      </c>
      <c r="C22" s="2">
        <v>250</v>
      </c>
      <c r="D22" s="49">
        <v>60</v>
      </c>
      <c r="E22" s="2">
        <f t="shared" si="0"/>
        <v>310</v>
      </c>
      <c r="F22" s="2">
        <v>6.1700000000000001E-3</v>
      </c>
      <c r="G22" s="26">
        <f t="shared" si="1"/>
        <v>47.817500000000003</v>
      </c>
      <c r="H22" s="29">
        <f>O11</f>
        <v>12.600000000000001</v>
      </c>
      <c r="I22" s="22">
        <f t="shared" si="3"/>
        <v>0.60250050000000011</v>
      </c>
    </row>
    <row r="23" spans="1:9" x14ac:dyDescent="0.25">
      <c r="A23" t="s">
        <v>41</v>
      </c>
      <c r="B23" s="2">
        <v>5</v>
      </c>
      <c r="C23" s="2">
        <v>300</v>
      </c>
      <c r="D23" s="49">
        <v>60</v>
      </c>
      <c r="E23" s="2">
        <f t="shared" si="0"/>
        <v>360</v>
      </c>
      <c r="F23" s="2">
        <v>6.1700000000000001E-3</v>
      </c>
      <c r="G23" s="26">
        <f t="shared" si="1"/>
        <v>55.53</v>
      </c>
      <c r="H23" s="29">
        <f>O11</f>
        <v>12.600000000000001</v>
      </c>
      <c r="I23" s="22">
        <f t="shared" si="3"/>
        <v>0.69967800000000013</v>
      </c>
    </row>
    <row r="24" spans="1:9" x14ac:dyDescent="0.25">
      <c r="A24" t="s">
        <v>43</v>
      </c>
      <c r="B24" s="2">
        <v>5</v>
      </c>
      <c r="C24" s="2">
        <v>350</v>
      </c>
      <c r="D24" s="49">
        <v>60</v>
      </c>
      <c r="E24" s="2">
        <f t="shared" si="0"/>
        <v>410</v>
      </c>
      <c r="F24" s="2">
        <v>6.1700000000000001E-3</v>
      </c>
      <c r="G24" s="26">
        <f t="shared" si="1"/>
        <v>63.2425</v>
      </c>
      <c r="H24" s="29">
        <f>O11</f>
        <v>12.600000000000001</v>
      </c>
      <c r="I24" s="22">
        <f t="shared" si="3"/>
        <v>0.79685550000000016</v>
      </c>
    </row>
    <row r="25" spans="1:9" x14ac:dyDescent="0.25">
      <c r="A25" t="s">
        <v>45</v>
      </c>
      <c r="B25" s="2">
        <v>5</v>
      </c>
      <c r="C25" s="2">
        <v>400</v>
      </c>
      <c r="D25" s="49">
        <v>60</v>
      </c>
      <c r="E25" s="2">
        <f t="shared" si="0"/>
        <v>460</v>
      </c>
      <c r="F25" s="2">
        <v>6.1700000000000001E-3</v>
      </c>
      <c r="G25" s="26">
        <f t="shared" si="1"/>
        <v>70.954999999999998</v>
      </c>
      <c r="H25" s="29">
        <f>O12</f>
        <v>18.900000000000002</v>
      </c>
      <c r="I25" s="22">
        <f t="shared" si="3"/>
        <v>1.3410495</v>
      </c>
    </row>
    <row r="26" spans="1:9" x14ac:dyDescent="0.25">
      <c r="A26" t="s">
        <v>47</v>
      </c>
      <c r="B26" s="2">
        <v>5</v>
      </c>
      <c r="C26" s="2">
        <v>500</v>
      </c>
      <c r="D26" s="49">
        <v>60</v>
      </c>
      <c r="E26" s="2">
        <f t="shared" si="0"/>
        <v>560</v>
      </c>
      <c r="F26" s="2">
        <v>6.1700000000000001E-3</v>
      </c>
      <c r="G26" s="26">
        <f t="shared" si="1"/>
        <v>86.38</v>
      </c>
      <c r="H26" s="29">
        <f>O12</f>
        <v>18.900000000000002</v>
      </c>
      <c r="I26" s="22">
        <f t="shared" si="3"/>
        <v>1.6325820000000002</v>
      </c>
    </row>
    <row r="27" spans="1:9" x14ac:dyDescent="0.25">
      <c r="A27" t="s">
        <v>49</v>
      </c>
      <c r="B27" s="2">
        <v>6</v>
      </c>
      <c r="C27" s="2">
        <v>38</v>
      </c>
      <c r="D27" s="49">
        <v>45</v>
      </c>
      <c r="E27" s="2">
        <f t="shared" si="0"/>
        <v>83</v>
      </c>
      <c r="F27" s="2">
        <v>6.1700000000000001E-3</v>
      </c>
      <c r="G27" s="26">
        <f t="shared" si="1"/>
        <v>18.435960000000001</v>
      </c>
      <c r="H27" s="29">
        <f>O13</f>
        <v>5.25</v>
      </c>
      <c r="I27" s="22">
        <f t="shared" si="3"/>
        <v>9.678879E-2</v>
      </c>
    </row>
    <row r="28" spans="1:9" x14ac:dyDescent="0.25">
      <c r="A28" t="s">
        <v>51</v>
      </c>
      <c r="B28" s="2">
        <v>6</v>
      </c>
      <c r="C28" s="2">
        <v>100</v>
      </c>
      <c r="D28" s="49">
        <v>80</v>
      </c>
      <c r="E28" s="2">
        <f t="shared" si="0"/>
        <v>180</v>
      </c>
      <c r="F28" s="2">
        <v>6.1700000000000001E-3</v>
      </c>
      <c r="G28" s="26">
        <f t="shared" si="1"/>
        <v>39.9816</v>
      </c>
      <c r="H28" s="29">
        <f>O13</f>
        <v>5.25</v>
      </c>
      <c r="I28" s="22">
        <f t="shared" si="3"/>
        <v>0.20990340000000002</v>
      </c>
    </row>
    <row r="29" spans="1:9" x14ac:dyDescent="0.25">
      <c r="A29" t="s">
        <v>53</v>
      </c>
      <c r="B29" s="2">
        <v>6</v>
      </c>
      <c r="C29" s="2">
        <v>125</v>
      </c>
      <c r="D29" s="49">
        <v>80</v>
      </c>
      <c r="E29" s="2">
        <f t="shared" si="0"/>
        <v>205</v>
      </c>
      <c r="F29" s="2">
        <v>6.1700000000000001E-3</v>
      </c>
      <c r="G29" s="26">
        <f t="shared" si="1"/>
        <v>45.534599999999998</v>
      </c>
      <c r="H29" s="29">
        <f>O13</f>
        <v>5.25</v>
      </c>
      <c r="I29" s="22">
        <f t="shared" si="3"/>
        <v>0.23905664999999998</v>
      </c>
    </row>
    <row r="30" spans="1:9" x14ac:dyDescent="0.25">
      <c r="A30" t="s">
        <v>55</v>
      </c>
      <c r="B30" s="2">
        <v>6</v>
      </c>
      <c r="C30" s="2">
        <v>150</v>
      </c>
      <c r="D30" s="49">
        <v>80</v>
      </c>
      <c r="E30" s="2">
        <f t="shared" si="0"/>
        <v>230</v>
      </c>
      <c r="F30" s="2">
        <v>6.1700000000000001E-3</v>
      </c>
      <c r="G30" s="26">
        <f t="shared" si="1"/>
        <v>51.087600000000002</v>
      </c>
      <c r="H30" s="29">
        <f>O13</f>
        <v>5.25</v>
      </c>
      <c r="I30" s="22">
        <f t="shared" si="3"/>
        <v>0.2682099</v>
      </c>
    </row>
    <row r="31" spans="1:9" x14ac:dyDescent="0.25">
      <c r="A31" t="s">
        <v>57</v>
      </c>
      <c r="B31" s="2">
        <v>6</v>
      </c>
      <c r="C31" s="2">
        <v>200</v>
      </c>
      <c r="D31" s="49">
        <v>80</v>
      </c>
      <c r="E31" s="2">
        <f t="shared" si="0"/>
        <v>280</v>
      </c>
      <c r="F31" s="2">
        <v>6.1700000000000001E-3</v>
      </c>
      <c r="G31" s="26">
        <f t="shared" si="1"/>
        <v>62.193600000000004</v>
      </c>
      <c r="H31" s="29">
        <f>O14</f>
        <v>10.5</v>
      </c>
      <c r="I31" s="22">
        <f t="shared" si="3"/>
        <v>0.65303280000000008</v>
      </c>
    </row>
    <row r="32" spans="1:9" x14ac:dyDescent="0.25">
      <c r="A32" t="s">
        <v>59</v>
      </c>
      <c r="B32" s="2">
        <v>6</v>
      </c>
      <c r="C32" s="2">
        <v>250</v>
      </c>
      <c r="D32" s="49">
        <v>80</v>
      </c>
      <c r="E32" s="2">
        <f t="shared" si="0"/>
        <v>330</v>
      </c>
      <c r="F32" s="2">
        <v>6.1700000000000001E-3</v>
      </c>
      <c r="G32" s="26">
        <f t="shared" si="1"/>
        <v>73.299599999999998</v>
      </c>
      <c r="H32" s="29">
        <f>O14</f>
        <v>10.5</v>
      </c>
      <c r="I32" s="22">
        <f t="shared" si="3"/>
        <v>0.76964580000000005</v>
      </c>
    </row>
    <row r="33" spans="1:9" x14ac:dyDescent="0.25">
      <c r="A33" t="s">
        <v>61</v>
      </c>
      <c r="B33" s="2">
        <v>6</v>
      </c>
      <c r="C33" s="2">
        <v>300</v>
      </c>
      <c r="D33" s="49">
        <v>80</v>
      </c>
      <c r="E33" s="2">
        <f t="shared" si="0"/>
        <v>380</v>
      </c>
      <c r="F33" s="2">
        <v>6.1700000000000001E-3</v>
      </c>
      <c r="G33" s="26">
        <f t="shared" si="1"/>
        <v>84.405600000000007</v>
      </c>
      <c r="H33" s="29">
        <f>O14</f>
        <v>10.5</v>
      </c>
      <c r="I33" s="22">
        <f t="shared" si="3"/>
        <v>0.88625880000000001</v>
      </c>
    </row>
    <row r="34" spans="1:9" x14ac:dyDescent="0.25">
      <c r="A34" t="s">
        <v>63</v>
      </c>
      <c r="B34" s="2">
        <v>6</v>
      </c>
      <c r="C34" s="2">
        <v>350</v>
      </c>
      <c r="D34" s="49">
        <v>80</v>
      </c>
      <c r="E34" s="2">
        <f t="shared" si="0"/>
        <v>430</v>
      </c>
      <c r="F34" s="2">
        <v>6.1700000000000001E-3</v>
      </c>
      <c r="G34" s="26">
        <f t="shared" si="1"/>
        <v>95.511600000000001</v>
      </c>
      <c r="H34" s="29">
        <f>O14</f>
        <v>10.5</v>
      </c>
      <c r="I34" s="22">
        <f t="shared" si="3"/>
        <v>1.0028718000000001</v>
      </c>
    </row>
    <row r="35" spans="1:9" x14ac:dyDescent="0.25">
      <c r="A35" t="s">
        <v>65</v>
      </c>
      <c r="B35" s="2">
        <v>6</v>
      </c>
      <c r="C35" s="2">
        <v>400</v>
      </c>
      <c r="D35" s="49">
        <v>80</v>
      </c>
      <c r="E35" s="2">
        <f t="shared" si="0"/>
        <v>480</v>
      </c>
      <c r="F35" s="2">
        <v>6.1700000000000001E-3</v>
      </c>
      <c r="G35" s="26">
        <f t="shared" si="1"/>
        <v>106.6176</v>
      </c>
      <c r="H35" s="29">
        <f>O15</f>
        <v>12.600000000000001</v>
      </c>
      <c r="I35" s="22">
        <f t="shared" si="3"/>
        <v>1.3433817600000002</v>
      </c>
    </row>
    <row r="36" spans="1:9" x14ac:dyDescent="0.25">
      <c r="A36" t="s">
        <v>67</v>
      </c>
      <c r="B36" s="2">
        <v>6</v>
      </c>
      <c r="C36" s="2">
        <v>500</v>
      </c>
      <c r="D36" s="49">
        <v>80</v>
      </c>
      <c r="E36" s="2">
        <f t="shared" si="0"/>
        <v>580</v>
      </c>
      <c r="F36" s="2">
        <v>6.1700000000000001E-3</v>
      </c>
      <c r="G36" s="26">
        <f t="shared" si="1"/>
        <v>128.8296</v>
      </c>
      <c r="H36" s="29">
        <f>O16</f>
        <v>15.75</v>
      </c>
      <c r="I36" s="22">
        <f t="shared" si="3"/>
        <v>2.0290661999999999</v>
      </c>
    </row>
    <row r="37" spans="1:9" x14ac:dyDescent="0.25">
      <c r="A37" t="s">
        <v>69</v>
      </c>
      <c r="B37" s="2">
        <v>8</v>
      </c>
      <c r="C37" s="2">
        <v>100</v>
      </c>
      <c r="D37" s="49">
        <v>100</v>
      </c>
      <c r="E37" s="2">
        <f t="shared" si="0"/>
        <v>200</v>
      </c>
      <c r="F37" s="2">
        <v>6.1700000000000001E-3</v>
      </c>
      <c r="G37" s="26">
        <f t="shared" si="1"/>
        <v>78.975999999999999</v>
      </c>
      <c r="H37" s="29">
        <f>O13</f>
        <v>5.25</v>
      </c>
      <c r="I37" s="22">
        <f t="shared" si="3"/>
        <v>0.41462400000000005</v>
      </c>
    </row>
    <row r="38" spans="1:9" x14ac:dyDescent="0.25">
      <c r="A38" t="s">
        <v>71</v>
      </c>
      <c r="B38" s="2">
        <v>8</v>
      </c>
      <c r="C38" s="2">
        <v>125</v>
      </c>
      <c r="D38" s="49">
        <v>100</v>
      </c>
      <c r="E38" s="2">
        <f t="shared" si="0"/>
        <v>225</v>
      </c>
      <c r="F38" s="2">
        <v>6.1700000000000001E-3</v>
      </c>
      <c r="G38" s="26">
        <f t="shared" si="1"/>
        <v>88.847999999999999</v>
      </c>
      <c r="H38" s="29">
        <f>O13</f>
        <v>5.25</v>
      </c>
      <c r="I38" s="22">
        <f t="shared" si="3"/>
        <v>0.46645199999999998</v>
      </c>
    </row>
    <row r="39" spans="1:9" x14ac:dyDescent="0.25">
      <c r="A39" t="s">
        <v>75</v>
      </c>
      <c r="B39" s="2">
        <v>8</v>
      </c>
      <c r="C39" s="2">
        <v>150</v>
      </c>
      <c r="D39" s="49">
        <v>100</v>
      </c>
      <c r="E39" s="2">
        <f t="shared" si="0"/>
        <v>250</v>
      </c>
      <c r="F39" s="2">
        <v>6.1700000000000001E-3</v>
      </c>
      <c r="G39" s="26">
        <f t="shared" si="1"/>
        <v>98.72</v>
      </c>
      <c r="H39" s="29">
        <f>O13</f>
        <v>5.25</v>
      </c>
      <c r="I39" s="22">
        <f t="shared" si="3"/>
        <v>0.51827999999999996</v>
      </c>
    </row>
    <row r="40" spans="1:9" x14ac:dyDescent="0.25">
      <c r="A40" t="s">
        <v>73</v>
      </c>
      <c r="B40" s="2">
        <v>8</v>
      </c>
      <c r="C40" s="2">
        <v>175</v>
      </c>
      <c r="D40" s="49">
        <v>100</v>
      </c>
      <c r="E40" s="2">
        <f t="shared" si="0"/>
        <v>275</v>
      </c>
      <c r="F40" s="2">
        <v>6.1700000000000001E-3</v>
      </c>
      <c r="G40" s="26">
        <f t="shared" si="1"/>
        <v>108.592</v>
      </c>
      <c r="H40" s="29">
        <f>O14</f>
        <v>10.5</v>
      </c>
      <c r="I40" s="22">
        <f t="shared" si="3"/>
        <v>1.1402159999999999</v>
      </c>
    </row>
    <row r="41" spans="1:9" x14ac:dyDescent="0.25">
      <c r="A41" t="s">
        <v>77</v>
      </c>
      <c r="B41" s="2">
        <v>8</v>
      </c>
      <c r="C41" s="2">
        <v>200</v>
      </c>
      <c r="D41" s="49">
        <v>100</v>
      </c>
      <c r="E41" s="2">
        <f t="shared" si="0"/>
        <v>300</v>
      </c>
      <c r="F41" s="2">
        <v>6.1700000000000001E-3</v>
      </c>
      <c r="G41" s="26">
        <f t="shared" si="1"/>
        <v>118.464</v>
      </c>
      <c r="H41" s="29">
        <f>O14</f>
        <v>10.5</v>
      </c>
      <c r="I41" s="22">
        <f t="shared" si="3"/>
        <v>1.2438720000000001</v>
      </c>
    </row>
    <row r="42" spans="1:9" x14ac:dyDescent="0.25">
      <c r="A42" t="s">
        <v>79</v>
      </c>
      <c r="B42" s="2">
        <v>8</v>
      </c>
      <c r="C42" s="2">
        <v>250</v>
      </c>
      <c r="D42" s="49">
        <v>100</v>
      </c>
      <c r="E42" s="2">
        <f t="shared" si="0"/>
        <v>350</v>
      </c>
      <c r="F42" s="2">
        <v>6.1700000000000001E-3</v>
      </c>
      <c r="G42" s="26">
        <f t="shared" si="1"/>
        <v>138.208</v>
      </c>
      <c r="H42" s="29">
        <f>O14</f>
        <v>10.5</v>
      </c>
      <c r="I42" s="22">
        <f t="shared" si="3"/>
        <v>1.451184</v>
      </c>
    </row>
    <row r="43" spans="1:9" x14ac:dyDescent="0.25">
      <c r="A43" t="s">
        <v>81</v>
      </c>
      <c r="B43" s="2">
        <v>8</v>
      </c>
      <c r="C43" s="2">
        <v>300</v>
      </c>
      <c r="D43" s="49">
        <v>100</v>
      </c>
      <c r="E43" s="2">
        <f t="shared" si="0"/>
        <v>400</v>
      </c>
      <c r="F43" s="2">
        <v>6.1700000000000001E-3</v>
      </c>
      <c r="G43" s="26">
        <f t="shared" si="1"/>
        <v>157.952</v>
      </c>
      <c r="H43" s="29">
        <f>O14</f>
        <v>10.5</v>
      </c>
      <c r="I43" s="22">
        <f t="shared" si="3"/>
        <v>1.6584960000000002</v>
      </c>
    </row>
    <row r="44" spans="1:9" x14ac:dyDescent="0.25">
      <c r="A44" t="s">
        <v>83</v>
      </c>
      <c r="B44" s="2">
        <v>8</v>
      </c>
      <c r="C44" s="2">
        <v>350</v>
      </c>
      <c r="D44" s="49">
        <v>100</v>
      </c>
      <c r="E44" s="2">
        <f t="shared" si="0"/>
        <v>450</v>
      </c>
      <c r="F44" s="2">
        <v>6.1700000000000001E-3</v>
      </c>
      <c r="G44" s="26">
        <f t="shared" si="1"/>
        <v>177.696</v>
      </c>
      <c r="H44" s="29">
        <f>O14</f>
        <v>10.5</v>
      </c>
      <c r="I44" s="22">
        <f t="shared" si="3"/>
        <v>1.8658079999999999</v>
      </c>
    </row>
    <row r="45" spans="1:9" x14ac:dyDescent="0.25">
      <c r="A45" t="s">
        <v>85</v>
      </c>
      <c r="B45" s="2">
        <v>8</v>
      </c>
      <c r="C45" s="2">
        <v>400</v>
      </c>
      <c r="D45" s="49">
        <v>100</v>
      </c>
      <c r="E45" s="2">
        <f t="shared" si="0"/>
        <v>500</v>
      </c>
      <c r="F45" s="2">
        <v>6.1700000000000001E-3</v>
      </c>
      <c r="G45" s="26">
        <f t="shared" si="1"/>
        <v>197.44</v>
      </c>
      <c r="H45" s="29">
        <f>O15</f>
        <v>12.600000000000001</v>
      </c>
      <c r="I45" s="22">
        <f t="shared" si="3"/>
        <v>2.4877440000000002</v>
      </c>
    </row>
    <row r="46" spans="1:9" x14ac:dyDescent="0.25">
      <c r="A46" t="s">
        <v>87</v>
      </c>
      <c r="B46" s="2">
        <v>8</v>
      </c>
      <c r="C46" s="2">
        <v>500</v>
      </c>
      <c r="D46" s="49">
        <v>100</v>
      </c>
      <c r="E46" s="2">
        <f t="shared" si="0"/>
        <v>600</v>
      </c>
      <c r="F46" s="2">
        <v>6.1700000000000001E-3</v>
      </c>
      <c r="G46" s="26">
        <f t="shared" si="1"/>
        <v>236.928</v>
      </c>
      <c r="H46" s="29">
        <f>O16</f>
        <v>15.75</v>
      </c>
      <c r="I46" s="22">
        <f t="shared" si="3"/>
        <v>3.7316159999999998</v>
      </c>
    </row>
    <row r="47" spans="1:9" x14ac:dyDescent="0.25">
      <c r="A47" t="s">
        <v>167</v>
      </c>
      <c r="B47" s="2">
        <v>10</v>
      </c>
      <c r="C47" s="2">
        <v>200</v>
      </c>
      <c r="D47" s="49">
        <v>100</v>
      </c>
      <c r="E47" s="2">
        <f t="shared" si="0"/>
        <v>300</v>
      </c>
      <c r="F47" s="2">
        <v>6.1700000000000001E-3</v>
      </c>
      <c r="G47" s="26">
        <f t="shared" si="1"/>
        <v>185.1</v>
      </c>
      <c r="H47" s="29">
        <f>O14</f>
        <v>10.5</v>
      </c>
      <c r="I47" s="22">
        <f t="shared" si="3"/>
        <v>1.9435499999999999</v>
      </c>
    </row>
    <row r="48" spans="1:9" x14ac:dyDescent="0.25">
      <c r="A48" t="s">
        <v>169</v>
      </c>
      <c r="B48" s="2">
        <v>10</v>
      </c>
      <c r="C48" s="2">
        <v>250</v>
      </c>
      <c r="D48" s="49">
        <v>100</v>
      </c>
      <c r="E48" s="2">
        <f t="shared" si="0"/>
        <v>350</v>
      </c>
      <c r="F48" s="2">
        <v>6.1700000000000001E-3</v>
      </c>
      <c r="G48" s="26">
        <f t="shared" si="1"/>
        <v>215.95000000000002</v>
      </c>
      <c r="H48" s="29">
        <f>O14</f>
        <v>10.5</v>
      </c>
      <c r="I48" s="22">
        <f t="shared" si="3"/>
        <v>2.2674750000000006</v>
      </c>
    </row>
    <row r="49" spans="1:9" x14ac:dyDescent="0.25">
      <c r="A49" t="s">
        <v>171</v>
      </c>
      <c r="B49" s="2">
        <v>10</v>
      </c>
      <c r="C49" s="2">
        <v>300</v>
      </c>
      <c r="D49" s="49">
        <v>100</v>
      </c>
      <c r="E49" s="2">
        <f t="shared" si="0"/>
        <v>400</v>
      </c>
      <c r="F49" s="2">
        <v>6.1700000000000001E-3</v>
      </c>
      <c r="G49" s="26">
        <f t="shared" si="1"/>
        <v>246.8</v>
      </c>
      <c r="H49" s="29">
        <f>O14</f>
        <v>10.5</v>
      </c>
      <c r="I49" s="22">
        <f t="shared" si="3"/>
        <v>2.5914000000000001</v>
      </c>
    </row>
    <row r="50" spans="1:9" x14ac:dyDescent="0.25">
      <c r="A50" t="s">
        <v>173</v>
      </c>
      <c r="B50" s="2">
        <v>10</v>
      </c>
      <c r="C50" s="2">
        <v>400</v>
      </c>
      <c r="D50" s="49">
        <v>100</v>
      </c>
      <c r="E50" s="2">
        <f t="shared" si="0"/>
        <v>500</v>
      </c>
      <c r="F50" s="2">
        <v>6.1700000000000001E-3</v>
      </c>
      <c r="G50" s="26">
        <f t="shared" si="1"/>
        <v>308.5</v>
      </c>
      <c r="H50" s="29">
        <f>O15</f>
        <v>12.600000000000001</v>
      </c>
      <c r="I50" s="22">
        <f t="shared" si="3"/>
        <v>3.8871000000000002</v>
      </c>
    </row>
    <row r="51" spans="1:9" x14ac:dyDescent="0.25">
      <c r="A51" t="s">
        <v>175</v>
      </c>
      <c r="B51" s="2">
        <v>10</v>
      </c>
      <c r="C51" s="2">
        <v>500</v>
      </c>
      <c r="D51" s="49">
        <v>100</v>
      </c>
      <c r="E51" s="2">
        <f t="shared" si="0"/>
        <v>600</v>
      </c>
      <c r="F51" s="2">
        <v>6.1700000000000001E-3</v>
      </c>
      <c r="G51" s="26">
        <f t="shared" si="1"/>
        <v>370.2</v>
      </c>
      <c r="H51" s="29">
        <f>O16</f>
        <v>15.75</v>
      </c>
      <c r="I51" s="22">
        <f t="shared" si="3"/>
        <v>5.8306499999999994</v>
      </c>
    </row>
    <row r="52" spans="1:9" x14ac:dyDescent="0.25">
      <c r="A52" t="s">
        <v>89</v>
      </c>
      <c r="B52" s="2">
        <v>3</v>
      </c>
      <c r="C52" s="2">
        <v>60</v>
      </c>
      <c r="D52" s="49">
        <v>60</v>
      </c>
      <c r="E52" s="2">
        <f t="shared" si="0"/>
        <v>120</v>
      </c>
      <c r="F52" s="2">
        <v>6.1700000000000001E-3</v>
      </c>
      <c r="G52" s="26">
        <f t="shared" si="1"/>
        <v>6.6635999999999997</v>
      </c>
      <c r="H52" s="29">
        <f>O8</f>
        <v>36.75</v>
      </c>
      <c r="I52" s="22">
        <f t="shared" si="3"/>
        <v>0.24488729999999997</v>
      </c>
    </row>
    <row r="53" spans="1:9" x14ac:dyDescent="0.25">
      <c r="A53" t="s">
        <v>91</v>
      </c>
      <c r="B53" s="2">
        <v>3</v>
      </c>
      <c r="C53" s="2">
        <v>80</v>
      </c>
      <c r="D53" s="49">
        <v>60</v>
      </c>
      <c r="E53" s="2">
        <f t="shared" si="0"/>
        <v>140</v>
      </c>
      <c r="F53" s="2">
        <v>6.1700000000000001E-3</v>
      </c>
      <c r="G53" s="26">
        <f t="shared" si="1"/>
        <v>7.7742000000000004</v>
      </c>
      <c r="H53" s="29">
        <f>O8</f>
        <v>36.75</v>
      </c>
      <c r="I53" s="22">
        <f t="shared" si="3"/>
        <v>0.28570185000000003</v>
      </c>
    </row>
    <row r="54" spans="1:9" x14ac:dyDescent="0.25">
      <c r="A54" t="s">
        <v>93</v>
      </c>
      <c r="B54" s="2">
        <v>3</v>
      </c>
      <c r="C54" s="2">
        <v>100</v>
      </c>
      <c r="D54" s="49">
        <v>60</v>
      </c>
      <c r="E54" s="2">
        <f t="shared" si="0"/>
        <v>160</v>
      </c>
      <c r="F54" s="2">
        <v>6.1700000000000001E-3</v>
      </c>
      <c r="G54" s="26">
        <f t="shared" si="1"/>
        <v>8.8848000000000003</v>
      </c>
      <c r="H54" s="29">
        <f>O8</f>
        <v>36.75</v>
      </c>
      <c r="I54" s="22">
        <f t="shared" si="3"/>
        <v>0.32651640000000004</v>
      </c>
    </row>
    <row r="55" spans="1:9" x14ac:dyDescent="0.25">
      <c r="A55" t="s">
        <v>95</v>
      </c>
      <c r="B55" s="2">
        <v>3</v>
      </c>
      <c r="C55" s="2">
        <v>125</v>
      </c>
      <c r="D55" s="49">
        <v>60</v>
      </c>
      <c r="E55" s="2">
        <f t="shared" si="0"/>
        <v>185</v>
      </c>
      <c r="F55" s="2">
        <v>6.1700000000000001E-3</v>
      </c>
      <c r="G55" s="26">
        <f t="shared" si="1"/>
        <v>10.27305</v>
      </c>
      <c r="H55" s="29">
        <f>O8</f>
        <v>36.75</v>
      </c>
      <c r="I55" s="22">
        <f t="shared" si="3"/>
        <v>0.37753458749999996</v>
      </c>
    </row>
    <row r="56" spans="1:9" x14ac:dyDescent="0.25">
      <c r="A56" t="s">
        <v>97</v>
      </c>
      <c r="B56" s="2">
        <v>3</v>
      </c>
      <c r="C56" s="2">
        <v>150</v>
      </c>
      <c r="D56" s="49">
        <v>60</v>
      </c>
      <c r="E56" s="2">
        <f t="shared" si="0"/>
        <v>210</v>
      </c>
      <c r="F56" s="2">
        <v>6.1700000000000001E-3</v>
      </c>
      <c r="G56" s="26">
        <f t="shared" si="1"/>
        <v>11.661300000000001</v>
      </c>
      <c r="H56" s="29">
        <f>O8</f>
        <v>36.75</v>
      </c>
      <c r="I56" s="22">
        <f t="shared" si="3"/>
        <v>0.428552775</v>
      </c>
    </row>
    <row r="57" spans="1:9" x14ac:dyDescent="0.25">
      <c r="A57" t="s">
        <v>99</v>
      </c>
      <c r="B57" s="2">
        <v>3</v>
      </c>
      <c r="C57" s="2">
        <v>200</v>
      </c>
      <c r="D57" s="49">
        <v>60</v>
      </c>
      <c r="E57" s="2">
        <f t="shared" si="0"/>
        <v>260</v>
      </c>
      <c r="F57" s="2">
        <v>6.1700000000000001E-3</v>
      </c>
      <c r="G57" s="26">
        <f t="shared" si="1"/>
        <v>14.437800000000001</v>
      </c>
      <c r="H57" s="29">
        <f>O8</f>
        <v>36.75</v>
      </c>
      <c r="I57" s="22">
        <f t="shared" si="3"/>
        <v>0.53058915000000006</v>
      </c>
    </row>
    <row r="58" spans="1:9" x14ac:dyDescent="0.25">
      <c r="A58" t="s">
        <v>101</v>
      </c>
      <c r="B58" s="2">
        <v>3</v>
      </c>
      <c r="C58" s="2">
        <v>250</v>
      </c>
      <c r="D58" s="49">
        <v>60</v>
      </c>
      <c r="E58" s="2">
        <f t="shared" si="0"/>
        <v>310</v>
      </c>
      <c r="F58" s="2">
        <v>6.1700000000000001E-3</v>
      </c>
      <c r="G58" s="26">
        <f t="shared" si="1"/>
        <v>17.214300000000001</v>
      </c>
      <c r="H58" s="29">
        <f>O8</f>
        <v>36.75</v>
      </c>
      <c r="I58" s="22">
        <f t="shared" si="3"/>
        <v>0.63262552500000002</v>
      </c>
    </row>
    <row r="59" spans="1:9" x14ac:dyDescent="0.25">
      <c r="A59" t="s">
        <v>103</v>
      </c>
      <c r="B59" s="2">
        <v>3</v>
      </c>
      <c r="C59" s="2">
        <v>300</v>
      </c>
      <c r="D59" s="49">
        <v>60</v>
      </c>
      <c r="E59" s="2">
        <f t="shared" si="0"/>
        <v>360</v>
      </c>
      <c r="F59" s="2">
        <v>6.1700000000000001E-3</v>
      </c>
      <c r="G59" s="26">
        <f t="shared" si="1"/>
        <v>19.9908</v>
      </c>
      <c r="H59" s="29">
        <f>O8</f>
        <v>36.75</v>
      </c>
      <c r="I59" s="22">
        <f t="shared" si="3"/>
        <v>0.73466190000000009</v>
      </c>
    </row>
    <row r="60" spans="1:9" x14ac:dyDescent="0.25">
      <c r="A60" t="s">
        <v>105</v>
      </c>
      <c r="B60" s="2">
        <v>5</v>
      </c>
      <c r="C60" s="2">
        <v>38</v>
      </c>
      <c r="D60" s="49">
        <v>45</v>
      </c>
      <c r="E60" s="2">
        <f t="shared" si="0"/>
        <v>83</v>
      </c>
      <c r="F60" s="2">
        <v>6.1700000000000001E-3</v>
      </c>
      <c r="G60" s="26">
        <f t="shared" si="1"/>
        <v>12.80275</v>
      </c>
      <c r="H60" s="29">
        <f>O11</f>
        <v>12.600000000000001</v>
      </c>
      <c r="I60" s="22">
        <f t="shared" si="3"/>
        <v>0.16131465</v>
      </c>
    </row>
    <row r="61" spans="1:9" x14ac:dyDescent="0.25">
      <c r="A61" t="s">
        <v>107</v>
      </c>
      <c r="B61" s="2">
        <v>5</v>
      </c>
      <c r="C61" s="2">
        <v>80</v>
      </c>
      <c r="D61" s="49">
        <v>60</v>
      </c>
      <c r="E61" s="2">
        <f t="shared" si="0"/>
        <v>140</v>
      </c>
      <c r="F61" s="2">
        <v>6.1700000000000001E-3</v>
      </c>
      <c r="G61" s="26">
        <f t="shared" si="1"/>
        <v>21.594999999999999</v>
      </c>
      <c r="H61" s="29">
        <f>O11</f>
        <v>12.600000000000001</v>
      </c>
      <c r="I61" s="22">
        <f t="shared" si="3"/>
        <v>0.27209700000000003</v>
      </c>
    </row>
    <row r="62" spans="1:9" x14ac:dyDescent="0.25">
      <c r="A62" t="s">
        <v>109</v>
      </c>
      <c r="B62" s="2">
        <v>5</v>
      </c>
      <c r="C62" s="2">
        <v>100</v>
      </c>
      <c r="D62" s="49">
        <v>60</v>
      </c>
      <c r="E62" s="2">
        <f t="shared" si="0"/>
        <v>160</v>
      </c>
      <c r="F62" s="2">
        <v>6.1700000000000001E-3</v>
      </c>
      <c r="G62" s="26">
        <f t="shared" si="1"/>
        <v>24.68</v>
      </c>
      <c r="H62" s="29">
        <f>O11</f>
        <v>12.600000000000001</v>
      </c>
      <c r="I62" s="22">
        <f t="shared" si="3"/>
        <v>0.31096800000000002</v>
      </c>
    </row>
    <row r="63" spans="1:9" x14ac:dyDescent="0.25">
      <c r="A63" t="s">
        <v>111</v>
      </c>
      <c r="B63" s="2">
        <v>5</v>
      </c>
      <c r="C63" s="2">
        <v>125</v>
      </c>
      <c r="D63" s="49">
        <v>60</v>
      </c>
      <c r="E63" s="2">
        <f t="shared" si="0"/>
        <v>185</v>
      </c>
      <c r="F63" s="2">
        <v>6.1700000000000001E-3</v>
      </c>
      <c r="G63" s="26">
        <f t="shared" si="1"/>
        <v>28.536249999999999</v>
      </c>
      <c r="H63" s="29">
        <f>O11</f>
        <v>12.600000000000001</v>
      </c>
      <c r="I63" s="22">
        <f t="shared" si="3"/>
        <v>0.35955675000000004</v>
      </c>
    </row>
    <row r="64" spans="1:9" x14ac:dyDescent="0.25">
      <c r="A64" t="s">
        <v>113</v>
      </c>
      <c r="B64" s="2">
        <v>5</v>
      </c>
      <c r="C64" s="2">
        <v>150</v>
      </c>
      <c r="D64" s="49">
        <v>60</v>
      </c>
      <c r="E64" s="2">
        <f t="shared" si="0"/>
        <v>210</v>
      </c>
      <c r="F64" s="2">
        <v>6.1700000000000001E-3</v>
      </c>
      <c r="G64" s="26">
        <f t="shared" si="1"/>
        <v>32.392499999999998</v>
      </c>
      <c r="H64" s="29">
        <f>O11</f>
        <v>12.600000000000001</v>
      </c>
      <c r="I64" s="22">
        <f t="shared" si="3"/>
        <v>0.40814550000000005</v>
      </c>
    </row>
    <row r="65" spans="1:9" x14ac:dyDescent="0.25">
      <c r="A65" t="s">
        <v>115</v>
      </c>
      <c r="B65" s="2">
        <v>5</v>
      </c>
      <c r="C65" s="2">
        <v>200</v>
      </c>
      <c r="D65" s="49">
        <v>60</v>
      </c>
      <c r="E65" s="2">
        <f t="shared" si="0"/>
        <v>260</v>
      </c>
      <c r="F65" s="2">
        <v>6.1700000000000001E-3</v>
      </c>
      <c r="G65" s="26">
        <f t="shared" si="1"/>
        <v>40.105000000000004</v>
      </c>
      <c r="H65" s="29">
        <f>O11</f>
        <v>12.600000000000001</v>
      </c>
      <c r="I65" s="22">
        <f t="shared" si="3"/>
        <v>0.50532300000000008</v>
      </c>
    </row>
    <row r="66" spans="1:9" x14ac:dyDescent="0.25">
      <c r="A66" t="s">
        <v>117</v>
      </c>
      <c r="B66" s="2">
        <v>5</v>
      </c>
      <c r="C66" s="2">
        <v>250</v>
      </c>
      <c r="D66" s="49">
        <v>60</v>
      </c>
      <c r="E66" s="2">
        <f t="shared" si="0"/>
        <v>310</v>
      </c>
      <c r="F66" s="2">
        <v>6.1700000000000001E-3</v>
      </c>
      <c r="G66" s="26">
        <f t="shared" si="1"/>
        <v>47.817500000000003</v>
      </c>
      <c r="H66" s="29">
        <f>O11</f>
        <v>12.600000000000001</v>
      </c>
      <c r="I66" s="22">
        <f t="shared" si="3"/>
        <v>0.60250050000000011</v>
      </c>
    </row>
    <row r="67" spans="1:9" x14ac:dyDescent="0.25">
      <c r="A67" t="s">
        <v>119</v>
      </c>
      <c r="B67" s="2">
        <v>5</v>
      </c>
      <c r="C67" s="2">
        <v>300</v>
      </c>
      <c r="D67" s="49">
        <v>60</v>
      </c>
      <c r="E67" s="2">
        <f t="shared" si="0"/>
        <v>360</v>
      </c>
      <c r="F67" s="2">
        <v>6.1700000000000001E-3</v>
      </c>
      <c r="G67" s="26">
        <f t="shared" si="1"/>
        <v>55.53</v>
      </c>
      <c r="H67" s="29">
        <f>O11</f>
        <v>12.600000000000001</v>
      </c>
      <c r="I67" s="22">
        <f t="shared" si="3"/>
        <v>0.69967800000000013</v>
      </c>
    </row>
    <row r="68" spans="1:9" x14ac:dyDescent="0.25">
      <c r="A68" t="s">
        <v>121</v>
      </c>
      <c r="B68" s="2">
        <v>5</v>
      </c>
      <c r="C68" s="2">
        <v>350</v>
      </c>
      <c r="D68" s="49">
        <v>60</v>
      </c>
      <c r="E68" s="2">
        <f t="shared" si="0"/>
        <v>410</v>
      </c>
      <c r="F68" s="2">
        <v>6.1700000000000001E-3</v>
      </c>
      <c r="G68" s="26">
        <f t="shared" si="1"/>
        <v>63.2425</v>
      </c>
      <c r="H68" s="29">
        <f>O11</f>
        <v>12.600000000000001</v>
      </c>
      <c r="I68" s="22">
        <f t="shared" si="3"/>
        <v>0.79685550000000016</v>
      </c>
    </row>
    <row r="69" spans="1:9" x14ac:dyDescent="0.25">
      <c r="A69" t="s">
        <v>123</v>
      </c>
      <c r="B69" s="2">
        <v>5</v>
      </c>
      <c r="C69" s="2">
        <v>400</v>
      </c>
      <c r="D69" s="49">
        <v>60</v>
      </c>
      <c r="E69" s="2">
        <f t="shared" si="0"/>
        <v>460</v>
      </c>
      <c r="F69" s="2">
        <v>6.1700000000000001E-3</v>
      </c>
      <c r="G69" s="26">
        <f t="shared" si="1"/>
        <v>70.954999999999998</v>
      </c>
      <c r="H69" s="29">
        <f>O12</f>
        <v>18.900000000000002</v>
      </c>
      <c r="I69" s="22">
        <f t="shared" si="3"/>
        <v>1.3410495</v>
      </c>
    </row>
    <row r="70" spans="1:9" x14ac:dyDescent="0.25">
      <c r="A70" t="s">
        <v>125</v>
      </c>
      <c r="B70" s="2">
        <v>5</v>
      </c>
      <c r="C70" s="2">
        <v>500</v>
      </c>
      <c r="D70" s="49">
        <v>60</v>
      </c>
      <c r="E70" s="2">
        <f t="shared" si="0"/>
        <v>560</v>
      </c>
      <c r="F70" s="2">
        <v>6.1700000000000001E-3</v>
      </c>
      <c r="G70" s="26">
        <f t="shared" si="1"/>
        <v>86.38</v>
      </c>
      <c r="H70" s="29">
        <f>O12</f>
        <v>18.900000000000002</v>
      </c>
      <c r="I70" s="22">
        <f t="shared" si="3"/>
        <v>1.6325820000000002</v>
      </c>
    </row>
    <row r="71" spans="1:9" x14ac:dyDescent="0.25">
      <c r="A71" t="s">
        <v>127</v>
      </c>
      <c r="B71" s="2">
        <v>6</v>
      </c>
      <c r="C71" s="2">
        <v>38</v>
      </c>
      <c r="D71" s="49">
        <v>45</v>
      </c>
      <c r="E71" s="2">
        <f t="shared" si="0"/>
        <v>83</v>
      </c>
      <c r="F71" s="2">
        <v>6.1700000000000001E-3</v>
      </c>
      <c r="G71" s="26">
        <f t="shared" si="1"/>
        <v>18.435960000000001</v>
      </c>
      <c r="H71" s="29">
        <f>O13</f>
        <v>5.25</v>
      </c>
      <c r="I71" s="22">
        <f t="shared" si="3"/>
        <v>9.678879E-2</v>
      </c>
    </row>
    <row r="72" spans="1:9" x14ac:dyDescent="0.25">
      <c r="A72" t="s">
        <v>129</v>
      </c>
      <c r="B72" s="2">
        <v>6</v>
      </c>
      <c r="C72" s="2">
        <v>100</v>
      </c>
      <c r="D72" s="49">
        <v>80</v>
      </c>
      <c r="E72" s="2">
        <f t="shared" si="0"/>
        <v>180</v>
      </c>
      <c r="F72" s="2">
        <v>6.1700000000000001E-3</v>
      </c>
      <c r="G72" s="26">
        <f t="shared" si="1"/>
        <v>39.9816</v>
      </c>
      <c r="H72" s="29">
        <f>O13</f>
        <v>5.25</v>
      </c>
      <c r="I72" s="22">
        <f t="shared" si="3"/>
        <v>0.20990340000000002</v>
      </c>
    </row>
    <row r="73" spans="1:9" x14ac:dyDescent="0.25">
      <c r="A73" t="s">
        <v>131</v>
      </c>
      <c r="B73" s="2">
        <v>6</v>
      </c>
      <c r="C73" s="2">
        <v>125</v>
      </c>
      <c r="D73" s="49">
        <v>80</v>
      </c>
      <c r="E73" s="2">
        <f t="shared" ref="E73:E136" si="4">D73+C73</f>
        <v>205</v>
      </c>
      <c r="F73" s="2">
        <v>6.1700000000000001E-3</v>
      </c>
      <c r="G73" s="26">
        <f t="shared" ref="G73:G136" si="5">B73*B73*E73*F73</f>
        <v>45.534599999999998</v>
      </c>
      <c r="H73" s="29">
        <f>O13</f>
        <v>5.25</v>
      </c>
      <c r="I73" s="22">
        <f t="shared" si="3"/>
        <v>0.23905664999999998</v>
      </c>
    </row>
    <row r="74" spans="1:9" x14ac:dyDescent="0.25">
      <c r="A74" t="s">
        <v>133</v>
      </c>
      <c r="B74" s="2">
        <v>6</v>
      </c>
      <c r="C74" s="2">
        <v>150</v>
      </c>
      <c r="D74" s="49">
        <v>80</v>
      </c>
      <c r="E74" s="2">
        <f t="shared" si="4"/>
        <v>230</v>
      </c>
      <c r="F74" s="2">
        <v>6.1700000000000001E-3</v>
      </c>
      <c r="G74" s="26">
        <f t="shared" si="5"/>
        <v>51.087600000000002</v>
      </c>
      <c r="H74" s="29">
        <f>O13</f>
        <v>5.25</v>
      </c>
      <c r="I74" s="22">
        <f t="shared" si="3"/>
        <v>0.2682099</v>
      </c>
    </row>
    <row r="75" spans="1:9" x14ac:dyDescent="0.25">
      <c r="A75" t="s">
        <v>135</v>
      </c>
      <c r="B75" s="2">
        <v>6</v>
      </c>
      <c r="C75" s="2">
        <v>200</v>
      </c>
      <c r="D75" s="49">
        <v>80</v>
      </c>
      <c r="E75" s="2">
        <f t="shared" si="4"/>
        <v>280</v>
      </c>
      <c r="F75" s="2">
        <v>6.1700000000000001E-3</v>
      </c>
      <c r="G75" s="26">
        <f t="shared" si="5"/>
        <v>62.193600000000004</v>
      </c>
      <c r="H75" s="29">
        <f>O14</f>
        <v>10.5</v>
      </c>
      <c r="I75" s="22">
        <f t="shared" ref="I75:I138" si="6">G75*H75/1000</f>
        <v>0.65303280000000008</v>
      </c>
    </row>
    <row r="76" spans="1:9" x14ac:dyDescent="0.25">
      <c r="A76" t="s">
        <v>137</v>
      </c>
      <c r="B76" s="2">
        <v>6</v>
      </c>
      <c r="C76" s="2">
        <v>250</v>
      </c>
      <c r="D76" s="49">
        <v>80</v>
      </c>
      <c r="E76" s="2">
        <f t="shared" si="4"/>
        <v>330</v>
      </c>
      <c r="F76" s="2">
        <v>6.1700000000000001E-3</v>
      </c>
      <c r="G76" s="26">
        <f t="shared" si="5"/>
        <v>73.299599999999998</v>
      </c>
      <c r="H76" s="29">
        <f>O14</f>
        <v>10.5</v>
      </c>
      <c r="I76" s="22">
        <f t="shared" si="6"/>
        <v>0.76964580000000005</v>
      </c>
    </row>
    <row r="77" spans="1:9" x14ac:dyDescent="0.25">
      <c r="A77" t="s">
        <v>139</v>
      </c>
      <c r="B77" s="2">
        <v>6</v>
      </c>
      <c r="C77" s="2">
        <v>300</v>
      </c>
      <c r="D77" s="49">
        <v>80</v>
      </c>
      <c r="E77" s="2">
        <f t="shared" si="4"/>
        <v>380</v>
      </c>
      <c r="F77" s="2">
        <v>6.1700000000000001E-3</v>
      </c>
      <c r="G77" s="26">
        <f t="shared" si="5"/>
        <v>84.405600000000007</v>
      </c>
      <c r="H77" s="29">
        <f>O14</f>
        <v>10.5</v>
      </c>
      <c r="I77" s="22">
        <f t="shared" si="6"/>
        <v>0.88625880000000001</v>
      </c>
    </row>
    <row r="78" spans="1:9" x14ac:dyDescent="0.25">
      <c r="A78" t="s">
        <v>141</v>
      </c>
      <c r="B78" s="2">
        <v>6</v>
      </c>
      <c r="C78" s="2">
        <v>350</v>
      </c>
      <c r="D78" s="49">
        <v>80</v>
      </c>
      <c r="E78" s="2">
        <f t="shared" si="4"/>
        <v>430</v>
      </c>
      <c r="F78" s="2">
        <v>6.1700000000000001E-3</v>
      </c>
      <c r="G78" s="26">
        <f t="shared" si="5"/>
        <v>95.511600000000001</v>
      </c>
      <c r="H78" s="29">
        <f>O14</f>
        <v>10.5</v>
      </c>
      <c r="I78" s="22">
        <f t="shared" si="6"/>
        <v>1.0028718000000001</v>
      </c>
    </row>
    <row r="79" spans="1:9" x14ac:dyDescent="0.25">
      <c r="A79" t="s">
        <v>143</v>
      </c>
      <c r="B79" s="2">
        <v>6</v>
      </c>
      <c r="C79" s="2">
        <v>400</v>
      </c>
      <c r="D79" s="49">
        <v>80</v>
      </c>
      <c r="E79" s="2">
        <f t="shared" si="4"/>
        <v>480</v>
      </c>
      <c r="F79" s="2">
        <v>6.1700000000000001E-3</v>
      </c>
      <c r="G79" s="26">
        <f t="shared" si="5"/>
        <v>106.6176</v>
      </c>
      <c r="H79" s="29">
        <f>O15</f>
        <v>12.600000000000001</v>
      </c>
      <c r="I79" s="22">
        <f t="shared" si="6"/>
        <v>1.3433817600000002</v>
      </c>
    </row>
    <row r="80" spans="1:9" x14ac:dyDescent="0.25">
      <c r="A80" t="s">
        <v>145</v>
      </c>
      <c r="B80" s="2">
        <v>6</v>
      </c>
      <c r="C80" s="2">
        <v>500</v>
      </c>
      <c r="D80" s="49">
        <v>80</v>
      </c>
      <c r="E80" s="2">
        <f t="shared" si="4"/>
        <v>580</v>
      </c>
      <c r="F80" s="2">
        <v>6.1700000000000001E-3</v>
      </c>
      <c r="G80" s="26">
        <f t="shared" si="5"/>
        <v>128.8296</v>
      </c>
      <c r="H80" s="29">
        <f>O16</f>
        <v>15.75</v>
      </c>
      <c r="I80" s="22">
        <f t="shared" si="6"/>
        <v>2.0290661999999999</v>
      </c>
    </row>
    <row r="81" spans="1:9" x14ac:dyDescent="0.25">
      <c r="A81" t="s">
        <v>147</v>
      </c>
      <c r="B81" s="2">
        <v>8</v>
      </c>
      <c r="C81" s="2">
        <v>100</v>
      </c>
      <c r="D81" s="49">
        <v>100</v>
      </c>
      <c r="E81" s="2">
        <f t="shared" si="4"/>
        <v>200</v>
      </c>
      <c r="F81" s="2">
        <v>6.1700000000000001E-3</v>
      </c>
      <c r="G81" s="26">
        <f t="shared" si="5"/>
        <v>78.975999999999999</v>
      </c>
      <c r="H81" s="29">
        <f>O13</f>
        <v>5.25</v>
      </c>
      <c r="I81" s="22">
        <f t="shared" si="6"/>
        <v>0.41462400000000005</v>
      </c>
    </row>
    <row r="82" spans="1:9" x14ac:dyDescent="0.25">
      <c r="A82" t="s">
        <v>149</v>
      </c>
      <c r="B82" s="2">
        <v>8</v>
      </c>
      <c r="C82" s="2">
        <v>125</v>
      </c>
      <c r="D82" s="49">
        <v>100</v>
      </c>
      <c r="E82" s="2">
        <f t="shared" si="4"/>
        <v>225</v>
      </c>
      <c r="F82" s="2">
        <v>6.1700000000000001E-3</v>
      </c>
      <c r="G82" s="26">
        <f t="shared" si="5"/>
        <v>88.847999999999999</v>
      </c>
      <c r="H82" s="29">
        <f>O13</f>
        <v>5.25</v>
      </c>
      <c r="I82" s="22">
        <f t="shared" si="6"/>
        <v>0.46645199999999998</v>
      </c>
    </row>
    <row r="83" spans="1:9" x14ac:dyDescent="0.25">
      <c r="A83" t="s">
        <v>151</v>
      </c>
      <c r="B83" s="2">
        <v>8</v>
      </c>
      <c r="C83" s="2">
        <v>150</v>
      </c>
      <c r="D83" s="49">
        <v>100</v>
      </c>
      <c r="E83" s="2">
        <f t="shared" si="4"/>
        <v>250</v>
      </c>
      <c r="F83" s="2">
        <v>6.1700000000000001E-3</v>
      </c>
      <c r="G83" s="26">
        <f t="shared" si="5"/>
        <v>98.72</v>
      </c>
      <c r="H83" s="29">
        <f>O13</f>
        <v>5.25</v>
      </c>
      <c r="I83" s="22">
        <f t="shared" si="6"/>
        <v>0.51827999999999996</v>
      </c>
    </row>
    <row r="84" spans="1:9" x14ac:dyDescent="0.25">
      <c r="A84" t="s">
        <v>153</v>
      </c>
      <c r="B84" s="2">
        <v>8</v>
      </c>
      <c r="C84" s="2">
        <v>175</v>
      </c>
      <c r="D84" s="49">
        <v>100</v>
      </c>
      <c r="E84" s="2">
        <f t="shared" si="4"/>
        <v>275</v>
      </c>
      <c r="F84" s="2">
        <v>6.1700000000000001E-3</v>
      </c>
      <c r="G84" s="26">
        <f t="shared" si="5"/>
        <v>108.592</v>
      </c>
      <c r="H84" s="29">
        <f>O14</f>
        <v>10.5</v>
      </c>
      <c r="I84" s="22">
        <f t="shared" si="6"/>
        <v>1.1402159999999999</v>
      </c>
    </row>
    <row r="85" spans="1:9" x14ac:dyDescent="0.25">
      <c r="A85" t="s">
        <v>155</v>
      </c>
      <c r="B85" s="2">
        <v>8</v>
      </c>
      <c r="C85" s="2">
        <v>200</v>
      </c>
      <c r="D85" s="49">
        <v>100</v>
      </c>
      <c r="E85" s="2">
        <f t="shared" si="4"/>
        <v>300</v>
      </c>
      <c r="F85" s="2">
        <v>6.1700000000000001E-3</v>
      </c>
      <c r="G85" s="26">
        <f t="shared" si="5"/>
        <v>118.464</v>
      </c>
      <c r="H85" s="29">
        <f>O14</f>
        <v>10.5</v>
      </c>
      <c r="I85" s="22">
        <f t="shared" si="6"/>
        <v>1.2438720000000001</v>
      </c>
    </row>
    <row r="86" spans="1:9" x14ac:dyDescent="0.25">
      <c r="A86" t="s">
        <v>157</v>
      </c>
      <c r="B86" s="2">
        <v>8</v>
      </c>
      <c r="C86" s="2">
        <v>250</v>
      </c>
      <c r="D86" s="49">
        <v>100</v>
      </c>
      <c r="E86" s="2">
        <f t="shared" si="4"/>
        <v>350</v>
      </c>
      <c r="F86" s="2">
        <v>6.1700000000000001E-3</v>
      </c>
      <c r="G86" s="26">
        <f t="shared" si="5"/>
        <v>138.208</v>
      </c>
      <c r="H86" s="29">
        <f>O14</f>
        <v>10.5</v>
      </c>
      <c r="I86" s="22">
        <f t="shared" si="6"/>
        <v>1.451184</v>
      </c>
    </row>
    <row r="87" spans="1:9" x14ac:dyDescent="0.25">
      <c r="A87" t="s">
        <v>159</v>
      </c>
      <c r="B87" s="2">
        <v>8</v>
      </c>
      <c r="C87" s="2">
        <v>300</v>
      </c>
      <c r="D87" s="49">
        <v>100</v>
      </c>
      <c r="E87" s="2">
        <f t="shared" si="4"/>
        <v>400</v>
      </c>
      <c r="F87" s="2">
        <v>6.1700000000000001E-3</v>
      </c>
      <c r="G87" s="26">
        <f t="shared" si="5"/>
        <v>157.952</v>
      </c>
      <c r="H87" s="29">
        <f>O14</f>
        <v>10.5</v>
      </c>
      <c r="I87" s="22">
        <f t="shared" si="6"/>
        <v>1.6584960000000002</v>
      </c>
    </row>
    <row r="88" spans="1:9" x14ac:dyDescent="0.25">
      <c r="A88" t="s">
        <v>161</v>
      </c>
      <c r="B88" s="2">
        <v>8</v>
      </c>
      <c r="C88" s="2">
        <v>350</v>
      </c>
      <c r="D88" s="49">
        <v>100</v>
      </c>
      <c r="E88" s="2">
        <f t="shared" si="4"/>
        <v>450</v>
      </c>
      <c r="F88" s="2">
        <v>6.1700000000000001E-3</v>
      </c>
      <c r="G88" s="26">
        <f t="shared" si="5"/>
        <v>177.696</v>
      </c>
      <c r="H88" s="29">
        <f>O14</f>
        <v>10.5</v>
      </c>
      <c r="I88" s="22">
        <f t="shared" si="6"/>
        <v>1.8658079999999999</v>
      </c>
    </row>
    <row r="89" spans="1:9" x14ac:dyDescent="0.25">
      <c r="A89" t="s">
        <v>163</v>
      </c>
      <c r="B89" s="2">
        <v>8</v>
      </c>
      <c r="C89" s="2">
        <v>400</v>
      </c>
      <c r="D89" s="49">
        <v>100</v>
      </c>
      <c r="E89" s="2">
        <f t="shared" si="4"/>
        <v>500</v>
      </c>
      <c r="F89" s="2">
        <v>6.1700000000000001E-3</v>
      </c>
      <c r="G89" s="26">
        <f t="shared" si="5"/>
        <v>197.44</v>
      </c>
      <c r="H89" s="29">
        <f>O15</f>
        <v>12.600000000000001</v>
      </c>
      <c r="I89" s="22">
        <f t="shared" si="6"/>
        <v>2.4877440000000002</v>
      </c>
    </row>
    <row r="90" spans="1:9" x14ac:dyDescent="0.25">
      <c r="A90" t="s">
        <v>165</v>
      </c>
      <c r="B90" s="2">
        <v>8</v>
      </c>
      <c r="C90" s="2">
        <v>500</v>
      </c>
      <c r="D90" s="49">
        <v>100</v>
      </c>
      <c r="E90" s="2">
        <f t="shared" si="4"/>
        <v>600</v>
      </c>
      <c r="F90" s="2">
        <v>6.1700000000000001E-3</v>
      </c>
      <c r="G90" s="26">
        <f t="shared" si="5"/>
        <v>236.928</v>
      </c>
      <c r="H90" s="29">
        <f>O16</f>
        <v>15.75</v>
      </c>
      <c r="I90" s="22">
        <f t="shared" si="6"/>
        <v>3.7316159999999998</v>
      </c>
    </row>
    <row r="91" spans="1:9" x14ac:dyDescent="0.25">
      <c r="A91" t="s">
        <v>177</v>
      </c>
      <c r="B91" s="2">
        <v>10</v>
      </c>
      <c r="C91" s="2">
        <v>200</v>
      </c>
      <c r="D91" s="49">
        <v>100</v>
      </c>
      <c r="E91" s="2">
        <f t="shared" si="4"/>
        <v>300</v>
      </c>
      <c r="F91" s="2">
        <v>6.1700000000000001E-3</v>
      </c>
      <c r="G91" s="26">
        <f t="shared" si="5"/>
        <v>185.1</v>
      </c>
      <c r="H91" s="29">
        <f>O14</f>
        <v>10.5</v>
      </c>
      <c r="I91" s="22">
        <f t="shared" si="6"/>
        <v>1.9435499999999999</v>
      </c>
    </row>
    <row r="92" spans="1:9" x14ac:dyDescent="0.25">
      <c r="A92" t="s">
        <v>179</v>
      </c>
      <c r="B92" s="2">
        <v>10</v>
      </c>
      <c r="C92" s="2">
        <v>250</v>
      </c>
      <c r="D92" s="49">
        <v>100</v>
      </c>
      <c r="E92" s="2">
        <f t="shared" si="4"/>
        <v>350</v>
      </c>
      <c r="F92" s="2">
        <v>6.1700000000000001E-3</v>
      </c>
      <c r="G92" s="26">
        <f t="shared" si="5"/>
        <v>215.95000000000002</v>
      </c>
      <c r="H92" s="29">
        <f>O14</f>
        <v>10.5</v>
      </c>
      <c r="I92" s="22">
        <f t="shared" si="6"/>
        <v>2.2674750000000006</v>
      </c>
    </row>
    <row r="93" spans="1:9" x14ac:dyDescent="0.25">
      <c r="A93" t="s">
        <v>181</v>
      </c>
      <c r="B93" s="2">
        <v>10</v>
      </c>
      <c r="C93" s="2">
        <v>300</v>
      </c>
      <c r="D93" s="49">
        <v>100</v>
      </c>
      <c r="E93" s="2">
        <f t="shared" si="4"/>
        <v>400</v>
      </c>
      <c r="F93" s="2">
        <v>6.1700000000000001E-3</v>
      </c>
      <c r="G93" s="26">
        <f t="shared" si="5"/>
        <v>246.8</v>
      </c>
      <c r="H93" s="29">
        <f>O14</f>
        <v>10.5</v>
      </c>
      <c r="I93" s="22">
        <f t="shared" si="6"/>
        <v>2.5914000000000001</v>
      </c>
    </row>
    <row r="94" spans="1:9" x14ac:dyDescent="0.25">
      <c r="A94" t="s">
        <v>183</v>
      </c>
      <c r="B94" s="2">
        <v>10</v>
      </c>
      <c r="C94" s="2">
        <v>400</v>
      </c>
      <c r="D94" s="49">
        <v>100</v>
      </c>
      <c r="E94" s="2">
        <f t="shared" si="4"/>
        <v>500</v>
      </c>
      <c r="F94" s="2">
        <v>6.1700000000000001E-3</v>
      </c>
      <c r="G94" s="26">
        <f t="shared" si="5"/>
        <v>308.5</v>
      </c>
      <c r="H94" s="29">
        <f>O15</f>
        <v>12.600000000000001</v>
      </c>
      <c r="I94" s="22">
        <f t="shared" si="6"/>
        <v>3.8871000000000002</v>
      </c>
    </row>
    <row r="95" spans="1:9" x14ac:dyDescent="0.25">
      <c r="A95" t="s">
        <v>185</v>
      </c>
      <c r="B95" s="2">
        <v>10</v>
      </c>
      <c r="C95" s="2">
        <v>500</v>
      </c>
      <c r="D95" s="49">
        <v>100</v>
      </c>
      <c r="E95" s="2">
        <f t="shared" si="4"/>
        <v>600</v>
      </c>
      <c r="F95" s="2">
        <v>6.1700000000000001E-3</v>
      </c>
      <c r="G95" s="26">
        <f t="shared" si="5"/>
        <v>370.2</v>
      </c>
      <c r="H95" s="29">
        <f>O16</f>
        <v>15.75</v>
      </c>
      <c r="I95" s="22">
        <f t="shared" si="6"/>
        <v>5.8306499999999994</v>
      </c>
    </row>
    <row r="96" spans="1:9" x14ac:dyDescent="0.25">
      <c r="A96" t="s">
        <v>299</v>
      </c>
      <c r="B96" s="2">
        <v>3</v>
      </c>
      <c r="C96" s="2">
        <v>60</v>
      </c>
      <c r="D96" s="49">
        <v>60</v>
      </c>
      <c r="E96" s="2">
        <f t="shared" si="4"/>
        <v>120</v>
      </c>
      <c r="F96" s="2">
        <v>6.1700000000000001E-3</v>
      </c>
      <c r="G96" s="26">
        <f t="shared" si="5"/>
        <v>6.6635999999999997</v>
      </c>
      <c r="H96" s="29">
        <f>O8</f>
        <v>36.75</v>
      </c>
      <c r="I96" s="22">
        <f t="shared" si="6"/>
        <v>0.24488729999999997</v>
      </c>
    </row>
    <row r="97" spans="1:9" x14ac:dyDescent="0.25">
      <c r="A97" t="s">
        <v>187</v>
      </c>
      <c r="B97" s="2">
        <v>3</v>
      </c>
      <c r="C97" s="2">
        <v>75</v>
      </c>
      <c r="D97" s="49">
        <v>60</v>
      </c>
      <c r="E97" s="2">
        <f t="shared" si="4"/>
        <v>135</v>
      </c>
      <c r="F97" s="2">
        <v>6.1700000000000001E-3</v>
      </c>
      <c r="G97" s="26">
        <f t="shared" si="5"/>
        <v>7.49655</v>
      </c>
      <c r="H97" s="29">
        <f>O8</f>
        <v>36.75</v>
      </c>
      <c r="I97" s="22">
        <f t="shared" si="6"/>
        <v>0.27549821250000001</v>
      </c>
    </row>
    <row r="98" spans="1:9" x14ac:dyDescent="0.25">
      <c r="A98" t="s">
        <v>189</v>
      </c>
      <c r="B98" s="2">
        <v>3</v>
      </c>
      <c r="C98" s="2">
        <v>100</v>
      </c>
      <c r="D98" s="49">
        <v>60</v>
      </c>
      <c r="E98" s="2">
        <f t="shared" si="4"/>
        <v>160</v>
      </c>
      <c r="F98" s="2">
        <v>6.1700000000000001E-3</v>
      </c>
      <c r="G98" s="26">
        <f t="shared" si="5"/>
        <v>8.8848000000000003</v>
      </c>
      <c r="H98" s="29">
        <f>O8</f>
        <v>36.75</v>
      </c>
      <c r="I98" s="22">
        <f t="shared" si="6"/>
        <v>0.32651640000000004</v>
      </c>
    </row>
    <row r="99" spans="1:9" x14ac:dyDescent="0.25">
      <c r="A99" t="s">
        <v>191</v>
      </c>
      <c r="B99" s="2">
        <v>3</v>
      </c>
      <c r="C99" s="2">
        <v>125</v>
      </c>
      <c r="D99" s="49">
        <v>60</v>
      </c>
      <c r="E99" s="2">
        <f t="shared" si="4"/>
        <v>185</v>
      </c>
      <c r="F99" s="2">
        <v>6.1700000000000001E-3</v>
      </c>
      <c r="G99" s="26">
        <f t="shared" si="5"/>
        <v>10.27305</v>
      </c>
      <c r="H99" s="29">
        <f>O8</f>
        <v>36.75</v>
      </c>
      <c r="I99" s="22">
        <f t="shared" si="6"/>
        <v>0.37753458749999996</v>
      </c>
    </row>
    <row r="100" spans="1:9" x14ac:dyDescent="0.25">
      <c r="A100" t="s">
        <v>193</v>
      </c>
      <c r="B100" s="2">
        <v>3</v>
      </c>
      <c r="C100" s="2">
        <v>150</v>
      </c>
      <c r="D100" s="49">
        <v>60</v>
      </c>
      <c r="E100" s="2">
        <f t="shared" si="4"/>
        <v>210</v>
      </c>
      <c r="F100" s="2">
        <v>6.1700000000000001E-3</v>
      </c>
      <c r="G100" s="26">
        <f t="shared" si="5"/>
        <v>11.661300000000001</v>
      </c>
      <c r="H100" s="29">
        <f>O8</f>
        <v>36.75</v>
      </c>
      <c r="I100" s="22">
        <f t="shared" si="6"/>
        <v>0.428552775</v>
      </c>
    </row>
    <row r="101" spans="1:9" x14ac:dyDescent="0.25">
      <c r="A101" t="s">
        <v>195</v>
      </c>
      <c r="B101" s="2">
        <v>3</v>
      </c>
      <c r="C101" s="2">
        <v>200</v>
      </c>
      <c r="D101" s="49">
        <v>60</v>
      </c>
      <c r="E101" s="2">
        <f t="shared" si="4"/>
        <v>260</v>
      </c>
      <c r="F101" s="2">
        <v>6.1700000000000001E-3</v>
      </c>
      <c r="G101" s="26">
        <f t="shared" si="5"/>
        <v>14.437800000000001</v>
      </c>
      <c r="H101" s="29">
        <f>O8</f>
        <v>36.75</v>
      </c>
      <c r="I101" s="22">
        <f t="shared" si="6"/>
        <v>0.53058915000000006</v>
      </c>
    </row>
    <row r="102" spans="1:9" x14ac:dyDescent="0.25">
      <c r="A102" t="s">
        <v>199</v>
      </c>
      <c r="B102" s="2">
        <v>3</v>
      </c>
      <c r="C102" s="2">
        <v>250</v>
      </c>
      <c r="D102" s="49">
        <v>60</v>
      </c>
      <c r="E102" s="2">
        <f t="shared" si="4"/>
        <v>310</v>
      </c>
      <c r="F102" s="2">
        <v>6.1700000000000001E-3</v>
      </c>
      <c r="G102" s="26">
        <f t="shared" si="5"/>
        <v>17.214300000000001</v>
      </c>
      <c r="H102" s="29">
        <f>O8</f>
        <v>36.75</v>
      </c>
      <c r="I102" s="22">
        <f t="shared" si="6"/>
        <v>0.63262552500000002</v>
      </c>
    </row>
    <row r="103" spans="1:9" x14ac:dyDescent="0.25">
      <c r="A103" t="s">
        <v>197</v>
      </c>
      <c r="B103" s="2">
        <v>3</v>
      </c>
      <c r="C103" s="2">
        <v>300</v>
      </c>
      <c r="D103" s="49">
        <v>60</v>
      </c>
      <c r="E103" s="2">
        <f t="shared" si="4"/>
        <v>360</v>
      </c>
      <c r="F103" s="2">
        <v>6.1700000000000001E-3</v>
      </c>
      <c r="G103" s="26">
        <f t="shared" si="5"/>
        <v>19.9908</v>
      </c>
      <c r="H103" s="29">
        <f>O8</f>
        <v>36.75</v>
      </c>
      <c r="I103" s="22">
        <f t="shared" si="6"/>
        <v>0.73466190000000009</v>
      </c>
    </row>
    <row r="104" spans="1:9" x14ac:dyDescent="0.25">
      <c r="A104" t="s">
        <v>201</v>
      </c>
      <c r="B104" s="2">
        <v>4</v>
      </c>
      <c r="C104" s="2">
        <v>80</v>
      </c>
      <c r="D104" s="49">
        <v>60</v>
      </c>
      <c r="E104" s="2">
        <f t="shared" si="4"/>
        <v>140</v>
      </c>
      <c r="F104" s="2">
        <v>6.1700000000000001E-3</v>
      </c>
      <c r="G104" s="26">
        <f t="shared" si="5"/>
        <v>13.8208</v>
      </c>
      <c r="H104" s="29">
        <f>O9</f>
        <v>12.600000000000001</v>
      </c>
      <c r="I104" s="22">
        <f t="shared" si="6"/>
        <v>0.17414208000000003</v>
      </c>
    </row>
    <row r="105" spans="1:9" x14ac:dyDescent="0.25">
      <c r="A105" t="s">
        <v>203</v>
      </c>
      <c r="B105" s="2">
        <v>4</v>
      </c>
      <c r="C105" s="2">
        <v>100</v>
      </c>
      <c r="D105" s="49">
        <v>60</v>
      </c>
      <c r="E105" s="2">
        <f t="shared" si="4"/>
        <v>160</v>
      </c>
      <c r="F105" s="2">
        <v>6.1700000000000001E-3</v>
      </c>
      <c r="G105" s="26">
        <f t="shared" si="5"/>
        <v>15.795200000000001</v>
      </c>
      <c r="H105" s="29">
        <f>O9</f>
        <v>12.600000000000001</v>
      </c>
      <c r="I105" s="22">
        <f t="shared" si="6"/>
        <v>0.19901952000000003</v>
      </c>
    </row>
    <row r="106" spans="1:9" x14ac:dyDescent="0.25">
      <c r="A106" t="s">
        <v>205</v>
      </c>
      <c r="B106" s="2">
        <v>4</v>
      </c>
      <c r="C106" s="2">
        <v>125</v>
      </c>
      <c r="D106" s="49">
        <v>60</v>
      </c>
      <c r="E106" s="2">
        <f t="shared" si="4"/>
        <v>185</v>
      </c>
      <c r="F106" s="2">
        <v>6.1700000000000001E-3</v>
      </c>
      <c r="G106" s="26">
        <f t="shared" si="5"/>
        <v>18.263200000000001</v>
      </c>
      <c r="H106" s="29">
        <f>O9</f>
        <v>12.600000000000001</v>
      </c>
      <c r="I106" s="22">
        <f t="shared" si="6"/>
        <v>0.23011632000000004</v>
      </c>
    </row>
    <row r="107" spans="1:9" x14ac:dyDescent="0.25">
      <c r="A107" t="s">
        <v>207</v>
      </c>
      <c r="B107" s="2">
        <v>4</v>
      </c>
      <c r="C107" s="2">
        <v>150</v>
      </c>
      <c r="D107" s="49">
        <v>60</v>
      </c>
      <c r="E107" s="2">
        <f t="shared" si="4"/>
        <v>210</v>
      </c>
      <c r="F107" s="2">
        <v>6.1700000000000001E-3</v>
      </c>
      <c r="G107" s="26">
        <f t="shared" si="5"/>
        <v>20.731200000000001</v>
      </c>
      <c r="H107" s="29">
        <f>O9</f>
        <v>12.600000000000001</v>
      </c>
      <c r="I107" s="22">
        <f t="shared" si="6"/>
        <v>0.26121312000000008</v>
      </c>
    </row>
    <row r="108" spans="1:9" x14ac:dyDescent="0.25">
      <c r="A108" t="s">
        <v>209</v>
      </c>
      <c r="B108" s="2">
        <v>4</v>
      </c>
      <c r="C108" s="2">
        <v>200</v>
      </c>
      <c r="D108" s="49">
        <v>60</v>
      </c>
      <c r="E108" s="2">
        <f t="shared" si="4"/>
        <v>260</v>
      </c>
      <c r="F108" s="2">
        <v>6.1700000000000001E-3</v>
      </c>
      <c r="G108" s="26">
        <f t="shared" si="5"/>
        <v>25.667200000000001</v>
      </c>
      <c r="H108" s="29">
        <f>O9</f>
        <v>12.600000000000001</v>
      </c>
      <c r="I108" s="22">
        <f t="shared" si="6"/>
        <v>0.32340672000000004</v>
      </c>
    </row>
    <row r="109" spans="1:9" x14ac:dyDescent="0.25">
      <c r="A109" t="s">
        <v>217</v>
      </c>
      <c r="B109" s="2">
        <v>4</v>
      </c>
      <c r="C109" s="2">
        <v>250</v>
      </c>
      <c r="D109" s="49">
        <v>60</v>
      </c>
      <c r="E109" s="2">
        <f t="shared" si="4"/>
        <v>310</v>
      </c>
      <c r="F109" s="2">
        <v>6.1700000000000001E-3</v>
      </c>
      <c r="G109" s="26">
        <f t="shared" si="5"/>
        <v>30.603200000000001</v>
      </c>
      <c r="H109" s="29">
        <f>O9</f>
        <v>12.600000000000001</v>
      </c>
      <c r="I109" s="22">
        <f t="shared" si="6"/>
        <v>0.38560032000000005</v>
      </c>
    </row>
    <row r="110" spans="1:9" x14ac:dyDescent="0.25">
      <c r="A110" t="s">
        <v>211</v>
      </c>
      <c r="B110" s="2">
        <v>4</v>
      </c>
      <c r="C110" s="2">
        <v>300</v>
      </c>
      <c r="D110" s="49">
        <v>60</v>
      </c>
      <c r="E110" s="2">
        <f t="shared" si="4"/>
        <v>360</v>
      </c>
      <c r="F110" s="2">
        <v>6.1700000000000001E-3</v>
      </c>
      <c r="G110" s="26">
        <f t="shared" si="5"/>
        <v>35.539200000000001</v>
      </c>
      <c r="H110" s="29">
        <f>O9</f>
        <v>12.600000000000001</v>
      </c>
      <c r="I110" s="22">
        <f t="shared" si="6"/>
        <v>0.44779392000000007</v>
      </c>
    </row>
    <row r="111" spans="1:9" x14ac:dyDescent="0.25">
      <c r="A111" t="s">
        <v>213</v>
      </c>
      <c r="B111" s="2">
        <v>4</v>
      </c>
      <c r="C111" s="2">
        <v>350</v>
      </c>
      <c r="D111" s="49">
        <v>60</v>
      </c>
      <c r="E111" s="2">
        <f t="shared" si="4"/>
        <v>410</v>
      </c>
      <c r="F111" s="2">
        <v>6.1700000000000001E-3</v>
      </c>
      <c r="G111" s="26">
        <f t="shared" si="5"/>
        <v>40.475200000000001</v>
      </c>
      <c r="H111" s="29">
        <f>O9</f>
        <v>12.600000000000001</v>
      </c>
      <c r="I111" s="22">
        <f t="shared" si="6"/>
        <v>0.50998752000000003</v>
      </c>
    </row>
    <row r="112" spans="1:9" x14ac:dyDescent="0.25">
      <c r="A112" t="s">
        <v>215</v>
      </c>
      <c r="B112" s="2">
        <v>4</v>
      </c>
      <c r="C112" s="2">
        <v>400</v>
      </c>
      <c r="D112" s="49">
        <v>60</v>
      </c>
      <c r="E112" s="2">
        <f t="shared" si="4"/>
        <v>460</v>
      </c>
      <c r="F112" s="2">
        <v>6.1700000000000001E-3</v>
      </c>
      <c r="G112" s="26">
        <f t="shared" si="5"/>
        <v>45.411200000000001</v>
      </c>
      <c r="H112" s="29">
        <f>O10</f>
        <v>18.900000000000002</v>
      </c>
      <c r="I112" s="22">
        <f t="shared" si="6"/>
        <v>0.85827168000000009</v>
      </c>
    </row>
    <row r="113" spans="1:9" x14ac:dyDescent="0.25">
      <c r="A113" t="s">
        <v>219</v>
      </c>
      <c r="B113" s="2">
        <v>4</v>
      </c>
      <c r="C113" s="2">
        <v>500</v>
      </c>
      <c r="D113" s="49">
        <v>60</v>
      </c>
      <c r="E113" s="2">
        <f t="shared" si="4"/>
        <v>560</v>
      </c>
      <c r="F113" s="2">
        <v>6.1700000000000001E-3</v>
      </c>
      <c r="G113" s="26">
        <f t="shared" si="5"/>
        <v>55.283200000000001</v>
      </c>
      <c r="H113" s="29">
        <f>O10</f>
        <v>18.900000000000002</v>
      </c>
      <c r="I113" s="22">
        <f t="shared" si="6"/>
        <v>1.0448524800000003</v>
      </c>
    </row>
    <row r="114" spans="1:9" x14ac:dyDescent="0.25">
      <c r="A114" t="s">
        <v>295</v>
      </c>
      <c r="B114" s="2">
        <v>5</v>
      </c>
      <c r="C114" s="2">
        <v>38</v>
      </c>
      <c r="D114" s="49">
        <v>45</v>
      </c>
      <c r="E114" s="2">
        <f t="shared" si="4"/>
        <v>83</v>
      </c>
      <c r="F114" s="2">
        <v>6.1700000000000001E-3</v>
      </c>
      <c r="G114" s="26">
        <f t="shared" si="5"/>
        <v>12.80275</v>
      </c>
      <c r="H114" s="29">
        <f>O11</f>
        <v>12.600000000000001</v>
      </c>
      <c r="I114" s="22">
        <f t="shared" si="6"/>
        <v>0.16131465</v>
      </c>
    </row>
    <row r="115" spans="1:9" x14ac:dyDescent="0.25">
      <c r="A115" t="s">
        <v>221</v>
      </c>
      <c r="B115" s="2">
        <v>5</v>
      </c>
      <c r="C115" s="2">
        <v>80</v>
      </c>
      <c r="D115" s="49">
        <v>60</v>
      </c>
      <c r="E115" s="2">
        <f t="shared" si="4"/>
        <v>140</v>
      </c>
      <c r="F115" s="2">
        <v>6.1700000000000001E-3</v>
      </c>
      <c r="G115" s="26">
        <f t="shared" si="5"/>
        <v>21.594999999999999</v>
      </c>
      <c r="H115" s="29">
        <f>O11</f>
        <v>12.600000000000001</v>
      </c>
      <c r="I115" s="22">
        <f t="shared" si="6"/>
        <v>0.27209700000000003</v>
      </c>
    </row>
    <row r="116" spans="1:9" x14ac:dyDescent="0.25">
      <c r="A116" t="s">
        <v>223</v>
      </c>
      <c r="B116" s="2">
        <v>5</v>
      </c>
      <c r="C116" s="2">
        <v>100</v>
      </c>
      <c r="D116" s="49">
        <v>60</v>
      </c>
      <c r="E116" s="2">
        <f t="shared" si="4"/>
        <v>160</v>
      </c>
      <c r="F116" s="2">
        <v>6.1700000000000001E-3</v>
      </c>
      <c r="G116" s="26">
        <f t="shared" si="5"/>
        <v>24.68</v>
      </c>
      <c r="H116" s="29">
        <f>O11</f>
        <v>12.600000000000001</v>
      </c>
      <c r="I116" s="22">
        <f t="shared" si="6"/>
        <v>0.31096800000000002</v>
      </c>
    </row>
    <row r="117" spans="1:9" x14ac:dyDescent="0.25">
      <c r="A117" t="s">
        <v>225</v>
      </c>
      <c r="B117" s="2">
        <v>5</v>
      </c>
      <c r="C117" s="2">
        <v>125</v>
      </c>
      <c r="D117" s="49">
        <v>60</v>
      </c>
      <c r="E117" s="2">
        <f t="shared" si="4"/>
        <v>185</v>
      </c>
      <c r="F117" s="2">
        <v>6.1700000000000001E-3</v>
      </c>
      <c r="G117" s="26">
        <f t="shared" si="5"/>
        <v>28.536249999999999</v>
      </c>
      <c r="H117" s="29">
        <f>O11</f>
        <v>12.600000000000001</v>
      </c>
      <c r="I117" s="22">
        <f t="shared" si="6"/>
        <v>0.35955675000000004</v>
      </c>
    </row>
    <row r="118" spans="1:9" x14ac:dyDescent="0.25">
      <c r="A118" t="s">
        <v>227</v>
      </c>
      <c r="B118" s="2">
        <v>5</v>
      </c>
      <c r="C118" s="2">
        <v>150</v>
      </c>
      <c r="D118" s="49">
        <v>60</v>
      </c>
      <c r="E118" s="2">
        <f t="shared" si="4"/>
        <v>210</v>
      </c>
      <c r="F118" s="2">
        <v>6.1700000000000001E-3</v>
      </c>
      <c r="G118" s="26">
        <f t="shared" si="5"/>
        <v>32.392499999999998</v>
      </c>
      <c r="H118" s="29">
        <f>O11</f>
        <v>12.600000000000001</v>
      </c>
      <c r="I118" s="22">
        <f t="shared" si="6"/>
        <v>0.40814550000000005</v>
      </c>
    </row>
    <row r="119" spans="1:9" x14ac:dyDescent="0.25">
      <c r="A119" t="s">
        <v>229</v>
      </c>
      <c r="B119" s="2">
        <v>5</v>
      </c>
      <c r="C119" s="2">
        <v>200</v>
      </c>
      <c r="D119" s="49">
        <v>60</v>
      </c>
      <c r="E119" s="2">
        <f t="shared" si="4"/>
        <v>260</v>
      </c>
      <c r="F119" s="2">
        <v>6.1700000000000001E-3</v>
      </c>
      <c r="G119" s="26">
        <f t="shared" si="5"/>
        <v>40.105000000000004</v>
      </c>
      <c r="H119" s="29">
        <f>O11</f>
        <v>12.600000000000001</v>
      </c>
      <c r="I119" s="22">
        <f t="shared" si="6"/>
        <v>0.50532300000000008</v>
      </c>
    </row>
    <row r="120" spans="1:9" x14ac:dyDescent="0.25">
      <c r="A120" t="s">
        <v>231</v>
      </c>
      <c r="B120" s="2">
        <v>5</v>
      </c>
      <c r="C120" s="2">
        <v>250</v>
      </c>
      <c r="D120" s="49">
        <v>60</v>
      </c>
      <c r="E120" s="2">
        <f t="shared" si="4"/>
        <v>310</v>
      </c>
      <c r="F120" s="2">
        <v>6.1700000000000001E-3</v>
      </c>
      <c r="G120" s="26">
        <f t="shared" si="5"/>
        <v>47.817500000000003</v>
      </c>
      <c r="H120" s="29">
        <f>O11</f>
        <v>12.600000000000001</v>
      </c>
      <c r="I120" s="22">
        <f t="shared" si="6"/>
        <v>0.60250050000000011</v>
      </c>
    </row>
    <row r="121" spans="1:9" x14ac:dyDescent="0.25">
      <c r="A121" t="s">
        <v>233</v>
      </c>
      <c r="B121" s="2">
        <v>5</v>
      </c>
      <c r="C121" s="2">
        <v>300</v>
      </c>
      <c r="D121" s="49">
        <v>60</v>
      </c>
      <c r="E121" s="2">
        <f t="shared" si="4"/>
        <v>360</v>
      </c>
      <c r="F121" s="2">
        <v>6.1700000000000001E-3</v>
      </c>
      <c r="G121" s="26">
        <f t="shared" si="5"/>
        <v>55.53</v>
      </c>
      <c r="H121" s="29">
        <f>O11</f>
        <v>12.600000000000001</v>
      </c>
      <c r="I121" s="22">
        <f t="shared" si="6"/>
        <v>0.69967800000000013</v>
      </c>
    </row>
    <row r="122" spans="1:9" x14ac:dyDescent="0.25">
      <c r="A122" t="s">
        <v>235</v>
      </c>
      <c r="B122" s="2">
        <v>5</v>
      </c>
      <c r="C122" s="2">
        <v>350</v>
      </c>
      <c r="D122" s="49">
        <v>60</v>
      </c>
      <c r="E122" s="2">
        <f t="shared" si="4"/>
        <v>410</v>
      </c>
      <c r="F122" s="2">
        <v>6.1700000000000001E-3</v>
      </c>
      <c r="G122" s="26">
        <f t="shared" si="5"/>
        <v>63.2425</v>
      </c>
      <c r="H122" s="29">
        <f>O11</f>
        <v>12.600000000000001</v>
      </c>
      <c r="I122" s="22">
        <f t="shared" si="6"/>
        <v>0.79685550000000016</v>
      </c>
    </row>
    <row r="123" spans="1:9" x14ac:dyDescent="0.25">
      <c r="A123" t="s">
        <v>237</v>
      </c>
      <c r="B123" s="2">
        <v>5</v>
      </c>
      <c r="C123" s="2">
        <v>400</v>
      </c>
      <c r="D123" s="49">
        <v>60</v>
      </c>
      <c r="E123" s="2">
        <f t="shared" si="4"/>
        <v>460</v>
      </c>
      <c r="F123" s="2">
        <v>6.1700000000000001E-3</v>
      </c>
      <c r="G123" s="26">
        <f t="shared" si="5"/>
        <v>70.954999999999998</v>
      </c>
      <c r="H123" s="29">
        <f>O12</f>
        <v>18.900000000000002</v>
      </c>
      <c r="I123" s="22">
        <f t="shared" si="6"/>
        <v>1.3410495</v>
      </c>
    </row>
    <row r="124" spans="1:9" x14ac:dyDescent="0.25">
      <c r="A124" t="s">
        <v>239</v>
      </c>
      <c r="B124" s="2">
        <v>5</v>
      </c>
      <c r="C124" s="2">
        <v>500</v>
      </c>
      <c r="D124" s="49">
        <v>60</v>
      </c>
      <c r="E124" s="2">
        <f t="shared" si="4"/>
        <v>560</v>
      </c>
      <c r="F124" s="2">
        <v>6.1700000000000001E-3</v>
      </c>
      <c r="G124" s="26">
        <f t="shared" si="5"/>
        <v>86.38</v>
      </c>
      <c r="H124" s="29">
        <f>O12</f>
        <v>18.900000000000002</v>
      </c>
      <c r="I124" s="22">
        <f t="shared" si="6"/>
        <v>1.6325820000000002</v>
      </c>
    </row>
    <row r="125" spans="1:9" x14ac:dyDescent="0.25">
      <c r="A125" t="s">
        <v>297</v>
      </c>
      <c r="B125" s="2">
        <v>6</v>
      </c>
      <c r="C125" s="2">
        <v>38</v>
      </c>
      <c r="D125" s="49">
        <v>45</v>
      </c>
      <c r="E125" s="2">
        <f t="shared" si="4"/>
        <v>83</v>
      </c>
      <c r="F125" s="2">
        <v>6.1700000000000001E-3</v>
      </c>
      <c r="G125" s="26">
        <f t="shared" si="5"/>
        <v>18.435960000000001</v>
      </c>
      <c r="H125" s="29">
        <f>O13</f>
        <v>5.25</v>
      </c>
      <c r="I125" s="22">
        <f t="shared" si="6"/>
        <v>9.678879E-2</v>
      </c>
    </row>
    <row r="126" spans="1:9" x14ac:dyDescent="0.25">
      <c r="A126" t="s">
        <v>241</v>
      </c>
      <c r="B126" s="2">
        <v>6</v>
      </c>
      <c r="C126" s="2">
        <v>100</v>
      </c>
      <c r="D126" s="49">
        <v>80</v>
      </c>
      <c r="E126" s="2">
        <f t="shared" si="4"/>
        <v>180</v>
      </c>
      <c r="F126" s="2">
        <v>6.1700000000000001E-3</v>
      </c>
      <c r="G126" s="26">
        <f t="shared" si="5"/>
        <v>39.9816</v>
      </c>
      <c r="H126" s="29">
        <f>O13</f>
        <v>5.25</v>
      </c>
      <c r="I126" s="22">
        <f t="shared" si="6"/>
        <v>0.20990340000000002</v>
      </c>
    </row>
    <row r="127" spans="1:9" x14ac:dyDescent="0.25">
      <c r="A127" t="s">
        <v>243</v>
      </c>
      <c r="B127" s="2">
        <v>6</v>
      </c>
      <c r="C127" s="2">
        <v>125</v>
      </c>
      <c r="D127" s="49">
        <v>80</v>
      </c>
      <c r="E127" s="2">
        <f t="shared" si="4"/>
        <v>205</v>
      </c>
      <c r="F127" s="2">
        <v>6.1700000000000001E-3</v>
      </c>
      <c r="G127" s="26">
        <f t="shared" si="5"/>
        <v>45.534599999999998</v>
      </c>
      <c r="H127" s="29">
        <f>O13</f>
        <v>5.25</v>
      </c>
      <c r="I127" s="22">
        <f t="shared" si="6"/>
        <v>0.23905664999999998</v>
      </c>
    </row>
    <row r="128" spans="1:9" x14ac:dyDescent="0.25">
      <c r="A128" t="s">
        <v>245</v>
      </c>
      <c r="B128" s="2">
        <v>6</v>
      </c>
      <c r="C128" s="2">
        <v>150</v>
      </c>
      <c r="D128" s="49">
        <v>80</v>
      </c>
      <c r="E128" s="2">
        <f t="shared" si="4"/>
        <v>230</v>
      </c>
      <c r="F128" s="2">
        <v>6.1700000000000001E-3</v>
      </c>
      <c r="G128" s="26">
        <f t="shared" si="5"/>
        <v>51.087600000000002</v>
      </c>
      <c r="H128" s="29">
        <f>O13</f>
        <v>5.25</v>
      </c>
      <c r="I128" s="22">
        <f t="shared" si="6"/>
        <v>0.2682099</v>
      </c>
    </row>
    <row r="129" spans="1:9" x14ac:dyDescent="0.25">
      <c r="A129" t="s">
        <v>247</v>
      </c>
      <c r="B129" s="2">
        <v>6</v>
      </c>
      <c r="C129" s="2">
        <v>200</v>
      </c>
      <c r="D129" s="49">
        <v>80</v>
      </c>
      <c r="E129" s="2">
        <f t="shared" si="4"/>
        <v>280</v>
      </c>
      <c r="F129" s="2">
        <v>6.1700000000000001E-3</v>
      </c>
      <c r="G129" s="26">
        <f t="shared" si="5"/>
        <v>62.193600000000004</v>
      </c>
      <c r="H129" s="29">
        <f>O13</f>
        <v>5.25</v>
      </c>
      <c r="I129" s="22">
        <f t="shared" si="6"/>
        <v>0.32651640000000004</v>
      </c>
    </row>
    <row r="130" spans="1:9" x14ac:dyDescent="0.25">
      <c r="A130" t="s">
        <v>249</v>
      </c>
      <c r="B130" s="2">
        <v>6</v>
      </c>
      <c r="C130" s="2">
        <v>250</v>
      </c>
      <c r="D130" s="49">
        <v>80</v>
      </c>
      <c r="E130" s="2">
        <f t="shared" si="4"/>
        <v>330</v>
      </c>
      <c r="F130" s="2">
        <v>6.1700000000000001E-3</v>
      </c>
      <c r="G130" s="26">
        <f t="shared" si="5"/>
        <v>73.299599999999998</v>
      </c>
      <c r="H130" s="29">
        <f>O14</f>
        <v>10.5</v>
      </c>
      <c r="I130" s="22">
        <f t="shared" si="6"/>
        <v>0.76964580000000005</v>
      </c>
    </row>
    <row r="131" spans="1:9" x14ac:dyDescent="0.25">
      <c r="A131" t="s">
        <v>251</v>
      </c>
      <c r="B131" s="2">
        <v>6</v>
      </c>
      <c r="C131" s="2">
        <v>300</v>
      </c>
      <c r="D131" s="49">
        <v>80</v>
      </c>
      <c r="E131" s="2">
        <f t="shared" si="4"/>
        <v>380</v>
      </c>
      <c r="F131" s="2">
        <v>6.1700000000000001E-3</v>
      </c>
      <c r="G131" s="26">
        <f t="shared" si="5"/>
        <v>84.405600000000007</v>
      </c>
      <c r="H131" s="29">
        <f>O14</f>
        <v>10.5</v>
      </c>
      <c r="I131" s="22">
        <f t="shared" si="6"/>
        <v>0.88625880000000001</v>
      </c>
    </row>
    <row r="132" spans="1:9" x14ac:dyDescent="0.25">
      <c r="A132" t="s">
        <v>253</v>
      </c>
      <c r="B132" s="2">
        <v>6</v>
      </c>
      <c r="C132" s="2">
        <v>350</v>
      </c>
      <c r="D132" s="49">
        <v>80</v>
      </c>
      <c r="E132" s="2">
        <f t="shared" si="4"/>
        <v>430</v>
      </c>
      <c r="F132" s="2">
        <v>6.1700000000000001E-3</v>
      </c>
      <c r="G132" s="26">
        <f t="shared" si="5"/>
        <v>95.511600000000001</v>
      </c>
      <c r="H132" s="29">
        <f>O14</f>
        <v>10.5</v>
      </c>
      <c r="I132" s="22">
        <f t="shared" si="6"/>
        <v>1.0028718000000001</v>
      </c>
    </row>
    <row r="133" spans="1:9" x14ac:dyDescent="0.25">
      <c r="A133" t="s">
        <v>255</v>
      </c>
      <c r="B133" s="2">
        <v>6</v>
      </c>
      <c r="C133" s="2">
        <v>400</v>
      </c>
      <c r="D133" s="49">
        <v>80</v>
      </c>
      <c r="E133" s="2">
        <f t="shared" si="4"/>
        <v>480</v>
      </c>
      <c r="F133" s="2">
        <v>6.1700000000000001E-3</v>
      </c>
      <c r="G133" s="26">
        <f t="shared" si="5"/>
        <v>106.6176</v>
      </c>
      <c r="H133" s="29">
        <f>O15</f>
        <v>12.600000000000001</v>
      </c>
      <c r="I133" s="22">
        <f t="shared" si="6"/>
        <v>1.3433817600000002</v>
      </c>
    </row>
    <row r="134" spans="1:9" x14ac:dyDescent="0.25">
      <c r="A134" t="s">
        <v>257</v>
      </c>
      <c r="B134" s="2">
        <v>6</v>
      </c>
      <c r="C134" s="2">
        <v>450</v>
      </c>
      <c r="D134" s="49">
        <v>80</v>
      </c>
      <c r="E134" s="2">
        <f t="shared" si="4"/>
        <v>530</v>
      </c>
      <c r="F134" s="2">
        <v>6.1700000000000001E-3</v>
      </c>
      <c r="G134" s="26">
        <f t="shared" si="5"/>
        <v>117.7236</v>
      </c>
      <c r="H134" s="29">
        <f>O15</f>
        <v>12.600000000000001</v>
      </c>
      <c r="I134" s="22">
        <f t="shared" si="6"/>
        <v>1.4833173600000003</v>
      </c>
    </row>
    <row r="135" spans="1:9" x14ac:dyDescent="0.25">
      <c r="A135" t="s">
        <v>259</v>
      </c>
      <c r="B135" s="2">
        <v>6</v>
      </c>
      <c r="C135" s="2">
        <v>500</v>
      </c>
      <c r="D135" s="49">
        <v>80</v>
      </c>
      <c r="E135" s="2">
        <f t="shared" si="4"/>
        <v>580</v>
      </c>
      <c r="F135" s="2">
        <v>6.1700000000000001E-3</v>
      </c>
      <c r="G135" s="26">
        <f t="shared" si="5"/>
        <v>128.8296</v>
      </c>
      <c r="H135" s="29">
        <f>O16</f>
        <v>15.75</v>
      </c>
      <c r="I135" s="22">
        <f t="shared" si="6"/>
        <v>2.0290661999999999</v>
      </c>
    </row>
    <row r="136" spans="1:9" x14ac:dyDescent="0.25">
      <c r="A136" t="s">
        <v>261</v>
      </c>
      <c r="B136" s="2">
        <v>7</v>
      </c>
      <c r="C136" s="2">
        <v>150</v>
      </c>
      <c r="D136" s="49">
        <v>100</v>
      </c>
      <c r="E136" s="2">
        <f t="shared" si="4"/>
        <v>250</v>
      </c>
      <c r="F136" s="2">
        <v>6.1700000000000001E-3</v>
      </c>
      <c r="G136" s="26">
        <f t="shared" si="5"/>
        <v>75.582499999999996</v>
      </c>
      <c r="H136" s="29">
        <f>O13</f>
        <v>5.25</v>
      </c>
      <c r="I136" s="22">
        <f t="shared" si="6"/>
        <v>0.39680812499999996</v>
      </c>
    </row>
    <row r="137" spans="1:9" x14ac:dyDescent="0.25">
      <c r="A137" t="s">
        <v>263</v>
      </c>
      <c r="B137" s="2">
        <v>7</v>
      </c>
      <c r="C137" s="2">
        <v>175</v>
      </c>
      <c r="D137" s="49">
        <v>100</v>
      </c>
      <c r="E137" s="2">
        <f t="shared" ref="E137:E200" si="7">D137+C137</f>
        <v>275</v>
      </c>
      <c r="F137" s="2">
        <v>6.1700000000000001E-3</v>
      </c>
      <c r="G137" s="26">
        <f t="shared" ref="G137:G200" si="8">B137*B137*E137*F137</f>
        <v>83.140749999999997</v>
      </c>
      <c r="H137" s="29">
        <f>O13</f>
        <v>5.25</v>
      </c>
      <c r="I137" s="22">
        <f t="shared" si="6"/>
        <v>0.43648893749999995</v>
      </c>
    </row>
    <row r="138" spans="1:9" x14ac:dyDescent="0.25">
      <c r="A138" t="s">
        <v>265</v>
      </c>
      <c r="B138" s="2">
        <v>7</v>
      </c>
      <c r="C138" s="2">
        <v>200</v>
      </c>
      <c r="D138" s="49">
        <v>100</v>
      </c>
      <c r="E138" s="2">
        <f t="shared" si="7"/>
        <v>300</v>
      </c>
      <c r="F138" s="2">
        <v>6.1700000000000001E-3</v>
      </c>
      <c r="G138" s="26">
        <f t="shared" si="8"/>
        <v>90.698999999999998</v>
      </c>
      <c r="H138" s="29">
        <f>O14</f>
        <v>10.5</v>
      </c>
      <c r="I138" s="22">
        <f t="shared" si="6"/>
        <v>0.95233949999999989</v>
      </c>
    </row>
    <row r="139" spans="1:9" x14ac:dyDescent="0.25">
      <c r="A139" t="s">
        <v>267</v>
      </c>
      <c r="B139" s="2">
        <v>7</v>
      </c>
      <c r="C139" s="2">
        <v>250</v>
      </c>
      <c r="D139" s="49">
        <v>100</v>
      </c>
      <c r="E139" s="2">
        <f t="shared" si="7"/>
        <v>350</v>
      </c>
      <c r="F139" s="2">
        <v>6.1700000000000001E-3</v>
      </c>
      <c r="G139" s="26">
        <f t="shared" si="8"/>
        <v>105.8155</v>
      </c>
      <c r="H139" s="29">
        <f>O14</f>
        <v>10.5</v>
      </c>
      <c r="I139" s="22">
        <f t="shared" ref="I139:I202" si="9">G139*H139/1000</f>
        <v>1.1110627500000001</v>
      </c>
    </row>
    <row r="140" spans="1:9" x14ac:dyDescent="0.25">
      <c r="A140" t="s">
        <v>269</v>
      </c>
      <c r="B140" s="2">
        <v>7</v>
      </c>
      <c r="C140" s="2">
        <v>300</v>
      </c>
      <c r="D140" s="49">
        <v>100</v>
      </c>
      <c r="E140" s="2">
        <f t="shared" si="7"/>
        <v>400</v>
      </c>
      <c r="F140" s="2">
        <v>6.1700000000000001E-3</v>
      </c>
      <c r="G140" s="26">
        <f t="shared" si="8"/>
        <v>120.932</v>
      </c>
      <c r="H140" s="29">
        <f>O14</f>
        <v>10.5</v>
      </c>
      <c r="I140" s="22">
        <f t="shared" si="9"/>
        <v>1.2697860000000001</v>
      </c>
    </row>
    <row r="141" spans="1:9" x14ac:dyDescent="0.25">
      <c r="A141" t="s">
        <v>271</v>
      </c>
      <c r="B141" s="2">
        <v>7</v>
      </c>
      <c r="C141" s="2">
        <v>350</v>
      </c>
      <c r="D141" s="49">
        <v>100</v>
      </c>
      <c r="E141" s="2">
        <f t="shared" si="7"/>
        <v>450</v>
      </c>
      <c r="F141" s="2">
        <v>6.1700000000000001E-3</v>
      </c>
      <c r="G141" s="26">
        <f t="shared" si="8"/>
        <v>136.04849999999999</v>
      </c>
      <c r="H141" s="29">
        <f>O14</f>
        <v>10.5</v>
      </c>
      <c r="I141" s="22">
        <f t="shared" si="9"/>
        <v>1.4285092499999998</v>
      </c>
    </row>
    <row r="142" spans="1:9" x14ac:dyDescent="0.25">
      <c r="A142" t="s">
        <v>273</v>
      </c>
      <c r="B142" s="2">
        <v>7</v>
      </c>
      <c r="C142" s="2">
        <v>400</v>
      </c>
      <c r="D142" s="49">
        <v>100</v>
      </c>
      <c r="E142" s="2">
        <f t="shared" si="7"/>
        <v>500</v>
      </c>
      <c r="F142" s="2">
        <v>6.1700000000000001E-3</v>
      </c>
      <c r="G142" s="26">
        <f t="shared" si="8"/>
        <v>151.16499999999999</v>
      </c>
      <c r="H142" s="29">
        <f>O15</f>
        <v>12.600000000000001</v>
      </c>
      <c r="I142" s="22">
        <f t="shared" si="9"/>
        <v>1.904679</v>
      </c>
    </row>
    <row r="143" spans="1:9" x14ac:dyDescent="0.25">
      <c r="A143" t="s">
        <v>275</v>
      </c>
      <c r="B143" s="2">
        <v>7</v>
      </c>
      <c r="C143" s="2">
        <v>450</v>
      </c>
      <c r="D143" s="49">
        <v>100</v>
      </c>
      <c r="E143" s="2">
        <f t="shared" si="7"/>
        <v>550</v>
      </c>
      <c r="F143" s="2">
        <v>6.1700000000000001E-3</v>
      </c>
      <c r="G143" s="26">
        <f t="shared" si="8"/>
        <v>166.28149999999999</v>
      </c>
      <c r="H143" s="29">
        <f>O15</f>
        <v>12.600000000000001</v>
      </c>
      <c r="I143" s="22">
        <f t="shared" si="9"/>
        <v>2.0951469</v>
      </c>
    </row>
    <row r="144" spans="1:9" x14ac:dyDescent="0.25">
      <c r="A144" t="s">
        <v>277</v>
      </c>
      <c r="B144" s="2">
        <v>7</v>
      </c>
      <c r="C144" s="2">
        <v>500</v>
      </c>
      <c r="D144" s="49">
        <v>100</v>
      </c>
      <c r="E144" s="2">
        <f t="shared" si="7"/>
        <v>600</v>
      </c>
      <c r="F144" s="2">
        <v>6.1700000000000001E-3</v>
      </c>
      <c r="G144" s="26">
        <f t="shared" si="8"/>
        <v>181.398</v>
      </c>
      <c r="H144" s="29">
        <f>O16</f>
        <v>15.75</v>
      </c>
      <c r="I144" s="22">
        <f t="shared" si="9"/>
        <v>2.8570185000000001</v>
      </c>
    </row>
    <row r="145" spans="1:9" x14ac:dyDescent="0.25">
      <c r="A145" t="s">
        <v>279</v>
      </c>
      <c r="B145" s="2">
        <v>8</v>
      </c>
      <c r="C145" s="2">
        <v>175</v>
      </c>
      <c r="D145" s="49">
        <v>100</v>
      </c>
      <c r="E145" s="2">
        <f t="shared" si="7"/>
        <v>275</v>
      </c>
      <c r="F145" s="2">
        <v>6.1700000000000001E-3</v>
      </c>
      <c r="G145" s="26">
        <f t="shared" si="8"/>
        <v>108.592</v>
      </c>
      <c r="H145" s="29">
        <f>O14</f>
        <v>10.5</v>
      </c>
      <c r="I145" s="22">
        <f t="shared" si="9"/>
        <v>1.1402159999999999</v>
      </c>
    </row>
    <row r="146" spans="1:9" x14ac:dyDescent="0.25">
      <c r="A146" t="s">
        <v>281</v>
      </c>
      <c r="B146" s="2">
        <v>8</v>
      </c>
      <c r="C146" s="2">
        <v>200</v>
      </c>
      <c r="D146" s="49">
        <v>100</v>
      </c>
      <c r="E146" s="2">
        <f t="shared" si="7"/>
        <v>300</v>
      </c>
      <c r="F146" s="2">
        <v>6.1700000000000001E-3</v>
      </c>
      <c r="G146" s="26">
        <f t="shared" si="8"/>
        <v>118.464</v>
      </c>
      <c r="H146" s="29">
        <f>O14</f>
        <v>10.5</v>
      </c>
      <c r="I146" s="22">
        <f t="shared" si="9"/>
        <v>1.2438720000000001</v>
      </c>
    </row>
    <row r="147" spans="1:9" x14ac:dyDescent="0.25">
      <c r="A147" t="s">
        <v>283</v>
      </c>
      <c r="B147" s="2">
        <v>8</v>
      </c>
      <c r="C147" s="2">
        <v>250</v>
      </c>
      <c r="D147" s="49">
        <v>100</v>
      </c>
      <c r="E147" s="2">
        <f t="shared" si="7"/>
        <v>350</v>
      </c>
      <c r="F147" s="2">
        <v>6.1700000000000001E-3</v>
      </c>
      <c r="G147" s="26">
        <f t="shared" si="8"/>
        <v>138.208</v>
      </c>
      <c r="H147" s="29">
        <f>O14</f>
        <v>10.5</v>
      </c>
      <c r="I147" s="22">
        <f t="shared" si="9"/>
        <v>1.451184</v>
      </c>
    </row>
    <row r="148" spans="1:9" x14ac:dyDescent="0.25">
      <c r="A148" t="s">
        <v>285</v>
      </c>
      <c r="B148" s="2">
        <v>8</v>
      </c>
      <c r="C148" s="2">
        <v>300</v>
      </c>
      <c r="D148" s="49">
        <v>100</v>
      </c>
      <c r="E148" s="2">
        <f t="shared" si="7"/>
        <v>400</v>
      </c>
      <c r="F148" s="2">
        <v>6.1700000000000001E-3</v>
      </c>
      <c r="G148" s="26">
        <f t="shared" si="8"/>
        <v>157.952</v>
      </c>
      <c r="H148" s="29">
        <f>O14</f>
        <v>10.5</v>
      </c>
      <c r="I148" s="22">
        <f t="shared" si="9"/>
        <v>1.6584960000000002</v>
      </c>
    </row>
    <row r="149" spans="1:9" x14ac:dyDescent="0.25">
      <c r="A149" t="s">
        <v>287</v>
      </c>
      <c r="B149" s="2">
        <v>8</v>
      </c>
      <c r="C149" s="2">
        <v>350</v>
      </c>
      <c r="D149" s="49">
        <v>100</v>
      </c>
      <c r="E149" s="2">
        <f t="shared" si="7"/>
        <v>450</v>
      </c>
      <c r="F149" s="2">
        <v>6.1700000000000001E-3</v>
      </c>
      <c r="G149" s="26">
        <f t="shared" si="8"/>
        <v>177.696</v>
      </c>
      <c r="H149" s="29">
        <f>O14</f>
        <v>10.5</v>
      </c>
      <c r="I149" s="22">
        <f t="shared" si="9"/>
        <v>1.8658079999999999</v>
      </c>
    </row>
    <row r="150" spans="1:9" x14ac:dyDescent="0.25">
      <c r="A150" t="s">
        <v>289</v>
      </c>
      <c r="B150" s="2">
        <v>8</v>
      </c>
      <c r="C150" s="2">
        <v>400</v>
      </c>
      <c r="D150" s="49">
        <v>100</v>
      </c>
      <c r="E150" s="2">
        <f t="shared" si="7"/>
        <v>500</v>
      </c>
      <c r="F150" s="2">
        <v>6.1700000000000001E-3</v>
      </c>
      <c r="G150" s="26">
        <f t="shared" si="8"/>
        <v>197.44</v>
      </c>
      <c r="H150" s="29">
        <f>O15</f>
        <v>12.600000000000001</v>
      </c>
      <c r="I150" s="22">
        <f t="shared" si="9"/>
        <v>2.4877440000000002</v>
      </c>
    </row>
    <row r="151" spans="1:9" x14ac:dyDescent="0.25">
      <c r="A151" t="s">
        <v>291</v>
      </c>
      <c r="B151" s="2">
        <v>8</v>
      </c>
      <c r="C151" s="2">
        <v>450</v>
      </c>
      <c r="D151" s="49">
        <v>100</v>
      </c>
      <c r="E151" s="2">
        <f t="shared" si="7"/>
        <v>550</v>
      </c>
      <c r="F151" s="2">
        <v>6.1700000000000001E-3</v>
      </c>
      <c r="G151" s="26">
        <f t="shared" si="8"/>
        <v>217.184</v>
      </c>
      <c r="H151" s="29">
        <f>O15</f>
        <v>12.600000000000001</v>
      </c>
      <c r="I151" s="22">
        <f t="shared" si="9"/>
        <v>2.7365184000000005</v>
      </c>
    </row>
    <row r="152" spans="1:9" x14ac:dyDescent="0.25">
      <c r="A152" t="s">
        <v>293</v>
      </c>
      <c r="B152" s="2">
        <v>8</v>
      </c>
      <c r="C152" s="2">
        <v>500</v>
      </c>
      <c r="D152" s="49">
        <v>100</v>
      </c>
      <c r="E152" s="2">
        <f t="shared" si="7"/>
        <v>600</v>
      </c>
      <c r="F152" s="2">
        <v>6.1700000000000001E-3</v>
      </c>
      <c r="G152" s="26">
        <f t="shared" si="8"/>
        <v>236.928</v>
      </c>
      <c r="H152" s="29">
        <f>O16</f>
        <v>15.75</v>
      </c>
      <c r="I152" s="22">
        <f t="shared" si="9"/>
        <v>3.7316159999999998</v>
      </c>
    </row>
    <row r="153" spans="1:9" x14ac:dyDescent="0.25">
      <c r="A153" t="s">
        <v>349</v>
      </c>
      <c r="B153" s="2">
        <v>3</v>
      </c>
      <c r="C153" s="2">
        <v>60</v>
      </c>
      <c r="D153" s="49">
        <v>60</v>
      </c>
      <c r="E153" s="2">
        <f t="shared" si="7"/>
        <v>120</v>
      </c>
      <c r="F153" s="2">
        <v>6.1700000000000001E-3</v>
      </c>
      <c r="G153" s="26">
        <f t="shared" si="8"/>
        <v>6.6635999999999997</v>
      </c>
      <c r="H153" s="29">
        <f>O8</f>
        <v>36.75</v>
      </c>
      <c r="I153" s="22">
        <f t="shared" si="9"/>
        <v>0.24488729999999997</v>
      </c>
    </row>
    <row r="154" spans="1:9" x14ac:dyDescent="0.25">
      <c r="A154" t="s">
        <v>351</v>
      </c>
      <c r="B154" s="2">
        <v>3</v>
      </c>
      <c r="C154" s="2">
        <v>75</v>
      </c>
      <c r="D154" s="49">
        <v>60</v>
      </c>
      <c r="E154" s="2">
        <f t="shared" si="7"/>
        <v>135</v>
      </c>
      <c r="F154" s="2">
        <v>6.1700000000000001E-3</v>
      </c>
      <c r="G154" s="26">
        <f t="shared" si="8"/>
        <v>7.49655</v>
      </c>
      <c r="H154" s="29">
        <f>O8</f>
        <v>36.75</v>
      </c>
      <c r="I154" s="22">
        <f t="shared" si="9"/>
        <v>0.27549821250000001</v>
      </c>
    </row>
    <row r="155" spans="1:9" x14ac:dyDescent="0.25">
      <c r="A155" t="s">
        <v>353</v>
      </c>
      <c r="B155" s="2">
        <v>3</v>
      </c>
      <c r="C155" s="2">
        <v>100</v>
      </c>
      <c r="D155" s="49">
        <v>60</v>
      </c>
      <c r="E155" s="2">
        <f t="shared" si="7"/>
        <v>160</v>
      </c>
      <c r="F155" s="2">
        <v>6.1700000000000001E-3</v>
      </c>
      <c r="G155" s="26">
        <f t="shared" si="8"/>
        <v>8.8848000000000003</v>
      </c>
      <c r="H155" s="29">
        <f>O8</f>
        <v>36.75</v>
      </c>
      <c r="I155" s="22">
        <f t="shared" si="9"/>
        <v>0.32651640000000004</v>
      </c>
    </row>
    <row r="156" spans="1:9" x14ac:dyDescent="0.25">
      <c r="A156" t="s">
        <v>355</v>
      </c>
      <c r="B156" s="2">
        <v>3</v>
      </c>
      <c r="C156" s="2">
        <v>125</v>
      </c>
      <c r="D156" s="49">
        <v>60</v>
      </c>
      <c r="E156" s="2">
        <f t="shared" si="7"/>
        <v>185</v>
      </c>
      <c r="F156" s="2">
        <v>6.1700000000000001E-3</v>
      </c>
      <c r="G156" s="26">
        <f t="shared" si="8"/>
        <v>10.27305</v>
      </c>
      <c r="H156" s="29">
        <f>O8</f>
        <v>36.75</v>
      </c>
      <c r="I156" s="22">
        <f t="shared" si="9"/>
        <v>0.37753458749999996</v>
      </c>
    </row>
    <row r="157" spans="1:9" x14ac:dyDescent="0.25">
      <c r="A157" t="s">
        <v>357</v>
      </c>
      <c r="B157" s="2">
        <v>3</v>
      </c>
      <c r="C157" s="2">
        <v>150</v>
      </c>
      <c r="D157" s="49">
        <v>60</v>
      </c>
      <c r="E157" s="2">
        <f t="shared" si="7"/>
        <v>210</v>
      </c>
      <c r="F157" s="2">
        <v>6.1700000000000001E-3</v>
      </c>
      <c r="G157" s="26">
        <f t="shared" si="8"/>
        <v>11.661300000000001</v>
      </c>
      <c r="H157" s="29">
        <f>O8</f>
        <v>36.75</v>
      </c>
      <c r="I157" s="22">
        <f t="shared" si="9"/>
        <v>0.428552775</v>
      </c>
    </row>
    <row r="158" spans="1:9" x14ac:dyDescent="0.25">
      <c r="A158" t="s">
        <v>359</v>
      </c>
      <c r="B158" s="2">
        <v>3</v>
      </c>
      <c r="C158" s="2">
        <v>200</v>
      </c>
      <c r="D158" s="49">
        <v>60</v>
      </c>
      <c r="E158" s="2">
        <f t="shared" si="7"/>
        <v>260</v>
      </c>
      <c r="F158" s="2">
        <v>6.1700000000000001E-3</v>
      </c>
      <c r="G158" s="26">
        <f t="shared" si="8"/>
        <v>14.437800000000001</v>
      </c>
      <c r="H158" s="29">
        <f>O8</f>
        <v>36.75</v>
      </c>
      <c r="I158" s="22">
        <f t="shared" si="9"/>
        <v>0.53058915000000006</v>
      </c>
    </row>
    <row r="159" spans="1:9" x14ac:dyDescent="0.25">
      <c r="A159" t="s">
        <v>361</v>
      </c>
      <c r="B159" s="2">
        <v>3</v>
      </c>
      <c r="C159" s="2">
        <v>250</v>
      </c>
      <c r="D159" s="49">
        <v>60</v>
      </c>
      <c r="E159" s="2">
        <f t="shared" si="7"/>
        <v>310</v>
      </c>
      <c r="F159" s="2">
        <v>6.1700000000000001E-3</v>
      </c>
      <c r="G159" s="26">
        <f t="shared" si="8"/>
        <v>17.214300000000001</v>
      </c>
      <c r="H159" s="29">
        <f>O8</f>
        <v>36.75</v>
      </c>
      <c r="I159" s="22">
        <f t="shared" si="9"/>
        <v>0.63262552500000002</v>
      </c>
    </row>
    <row r="160" spans="1:9" x14ac:dyDescent="0.25">
      <c r="A160" t="s">
        <v>363</v>
      </c>
      <c r="B160" s="2">
        <v>3</v>
      </c>
      <c r="C160" s="2">
        <v>300</v>
      </c>
      <c r="D160" s="49">
        <v>60</v>
      </c>
      <c r="E160" s="2">
        <f t="shared" si="7"/>
        <v>360</v>
      </c>
      <c r="F160" s="2">
        <v>6.1700000000000001E-3</v>
      </c>
      <c r="G160" s="26">
        <f t="shared" si="8"/>
        <v>19.9908</v>
      </c>
      <c r="H160" s="29">
        <f>O8</f>
        <v>36.75</v>
      </c>
      <c r="I160" s="22">
        <f t="shared" si="9"/>
        <v>0.73466190000000009</v>
      </c>
    </row>
    <row r="161" spans="1:9" x14ac:dyDescent="0.25">
      <c r="A161" t="s">
        <v>365</v>
      </c>
      <c r="B161" s="2">
        <v>4</v>
      </c>
      <c r="C161" s="2">
        <v>80</v>
      </c>
      <c r="D161" s="49">
        <v>60</v>
      </c>
      <c r="E161" s="2">
        <f t="shared" si="7"/>
        <v>140</v>
      </c>
      <c r="F161" s="2">
        <v>6.1700000000000001E-3</v>
      </c>
      <c r="G161" s="26">
        <f t="shared" si="8"/>
        <v>13.8208</v>
      </c>
      <c r="H161" s="29">
        <f>O9</f>
        <v>12.600000000000001</v>
      </c>
      <c r="I161" s="22">
        <f t="shared" si="9"/>
        <v>0.17414208000000003</v>
      </c>
    </row>
    <row r="162" spans="1:9" x14ac:dyDescent="0.25">
      <c r="A162" t="s">
        <v>367</v>
      </c>
      <c r="B162" s="2">
        <v>4</v>
      </c>
      <c r="C162" s="2">
        <v>100</v>
      </c>
      <c r="D162" s="49">
        <v>60</v>
      </c>
      <c r="E162" s="2">
        <f t="shared" si="7"/>
        <v>160</v>
      </c>
      <c r="F162" s="2">
        <v>6.1700000000000001E-3</v>
      </c>
      <c r="G162" s="26">
        <f t="shared" si="8"/>
        <v>15.795200000000001</v>
      </c>
      <c r="H162" s="29">
        <f>O9</f>
        <v>12.600000000000001</v>
      </c>
      <c r="I162" s="22">
        <f t="shared" si="9"/>
        <v>0.19901952000000003</v>
      </c>
    </row>
    <row r="163" spans="1:9" x14ac:dyDescent="0.25">
      <c r="A163" t="s">
        <v>369</v>
      </c>
      <c r="B163" s="2">
        <v>4</v>
      </c>
      <c r="C163" s="2">
        <v>125</v>
      </c>
      <c r="D163" s="49">
        <v>60</v>
      </c>
      <c r="E163" s="2">
        <f t="shared" si="7"/>
        <v>185</v>
      </c>
      <c r="F163" s="2">
        <v>6.1700000000000001E-3</v>
      </c>
      <c r="G163" s="26">
        <f t="shared" si="8"/>
        <v>18.263200000000001</v>
      </c>
      <c r="H163" s="29">
        <f>O9</f>
        <v>12.600000000000001</v>
      </c>
      <c r="I163" s="22">
        <f t="shared" si="9"/>
        <v>0.23011632000000004</v>
      </c>
    </row>
    <row r="164" spans="1:9" x14ac:dyDescent="0.25">
      <c r="A164" t="s">
        <v>371</v>
      </c>
      <c r="B164" s="2">
        <v>4</v>
      </c>
      <c r="C164" s="2">
        <v>150</v>
      </c>
      <c r="D164" s="49">
        <v>60</v>
      </c>
      <c r="E164" s="2">
        <f t="shared" si="7"/>
        <v>210</v>
      </c>
      <c r="F164" s="2">
        <v>6.1700000000000001E-3</v>
      </c>
      <c r="G164" s="26">
        <f t="shared" si="8"/>
        <v>20.731200000000001</v>
      </c>
      <c r="H164" s="29">
        <f>O9</f>
        <v>12.600000000000001</v>
      </c>
      <c r="I164" s="22">
        <f t="shared" si="9"/>
        <v>0.26121312000000008</v>
      </c>
    </row>
    <row r="165" spans="1:9" x14ac:dyDescent="0.25">
      <c r="A165" t="s">
        <v>373</v>
      </c>
      <c r="B165" s="2">
        <v>4</v>
      </c>
      <c r="C165" s="2">
        <v>200</v>
      </c>
      <c r="D165" s="49">
        <v>60</v>
      </c>
      <c r="E165" s="2">
        <f t="shared" si="7"/>
        <v>260</v>
      </c>
      <c r="F165" s="2">
        <v>6.1700000000000001E-3</v>
      </c>
      <c r="G165" s="26">
        <f t="shared" si="8"/>
        <v>25.667200000000001</v>
      </c>
      <c r="H165" s="29">
        <f>O9</f>
        <v>12.600000000000001</v>
      </c>
      <c r="I165" s="22">
        <f t="shared" si="9"/>
        <v>0.32340672000000004</v>
      </c>
    </row>
    <row r="166" spans="1:9" x14ac:dyDescent="0.25">
      <c r="A166" t="s">
        <v>375</v>
      </c>
      <c r="B166" s="2">
        <v>4</v>
      </c>
      <c r="C166" s="2">
        <v>250</v>
      </c>
      <c r="D166" s="49">
        <v>60</v>
      </c>
      <c r="E166" s="2">
        <f t="shared" si="7"/>
        <v>310</v>
      </c>
      <c r="F166" s="2">
        <v>6.1700000000000001E-3</v>
      </c>
      <c r="G166" s="26">
        <f t="shared" si="8"/>
        <v>30.603200000000001</v>
      </c>
      <c r="H166" s="29">
        <f>O9</f>
        <v>12.600000000000001</v>
      </c>
      <c r="I166" s="22">
        <f t="shared" si="9"/>
        <v>0.38560032000000005</v>
      </c>
    </row>
    <row r="167" spans="1:9" x14ac:dyDescent="0.25">
      <c r="A167" t="s">
        <v>377</v>
      </c>
      <c r="B167" s="2">
        <v>4</v>
      </c>
      <c r="C167" s="2">
        <v>300</v>
      </c>
      <c r="D167" s="49">
        <v>60</v>
      </c>
      <c r="E167" s="2">
        <f t="shared" si="7"/>
        <v>360</v>
      </c>
      <c r="F167" s="2">
        <v>6.1700000000000001E-3</v>
      </c>
      <c r="G167" s="26">
        <f t="shared" si="8"/>
        <v>35.539200000000001</v>
      </c>
      <c r="H167" s="29">
        <f>O9</f>
        <v>12.600000000000001</v>
      </c>
      <c r="I167" s="22">
        <f t="shared" si="9"/>
        <v>0.44779392000000007</v>
      </c>
    </row>
    <row r="168" spans="1:9" x14ac:dyDescent="0.25">
      <c r="A168" t="s">
        <v>379</v>
      </c>
      <c r="B168" s="2">
        <v>4</v>
      </c>
      <c r="C168" s="2">
        <v>350</v>
      </c>
      <c r="D168" s="49">
        <v>60</v>
      </c>
      <c r="E168" s="2">
        <f t="shared" si="7"/>
        <v>410</v>
      </c>
      <c r="F168" s="2">
        <v>6.1700000000000001E-3</v>
      </c>
      <c r="G168" s="26">
        <f t="shared" si="8"/>
        <v>40.475200000000001</v>
      </c>
      <c r="H168" s="29">
        <f>O9</f>
        <v>12.600000000000001</v>
      </c>
      <c r="I168" s="22">
        <f t="shared" si="9"/>
        <v>0.50998752000000003</v>
      </c>
    </row>
    <row r="169" spans="1:9" x14ac:dyDescent="0.25">
      <c r="A169" t="s">
        <v>381</v>
      </c>
      <c r="B169" s="2">
        <v>4</v>
      </c>
      <c r="C169" s="2">
        <v>400</v>
      </c>
      <c r="D169" s="49">
        <v>60</v>
      </c>
      <c r="E169" s="2">
        <f t="shared" si="7"/>
        <v>460</v>
      </c>
      <c r="F169" s="2">
        <v>6.1700000000000001E-3</v>
      </c>
      <c r="G169" s="26">
        <f t="shared" si="8"/>
        <v>45.411200000000001</v>
      </c>
      <c r="H169" s="29">
        <f>O10</f>
        <v>18.900000000000002</v>
      </c>
      <c r="I169" s="22">
        <f t="shared" si="9"/>
        <v>0.85827168000000009</v>
      </c>
    </row>
    <row r="170" spans="1:9" x14ac:dyDescent="0.25">
      <c r="A170" t="s">
        <v>383</v>
      </c>
      <c r="B170" s="2">
        <v>4</v>
      </c>
      <c r="C170" s="2">
        <v>500</v>
      </c>
      <c r="D170" s="49">
        <v>60</v>
      </c>
      <c r="E170" s="2">
        <f t="shared" si="7"/>
        <v>560</v>
      </c>
      <c r="F170" s="2">
        <v>6.1700000000000001E-3</v>
      </c>
      <c r="G170" s="26">
        <f t="shared" si="8"/>
        <v>55.283200000000001</v>
      </c>
      <c r="H170" s="29">
        <f>O10</f>
        <v>18.900000000000002</v>
      </c>
      <c r="I170" s="22">
        <f t="shared" si="9"/>
        <v>1.0448524800000003</v>
      </c>
    </row>
    <row r="171" spans="1:9" x14ac:dyDescent="0.25">
      <c r="A171" t="s">
        <v>385</v>
      </c>
      <c r="B171" s="2">
        <v>5</v>
      </c>
      <c r="C171" s="2">
        <v>38</v>
      </c>
      <c r="D171" s="49">
        <v>45</v>
      </c>
      <c r="E171" s="2">
        <f t="shared" si="7"/>
        <v>83</v>
      </c>
      <c r="F171" s="2">
        <v>6.1700000000000001E-3</v>
      </c>
      <c r="G171" s="26">
        <f t="shared" si="8"/>
        <v>12.80275</v>
      </c>
      <c r="H171" s="29">
        <f>O11</f>
        <v>12.600000000000001</v>
      </c>
      <c r="I171" s="22">
        <f t="shared" si="9"/>
        <v>0.16131465</v>
      </c>
    </row>
    <row r="172" spans="1:9" x14ac:dyDescent="0.25">
      <c r="A172" t="s">
        <v>387</v>
      </c>
      <c r="B172" s="2">
        <v>5</v>
      </c>
      <c r="C172" s="2">
        <v>80</v>
      </c>
      <c r="D172" s="49">
        <v>60</v>
      </c>
      <c r="E172" s="2">
        <f t="shared" si="7"/>
        <v>140</v>
      </c>
      <c r="F172" s="2">
        <v>6.1700000000000001E-3</v>
      </c>
      <c r="G172" s="26">
        <f t="shared" si="8"/>
        <v>21.594999999999999</v>
      </c>
      <c r="H172" s="29">
        <f>O11</f>
        <v>12.600000000000001</v>
      </c>
      <c r="I172" s="22">
        <f t="shared" si="9"/>
        <v>0.27209700000000003</v>
      </c>
    </row>
    <row r="173" spans="1:9" x14ac:dyDescent="0.25">
      <c r="A173" t="s">
        <v>389</v>
      </c>
      <c r="B173" s="2">
        <v>5</v>
      </c>
      <c r="C173" s="2">
        <v>100</v>
      </c>
      <c r="D173" s="49">
        <v>60</v>
      </c>
      <c r="E173" s="2">
        <f t="shared" si="7"/>
        <v>160</v>
      </c>
      <c r="F173" s="2">
        <v>6.1700000000000001E-3</v>
      </c>
      <c r="G173" s="26">
        <f t="shared" si="8"/>
        <v>24.68</v>
      </c>
      <c r="H173" s="29">
        <f>O11</f>
        <v>12.600000000000001</v>
      </c>
      <c r="I173" s="22">
        <f t="shared" si="9"/>
        <v>0.31096800000000002</v>
      </c>
    </row>
    <row r="174" spans="1:9" x14ac:dyDescent="0.25">
      <c r="A174" t="s">
        <v>391</v>
      </c>
      <c r="B174" s="2">
        <v>5</v>
      </c>
      <c r="C174" s="2">
        <v>125</v>
      </c>
      <c r="D174" s="49">
        <v>60</v>
      </c>
      <c r="E174" s="2">
        <f t="shared" si="7"/>
        <v>185</v>
      </c>
      <c r="F174" s="2">
        <v>6.1700000000000001E-3</v>
      </c>
      <c r="G174" s="26">
        <f t="shared" si="8"/>
        <v>28.536249999999999</v>
      </c>
      <c r="H174" s="29">
        <f>O11</f>
        <v>12.600000000000001</v>
      </c>
      <c r="I174" s="22">
        <f t="shared" si="9"/>
        <v>0.35955675000000004</v>
      </c>
    </row>
    <row r="175" spans="1:9" x14ac:dyDescent="0.25">
      <c r="A175" t="s">
        <v>393</v>
      </c>
      <c r="B175" s="2">
        <v>5</v>
      </c>
      <c r="C175" s="2">
        <v>150</v>
      </c>
      <c r="D175" s="49">
        <v>60</v>
      </c>
      <c r="E175" s="2">
        <f t="shared" si="7"/>
        <v>210</v>
      </c>
      <c r="F175" s="2">
        <v>6.1700000000000001E-3</v>
      </c>
      <c r="G175" s="26">
        <f t="shared" si="8"/>
        <v>32.392499999999998</v>
      </c>
      <c r="H175" s="29">
        <f>O11</f>
        <v>12.600000000000001</v>
      </c>
      <c r="I175" s="22">
        <f t="shared" si="9"/>
        <v>0.40814550000000005</v>
      </c>
    </row>
    <row r="176" spans="1:9" x14ac:dyDescent="0.25">
      <c r="A176" t="s">
        <v>395</v>
      </c>
      <c r="B176" s="2">
        <v>5</v>
      </c>
      <c r="C176" s="2">
        <v>200</v>
      </c>
      <c r="D176" s="49">
        <v>60</v>
      </c>
      <c r="E176" s="2">
        <f t="shared" si="7"/>
        <v>260</v>
      </c>
      <c r="F176" s="2">
        <v>6.1700000000000001E-3</v>
      </c>
      <c r="G176" s="26">
        <f t="shared" si="8"/>
        <v>40.105000000000004</v>
      </c>
      <c r="H176" s="29">
        <f>O11</f>
        <v>12.600000000000001</v>
      </c>
      <c r="I176" s="22">
        <f t="shared" si="9"/>
        <v>0.50532300000000008</v>
      </c>
    </row>
    <row r="177" spans="1:9" x14ac:dyDescent="0.25">
      <c r="A177" t="s">
        <v>397</v>
      </c>
      <c r="B177" s="2">
        <v>5</v>
      </c>
      <c r="C177" s="2">
        <v>250</v>
      </c>
      <c r="D177" s="49">
        <v>60</v>
      </c>
      <c r="E177" s="2">
        <f t="shared" si="7"/>
        <v>310</v>
      </c>
      <c r="F177" s="2">
        <v>6.1700000000000001E-3</v>
      </c>
      <c r="G177" s="26">
        <f t="shared" si="8"/>
        <v>47.817500000000003</v>
      </c>
      <c r="H177" s="29">
        <f>O11</f>
        <v>12.600000000000001</v>
      </c>
      <c r="I177" s="22">
        <f t="shared" si="9"/>
        <v>0.60250050000000011</v>
      </c>
    </row>
    <row r="178" spans="1:9" x14ac:dyDescent="0.25">
      <c r="A178" t="s">
        <v>399</v>
      </c>
      <c r="B178" s="2">
        <v>5</v>
      </c>
      <c r="C178" s="2">
        <v>300</v>
      </c>
      <c r="D178" s="49">
        <v>60</v>
      </c>
      <c r="E178" s="2">
        <f t="shared" si="7"/>
        <v>360</v>
      </c>
      <c r="F178" s="2">
        <v>6.1700000000000001E-3</v>
      </c>
      <c r="G178" s="26">
        <f t="shared" si="8"/>
        <v>55.53</v>
      </c>
      <c r="H178" s="29">
        <f>O11</f>
        <v>12.600000000000001</v>
      </c>
      <c r="I178" s="22">
        <f t="shared" si="9"/>
        <v>0.69967800000000013</v>
      </c>
    </row>
    <row r="179" spans="1:9" x14ac:dyDescent="0.25">
      <c r="A179" t="s">
        <v>401</v>
      </c>
      <c r="B179" s="2">
        <v>5</v>
      </c>
      <c r="C179" s="2">
        <v>350</v>
      </c>
      <c r="D179" s="49">
        <v>60</v>
      </c>
      <c r="E179" s="2">
        <f t="shared" si="7"/>
        <v>410</v>
      </c>
      <c r="F179" s="2">
        <v>6.1700000000000001E-3</v>
      </c>
      <c r="G179" s="26">
        <f t="shared" si="8"/>
        <v>63.2425</v>
      </c>
      <c r="H179" s="29">
        <f>O11</f>
        <v>12.600000000000001</v>
      </c>
      <c r="I179" s="22">
        <f t="shared" si="9"/>
        <v>0.79685550000000016</v>
      </c>
    </row>
    <row r="180" spans="1:9" x14ac:dyDescent="0.25">
      <c r="A180" t="s">
        <v>403</v>
      </c>
      <c r="B180" s="2">
        <v>5</v>
      </c>
      <c r="C180" s="2">
        <v>400</v>
      </c>
      <c r="D180" s="49">
        <v>60</v>
      </c>
      <c r="E180" s="2">
        <f t="shared" si="7"/>
        <v>460</v>
      </c>
      <c r="F180" s="2">
        <v>6.1700000000000001E-3</v>
      </c>
      <c r="G180" s="26">
        <f t="shared" si="8"/>
        <v>70.954999999999998</v>
      </c>
      <c r="H180" s="29">
        <f>O12</f>
        <v>18.900000000000002</v>
      </c>
      <c r="I180" s="22">
        <f t="shared" si="9"/>
        <v>1.3410495</v>
      </c>
    </row>
    <row r="181" spans="1:9" x14ac:dyDescent="0.25">
      <c r="A181" t="s">
        <v>405</v>
      </c>
      <c r="B181" s="2">
        <v>5</v>
      </c>
      <c r="C181" s="2">
        <v>500</v>
      </c>
      <c r="D181" s="49">
        <v>60</v>
      </c>
      <c r="E181" s="2">
        <f t="shared" si="7"/>
        <v>560</v>
      </c>
      <c r="F181" s="2">
        <v>6.1700000000000001E-3</v>
      </c>
      <c r="G181" s="26">
        <f t="shared" si="8"/>
        <v>86.38</v>
      </c>
      <c r="H181" s="29">
        <f>O12</f>
        <v>18.900000000000002</v>
      </c>
      <c r="I181" s="22">
        <f t="shared" si="9"/>
        <v>1.6325820000000002</v>
      </c>
    </row>
    <row r="182" spans="1:9" x14ac:dyDescent="0.25">
      <c r="A182" t="s">
        <v>456</v>
      </c>
      <c r="B182" s="2">
        <v>6</v>
      </c>
      <c r="C182" s="2">
        <v>38</v>
      </c>
      <c r="D182" s="49">
        <v>45</v>
      </c>
      <c r="E182" s="2">
        <f t="shared" si="7"/>
        <v>83</v>
      </c>
      <c r="F182" s="2">
        <v>6.1700000000000001E-3</v>
      </c>
      <c r="G182" s="26">
        <f t="shared" si="8"/>
        <v>18.435960000000001</v>
      </c>
      <c r="H182" s="29">
        <f>O13</f>
        <v>5.25</v>
      </c>
      <c r="I182" s="22">
        <f t="shared" si="9"/>
        <v>9.678879E-2</v>
      </c>
    </row>
    <row r="183" spans="1:9" x14ac:dyDescent="0.25">
      <c r="A183" t="s">
        <v>458</v>
      </c>
      <c r="B183" s="2">
        <v>6</v>
      </c>
      <c r="C183" s="2">
        <v>100</v>
      </c>
      <c r="D183" s="49">
        <v>80</v>
      </c>
      <c r="E183" s="2">
        <f t="shared" si="7"/>
        <v>180</v>
      </c>
      <c r="F183" s="2">
        <v>6.1700000000000001E-3</v>
      </c>
      <c r="G183" s="26">
        <f t="shared" si="8"/>
        <v>39.9816</v>
      </c>
      <c r="H183" s="29">
        <f>O13</f>
        <v>5.25</v>
      </c>
      <c r="I183" s="22">
        <f t="shared" si="9"/>
        <v>0.20990340000000002</v>
      </c>
    </row>
    <row r="184" spans="1:9" x14ac:dyDescent="0.25">
      <c r="A184" t="s">
        <v>460</v>
      </c>
      <c r="B184" s="2">
        <v>6</v>
      </c>
      <c r="C184" s="2">
        <v>125</v>
      </c>
      <c r="D184" s="49">
        <v>80</v>
      </c>
      <c r="E184" s="2">
        <f t="shared" si="7"/>
        <v>205</v>
      </c>
      <c r="F184" s="2">
        <v>6.1700000000000001E-3</v>
      </c>
      <c r="G184" s="26">
        <f t="shared" si="8"/>
        <v>45.534599999999998</v>
      </c>
      <c r="H184" s="29">
        <f>O13</f>
        <v>5.25</v>
      </c>
      <c r="I184" s="22">
        <f t="shared" si="9"/>
        <v>0.23905664999999998</v>
      </c>
    </row>
    <row r="185" spans="1:9" x14ac:dyDescent="0.25">
      <c r="A185" t="s">
        <v>462</v>
      </c>
      <c r="B185" s="2">
        <v>6</v>
      </c>
      <c r="C185" s="2">
        <v>150</v>
      </c>
      <c r="D185" s="49">
        <v>80</v>
      </c>
      <c r="E185" s="2">
        <f t="shared" si="7"/>
        <v>230</v>
      </c>
      <c r="F185" s="2">
        <v>6.1700000000000001E-3</v>
      </c>
      <c r="G185" s="26">
        <f t="shared" si="8"/>
        <v>51.087600000000002</v>
      </c>
      <c r="H185" s="29">
        <f>O13</f>
        <v>5.25</v>
      </c>
      <c r="I185" s="22">
        <f t="shared" si="9"/>
        <v>0.2682099</v>
      </c>
    </row>
    <row r="186" spans="1:9" x14ac:dyDescent="0.25">
      <c r="A186" t="s">
        <v>464</v>
      </c>
      <c r="B186" s="2">
        <v>6</v>
      </c>
      <c r="C186" s="2">
        <v>200</v>
      </c>
      <c r="D186" s="49">
        <v>80</v>
      </c>
      <c r="E186" s="2">
        <f t="shared" si="7"/>
        <v>280</v>
      </c>
      <c r="F186" s="2">
        <v>6.1700000000000001E-3</v>
      </c>
      <c r="G186" s="26">
        <f t="shared" si="8"/>
        <v>62.193600000000004</v>
      </c>
      <c r="H186" s="29">
        <f>O13</f>
        <v>5.25</v>
      </c>
      <c r="I186" s="22">
        <f t="shared" si="9"/>
        <v>0.32651640000000004</v>
      </c>
    </row>
    <row r="187" spans="1:9" x14ac:dyDescent="0.25">
      <c r="A187" t="s">
        <v>466</v>
      </c>
      <c r="B187" s="2">
        <v>6</v>
      </c>
      <c r="C187" s="2">
        <v>250</v>
      </c>
      <c r="D187" s="49">
        <v>80</v>
      </c>
      <c r="E187" s="2">
        <f t="shared" si="7"/>
        <v>330</v>
      </c>
      <c r="F187" s="2">
        <v>6.1700000000000001E-3</v>
      </c>
      <c r="G187" s="26">
        <f t="shared" si="8"/>
        <v>73.299599999999998</v>
      </c>
      <c r="H187" s="29">
        <f>O14</f>
        <v>10.5</v>
      </c>
      <c r="I187" s="22">
        <f t="shared" si="9"/>
        <v>0.76964580000000005</v>
      </c>
    </row>
    <row r="188" spans="1:9" x14ac:dyDescent="0.25">
      <c r="A188" t="s">
        <v>468</v>
      </c>
      <c r="B188" s="2">
        <v>6</v>
      </c>
      <c r="C188" s="2">
        <v>300</v>
      </c>
      <c r="D188" s="49">
        <v>80</v>
      </c>
      <c r="E188" s="2">
        <f t="shared" si="7"/>
        <v>380</v>
      </c>
      <c r="F188" s="2">
        <v>6.1700000000000001E-3</v>
      </c>
      <c r="G188" s="26">
        <f t="shared" si="8"/>
        <v>84.405600000000007</v>
      </c>
      <c r="H188" s="29">
        <f>O14</f>
        <v>10.5</v>
      </c>
      <c r="I188" s="22">
        <f t="shared" si="9"/>
        <v>0.88625880000000001</v>
      </c>
    </row>
    <row r="189" spans="1:9" x14ac:dyDescent="0.25">
      <c r="A189" t="s">
        <v>470</v>
      </c>
      <c r="B189" s="2">
        <v>6</v>
      </c>
      <c r="C189" s="2">
        <v>350</v>
      </c>
      <c r="D189" s="49">
        <v>80</v>
      </c>
      <c r="E189" s="2">
        <f t="shared" si="7"/>
        <v>430</v>
      </c>
      <c r="F189" s="2">
        <v>6.1700000000000001E-3</v>
      </c>
      <c r="G189" s="26">
        <f t="shared" si="8"/>
        <v>95.511600000000001</v>
      </c>
      <c r="H189" s="29">
        <f>O14</f>
        <v>10.5</v>
      </c>
      <c r="I189" s="22">
        <f t="shared" si="9"/>
        <v>1.0028718000000001</v>
      </c>
    </row>
    <row r="190" spans="1:9" x14ac:dyDescent="0.25">
      <c r="A190" t="s">
        <v>472</v>
      </c>
      <c r="B190" s="2">
        <v>6</v>
      </c>
      <c r="C190" s="2">
        <v>400</v>
      </c>
      <c r="D190" s="49">
        <v>80</v>
      </c>
      <c r="E190" s="2">
        <f t="shared" si="7"/>
        <v>480</v>
      </c>
      <c r="F190" s="2">
        <v>6.1700000000000001E-3</v>
      </c>
      <c r="G190" s="26">
        <f t="shared" si="8"/>
        <v>106.6176</v>
      </c>
      <c r="H190" s="29">
        <f>O15</f>
        <v>12.600000000000001</v>
      </c>
      <c r="I190" s="22">
        <f t="shared" si="9"/>
        <v>1.3433817600000002</v>
      </c>
    </row>
    <row r="191" spans="1:9" x14ac:dyDescent="0.25">
      <c r="A191" t="s">
        <v>474</v>
      </c>
      <c r="B191" s="2">
        <v>6</v>
      </c>
      <c r="C191" s="2">
        <v>450</v>
      </c>
      <c r="D191" s="49">
        <v>80</v>
      </c>
      <c r="E191" s="2">
        <f t="shared" si="7"/>
        <v>530</v>
      </c>
      <c r="F191" s="2">
        <v>6.1700000000000001E-3</v>
      </c>
      <c r="G191" s="26">
        <f t="shared" si="8"/>
        <v>117.7236</v>
      </c>
      <c r="H191" s="29">
        <f>O15</f>
        <v>12.600000000000001</v>
      </c>
      <c r="I191" s="22">
        <f t="shared" si="9"/>
        <v>1.4833173600000003</v>
      </c>
    </row>
    <row r="192" spans="1:9" x14ac:dyDescent="0.25">
      <c r="A192" t="s">
        <v>476</v>
      </c>
      <c r="B192" s="2">
        <v>6</v>
      </c>
      <c r="C192" s="2">
        <v>500</v>
      </c>
      <c r="D192" s="49">
        <v>80</v>
      </c>
      <c r="E192" s="2">
        <f t="shared" si="7"/>
        <v>580</v>
      </c>
      <c r="F192" s="2">
        <v>6.1700000000000001E-3</v>
      </c>
      <c r="G192" s="26">
        <f t="shared" si="8"/>
        <v>128.8296</v>
      </c>
      <c r="H192" s="29">
        <f>O16</f>
        <v>15.75</v>
      </c>
      <c r="I192" s="22">
        <f t="shared" si="9"/>
        <v>2.0290661999999999</v>
      </c>
    </row>
    <row r="193" spans="1:9" x14ac:dyDescent="0.25">
      <c r="A193" t="s">
        <v>407</v>
      </c>
      <c r="B193" s="2">
        <v>8</v>
      </c>
      <c r="C193" s="2">
        <v>150</v>
      </c>
      <c r="D193" s="49">
        <v>100</v>
      </c>
      <c r="E193" s="2">
        <f t="shared" si="7"/>
        <v>250</v>
      </c>
      <c r="F193" s="2">
        <v>6.1700000000000001E-3</v>
      </c>
      <c r="G193" s="26">
        <f t="shared" si="8"/>
        <v>98.72</v>
      </c>
      <c r="H193" s="29">
        <f>O13</f>
        <v>5.25</v>
      </c>
      <c r="I193" s="22">
        <f t="shared" si="9"/>
        <v>0.51827999999999996</v>
      </c>
    </row>
    <row r="194" spans="1:9" x14ac:dyDescent="0.25">
      <c r="A194" t="s">
        <v>409</v>
      </c>
      <c r="B194" s="2">
        <v>8</v>
      </c>
      <c r="C194" s="2">
        <v>175</v>
      </c>
      <c r="D194" s="49">
        <v>100</v>
      </c>
      <c r="E194" s="2">
        <f t="shared" si="7"/>
        <v>275</v>
      </c>
      <c r="F194" s="2">
        <v>6.1700000000000001E-3</v>
      </c>
      <c r="G194" s="26">
        <f t="shared" si="8"/>
        <v>108.592</v>
      </c>
      <c r="H194" s="29">
        <f>O13</f>
        <v>5.25</v>
      </c>
      <c r="I194" s="22">
        <f t="shared" si="9"/>
        <v>0.57010799999999995</v>
      </c>
    </row>
    <row r="195" spans="1:9" x14ac:dyDescent="0.25">
      <c r="A195" t="s">
        <v>411</v>
      </c>
      <c r="B195" s="2">
        <v>8</v>
      </c>
      <c r="C195" s="2">
        <v>200</v>
      </c>
      <c r="D195" s="49">
        <v>100</v>
      </c>
      <c r="E195" s="2">
        <f t="shared" si="7"/>
        <v>300</v>
      </c>
      <c r="F195" s="2">
        <v>6.1700000000000001E-3</v>
      </c>
      <c r="G195" s="26">
        <f t="shared" si="8"/>
        <v>118.464</v>
      </c>
      <c r="H195" s="29">
        <f>O14</f>
        <v>10.5</v>
      </c>
      <c r="I195" s="22">
        <f t="shared" si="9"/>
        <v>1.2438720000000001</v>
      </c>
    </row>
    <row r="196" spans="1:9" x14ac:dyDescent="0.25">
      <c r="A196" t="s">
        <v>413</v>
      </c>
      <c r="B196" s="2">
        <v>8</v>
      </c>
      <c r="C196" s="2">
        <v>250</v>
      </c>
      <c r="D196" s="49">
        <v>100</v>
      </c>
      <c r="E196" s="2">
        <f t="shared" si="7"/>
        <v>350</v>
      </c>
      <c r="F196" s="2">
        <v>6.1700000000000001E-3</v>
      </c>
      <c r="G196" s="26">
        <f t="shared" si="8"/>
        <v>138.208</v>
      </c>
      <c r="H196" s="29">
        <f>O14</f>
        <v>10.5</v>
      </c>
      <c r="I196" s="22">
        <f t="shared" si="9"/>
        <v>1.451184</v>
      </c>
    </row>
    <row r="197" spans="1:9" x14ac:dyDescent="0.25">
      <c r="A197" t="s">
        <v>415</v>
      </c>
      <c r="B197" s="2">
        <v>8</v>
      </c>
      <c r="C197" s="2">
        <v>300</v>
      </c>
      <c r="D197" s="49">
        <v>100</v>
      </c>
      <c r="E197" s="2">
        <f t="shared" si="7"/>
        <v>400</v>
      </c>
      <c r="F197" s="2">
        <v>6.1700000000000001E-3</v>
      </c>
      <c r="G197" s="26">
        <f t="shared" si="8"/>
        <v>157.952</v>
      </c>
      <c r="H197" s="29">
        <f>O14</f>
        <v>10.5</v>
      </c>
      <c r="I197" s="22">
        <f t="shared" si="9"/>
        <v>1.6584960000000002</v>
      </c>
    </row>
    <row r="198" spans="1:9" x14ac:dyDescent="0.25">
      <c r="A198" t="s">
        <v>417</v>
      </c>
      <c r="B198" s="2">
        <v>8</v>
      </c>
      <c r="C198" s="2">
        <v>350</v>
      </c>
      <c r="D198" s="49">
        <v>100</v>
      </c>
      <c r="E198" s="2">
        <f t="shared" si="7"/>
        <v>450</v>
      </c>
      <c r="F198" s="2">
        <v>6.1700000000000001E-3</v>
      </c>
      <c r="G198" s="26">
        <f t="shared" si="8"/>
        <v>177.696</v>
      </c>
      <c r="H198" s="29">
        <f>O14</f>
        <v>10.5</v>
      </c>
      <c r="I198" s="22">
        <f t="shared" si="9"/>
        <v>1.8658079999999999</v>
      </c>
    </row>
    <row r="199" spans="1:9" x14ac:dyDescent="0.25">
      <c r="A199" t="s">
        <v>419</v>
      </c>
      <c r="B199" s="2">
        <v>8</v>
      </c>
      <c r="C199" s="2">
        <v>400</v>
      </c>
      <c r="D199" s="49">
        <v>100</v>
      </c>
      <c r="E199" s="2">
        <f t="shared" si="7"/>
        <v>500</v>
      </c>
      <c r="F199" s="2">
        <v>6.1700000000000001E-3</v>
      </c>
      <c r="G199" s="26">
        <f t="shared" si="8"/>
        <v>197.44</v>
      </c>
      <c r="H199" s="29">
        <f>O15</f>
        <v>12.600000000000001</v>
      </c>
      <c r="I199" s="22">
        <f t="shared" si="9"/>
        <v>2.4877440000000002</v>
      </c>
    </row>
    <row r="200" spans="1:9" x14ac:dyDescent="0.25">
      <c r="A200" t="s">
        <v>421</v>
      </c>
      <c r="B200" s="2">
        <v>8</v>
      </c>
      <c r="C200" s="2">
        <v>450</v>
      </c>
      <c r="D200" s="49">
        <v>100</v>
      </c>
      <c r="E200" s="2">
        <f t="shared" si="7"/>
        <v>550</v>
      </c>
      <c r="F200" s="2">
        <v>6.1700000000000001E-3</v>
      </c>
      <c r="G200" s="26">
        <f t="shared" si="8"/>
        <v>217.184</v>
      </c>
      <c r="H200" s="29">
        <f>O15</f>
        <v>12.600000000000001</v>
      </c>
      <c r="I200" s="22">
        <f t="shared" si="9"/>
        <v>2.7365184000000005</v>
      </c>
    </row>
    <row r="201" spans="1:9" x14ac:dyDescent="0.25">
      <c r="A201" t="s">
        <v>423</v>
      </c>
      <c r="B201" s="2">
        <v>8</v>
      </c>
      <c r="C201" s="2">
        <v>500</v>
      </c>
      <c r="D201" s="49">
        <v>100</v>
      </c>
      <c r="E201" s="2">
        <f t="shared" ref="E201:E233" si="10">D201+C201</f>
        <v>600</v>
      </c>
      <c r="F201" s="2">
        <v>6.1700000000000001E-3</v>
      </c>
      <c r="G201" s="26">
        <f t="shared" ref="G201:G233" si="11">B201*B201*E201*F201</f>
        <v>236.928</v>
      </c>
      <c r="H201" s="29">
        <f>O16</f>
        <v>15.75</v>
      </c>
      <c r="I201" s="22">
        <f t="shared" si="9"/>
        <v>3.7316159999999998</v>
      </c>
    </row>
    <row r="202" spans="1:9" x14ac:dyDescent="0.25">
      <c r="A202" t="s">
        <v>425</v>
      </c>
      <c r="B202" s="2">
        <v>10</v>
      </c>
      <c r="C202" s="2">
        <v>175</v>
      </c>
      <c r="D202" s="49">
        <v>100</v>
      </c>
      <c r="E202" s="2">
        <f t="shared" si="10"/>
        <v>275</v>
      </c>
      <c r="F202" s="2">
        <v>6.1700000000000001E-3</v>
      </c>
      <c r="G202" s="26">
        <f t="shared" si="11"/>
        <v>169.67500000000001</v>
      </c>
      <c r="H202" s="29">
        <f>O14</f>
        <v>10.5</v>
      </c>
      <c r="I202" s="22">
        <f t="shared" si="9"/>
        <v>1.7815875000000001</v>
      </c>
    </row>
    <row r="203" spans="1:9" x14ac:dyDescent="0.25">
      <c r="A203" t="s">
        <v>427</v>
      </c>
      <c r="B203" s="2">
        <v>10</v>
      </c>
      <c r="C203" s="2">
        <v>200</v>
      </c>
      <c r="D203" s="49">
        <v>100</v>
      </c>
      <c r="E203" s="2">
        <f t="shared" si="10"/>
        <v>300</v>
      </c>
      <c r="F203" s="2">
        <v>6.1700000000000001E-3</v>
      </c>
      <c r="G203" s="26">
        <f t="shared" si="11"/>
        <v>185.1</v>
      </c>
      <c r="H203" s="29">
        <f>O14</f>
        <v>10.5</v>
      </c>
      <c r="I203" s="22">
        <f t="shared" ref="I203:I233" si="12">G203*H203/1000</f>
        <v>1.9435499999999999</v>
      </c>
    </row>
    <row r="204" spans="1:9" x14ac:dyDescent="0.25">
      <c r="A204" t="s">
        <v>429</v>
      </c>
      <c r="B204" s="2">
        <v>10</v>
      </c>
      <c r="C204" s="2">
        <v>250</v>
      </c>
      <c r="D204" s="49">
        <v>100</v>
      </c>
      <c r="E204" s="2">
        <f t="shared" si="10"/>
        <v>350</v>
      </c>
      <c r="F204" s="2">
        <v>6.1700000000000001E-3</v>
      </c>
      <c r="G204" s="26">
        <f t="shared" si="11"/>
        <v>215.95000000000002</v>
      </c>
      <c r="H204" s="29">
        <f>O14</f>
        <v>10.5</v>
      </c>
      <c r="I204" s="22">
        <f t="shared" si="12"/>
        <v>2.2674750000000006</v>
      </c>
    </row>
    <row r="205" spans="1:9" x14ac:dyDescent="0.25">
      <c r="A205" t="s">
        <v>431</v>
      </c>
      <c r="B205" s="2">
        <v>10</v>
      </c>
      <c r="C205" s="2">
        <v>300</v>
      </c>
      <c r="D205" s="49">
        <v>100</v>
      </c>
      <c r="E205" s="2">
        <f t="shared" si="10"/>
        <v>400</v>
      </c>
      <c r="F205" s="2">
        <v>6.1700000000000001E-3</v>
      </c>
      <c r="G205" s="26">
        <f t="shared" si="11"/>
        <v>246.8</v>
      </c>
      <c r="H205" s="29">
        <f>O14</f>
        <v>10.5</v>
      </c>
      <c r="I205" s="22">
        <f t="shared" si="12"/>
        <v>2.5914000000000001</v>
      </c>
    </row>
    <row r="206" spans="1:9" x14ac:dyDescent="0.25">
      <c r="A206" t="s">
        <v>433</v>
      </c>
      <c r="B206" s="2">
        <v>10</v>
      </c>
      <c r="C206" s="2">
        <v>350</v>
      </c>
      <c r="D206" s="49">
        <v>100</v>
      </c>
      <c r="E206" s="2">
        <f t="shared" si="10"/>
        <v>450</v>
      </c>
      <c r="F206" s="2">
        <v>6.1700000000000001E-3</v>
      </c>
      <c r="G206" s="26">
        <f t="shared" si="11"/>
        <v>277.65000000000003</v>
      </c>
      <c r="H206" s="29">
        <f>O14</f>
        <v>10.5</v>
      </c>
      <c r="I206" s="22">
        <f t="shared" si="12"/>
        <v>2.9153250000000002</v>
      </c>
    </row>
    <row r="207" spans="1:9" x14ac:dyDescent="0.25">
      <c r="A207" t="s">
        <v>435</v>
      </c>
      <c r="B207" s="2">
        <v>10</v>
      </c>
      <c r="C207" s="2">
        <v>400</v>
      </c>
      <c r="D207" s="49">
        <v>100</v>
      </c>
      <c r="E207" s="2">
        <f t="shared" si="10"/>
        <v>500</v>
      </c>
      <c r="F207" s="2">
        <v>6.1700000000000001E-3</v>
      </c>
      <c r="G207" s="26">
        <f t="shared" si="11"/>
        <v>308.5</v>
      </c>
      <c r="H207" s="29">
        <f>O15</f>
        <v>12.600000000000001</v>
      </c>
      <c r="I207" s="22">
        <f t="shared" si="12"/>
        <v>3.8871000000000002</v>
      </c>
    </row>
    <row r="208" spans="1:9" x14ac:dyDescent="0.25">
      <c r="A208" t="s">
        <v>437</v>
      </c>
      <c r="B208" s="2">
        <v>10</v>
      </c>
      <c r="C208" s="2">
        <v>450</v>
      </c>
      <c r="D208" s="49">
        <v>100</v>
      </c>
      <c r="E208" s="2">
        <f t="shared" si="10"/>
        <v>550</v>
      </c>
      <c r="F208" s="2">
        <v>6.1700000000000001E-3</v>
      </c>
      <c r="G208" s="26">
        <f t="shared" si="11"/>
        <v>339.35</v>
      </c>
      <c r="H208" s="29">
        <f>O15</f>
        <v>12.600000000000001</v>
      </c>
      <c r="I208" s="22">
        <f t="shared" si="12"/>
        <v>4.2758100000000008</v>
      </c>
    </row>
    <row r="209" spans="1:9" x14ac:dyDescent="0.25">
      <c r="A209" t="s">
        <v>439</v>
      </c>
      <c r="B209" s="2">
        <v>10</v>
      </c>
      <c r="C209" s="2">
        <v>500</v>
      </c>
      <c r="D209" s="49">
        <v>100</v>
      </c>
      <c r="E209" s="2">
        <f t="shared" si="10"/>
        <v>600</v>
      </c>
      <c r="F209" s="2">
        <v>6.1700000000000001E-3</v>
      </c>
      <c r="G209" s="26">
        <f t="shared" si="11"/>
        <v>370.2</v>
      </c>
      <c r="H209" s="29">
        <f>O16</f>
        <v>15.75</v>
      </c>
      <c r="I209" s="22">
        <f t="shared" si="12"/>
        <v>5.8306499999999994</v>
      </c>
    </row>
    <row r="210" spans="1:9" x14ac:dyDescent="0.25">
      <c r="A210" t="s">
        <v>301</v>
      </c>
      <c r="B210" s="2">
        <v>3</v>
      </c>
      <c r="C210" s="2">
        <v>60</v>
      </c>
      <c r="D210" s="49">
        <v>60</v>
      </c>
      <c r="E210" s="2">
        <f t="shared" si="10"/>
        <v>120</v>
      </c>
      <c r="F210" s="2">
        <v>6.1700000000000001E-3</v>
      </c>
      <c r="G210" s="26">
        <f t="shared" si="11"/>
        <v>6.6635999999999997</v>
      </c>
      <c r="H210" s="29">
        <f>O8</f>
        <v>36.75</v>
      </c>
      <c r="I210" s="22">
        <f t="shared" si="12"/>
        <v>0.24488729999999997</v>
      </c>
    </row>
    <row r="211" spans="1:9" x14ac:dyDescent="0.25">
      <c r="A211" t="s">
        <v>303</v>
      </c>
      <c r="B211" s="2">
        <v>3</v>
      </c>
      <c r="C211" s="2">
        <v>60</v>
      </c>
      <c r="D211" s="49">
        <v>60</v>
      </c>
      <c r="E211" s="2">
        <f t="shared" si="10"/>
        <v>120</v>
      </c>
      <c r="F211" s="2">
        <v>6.1700000000000001E-3</v>
      </c>
      <c r="G211" s="26">
        <f t="shared" si="11"/>
        <v>6.6635999999999997</v>
      </c>
      <c r="H211" s="29">
        <f>O8</f>
        <v>36.75</v>
      </c>
      <c r="I211" s="22">
        <f t="shared" si="12"/>
        <v>0.24488729999999997</v>
      </c>
    </row>
    <row r="212" spans="1:9" x14ac:dyDescent="0.25">
      <c r="A212" t="s">
        <v>305</v>
      </c>
      <c r="B212" s="2">
        <v>3</v>
      </c>
      <c r="C212" s="2">
        <v>60</v>
      </c>
      <c r="D212" s="49">
        <v>60</v>
      </c>
      <c r="E212" s="2">
        <f t="shared" si="10"/>
        <v>120</v>
      </c>
      <c r="F212" s="2">
        <v>6.1700000000000001E-3</v>
      </c>
      <c r="G212" s="26">
        <f t="shared" si="11"/>
        <v>6.6635999999999997</v>
      </c>
      <c r="H212" s="29">
        <f>O8</f>
        <v>36.75</v>
      </c>
      <c r="I212" s="22">
        <f t="shared" si="12"/>
        <v>0.24488729999999997</v>
      </c>
    </row>
    <row r="213" spans="1:9" x14ac:dyDescent="0.25">
      <c r="A213" t="s">
        <v>307</v>
      </c>
      <c r="B213" s="2">
        <v>3</v>
      </c>
      <c r="C213" s="2">
        <v>60</v>
      </c>
      <c r="D213" s="49">
        <v>60</v>
      </c>
      <c r="E213" s="2">
        <f t="shared" si="10"/>
        <v>120</v>
      </c>
      <c r="F213" s="2">
        <v>6.1700000000000001E-3</v>
      </c>
      <c r="G213" s="26">
        <f t="shared" si="11"/>
        <v>6.6635999999999997</v>
      </c>
      <c r="H213" s="29">
        <f>O8</f>
        <v>36.75</v>
      </c>
      <c r="I213" s="22">
        <f t="shared" si="12"/>
        <v>0.24488729999999997</v>
      </c>
    </row>
    <row r="214" spans="1:9" x14ac:dyDescent="0.25">
      <c r="A214" t="s">
        <v>309</v>
      </c>
      <c r="B214" s="2">
        <v>4</v>
      </c>
      <c r="C214" s="2">
        <v>80</v>
      </c>
      <c r="D214" s="49">
        <v>60</v>
      </c>
      <c r="E214" s="2">
        <f t="shared" si="10"/>
        <v>140</v>
      </c>
      <c r="F214" s="2">
        <v>6.1700000000000001E-3</v>
      </c>
      <c r="G214" s="26">
        <f t="shared" si="11"/>
        <v>13.8208</v>
      </c>
      <c r="H214" s="29">
        <f>O9</f>
        <v>12.600000000000001</v>
      </c>
      <c r="I214" s="22">
        <f t="shared" si="12"/>
        <v>0.17414208000000003</v>
      </c>
    </row>
    <row r="215" spans="1:9" x14ac:dyDescent="0.25">
      <c r="A215" t="s">
        <v>311</v>
      </c>
      <c r="B215" s="2">
        <v>4</v>
      </c>
      <c r="C215" s="2">
        <v>80</v>
      </c>
      <c r="D215" s="49">
        <v>60</v>
      </c>
      <c r="E215" s="2">
        <f t="shared" si="10"/>
        <v>140</v>
      </c>
      <c r="F215" s="2">
        <v>6.1700000000000001E-3</v>
      </c>
      <c r="G215" s="26">
        <f t="shared" si="11"/>
        <v>13.8208</v>
      </c>
      <c r="H215" s="29">
        <f>O9</f>
        <v>12.600000000000001</v>
      </c>
      <c r="I215" s="22">
        <f t="shared" si="12"/>
        <v>0.17414208000000003</v>
      </c>
    </row>
    <row r="216" spans="1:9" x14ac:dyDescent="0.25">
      <c r="A216" t="s">
        <v>313</v>
      </c>
      <c r="B216" s="2">
        <v>5</v>
      </c>
      <c r="C216" s="2">
        <v>100</v>
      </c>
      <c r="D216" s="49">
        <v>60</v>
      </c>
      <c r="E216" s="2">
        <f t="shared" si="10"/>
        <v>160</v>
      </c>
      <c r="F216" s="2">
        <v>6.1700000000000001E-3</v>
      </c>
      <c r="G216" s="26">
        <f t="shared" si="11"/>
        <v>24.68</v>
      </c>
      <c r="H216" s="29">
        <f>O9</f>
        <v>12.600000000000001</v>
      </c>
      <c r="I216" s="22">
        <f t="shared" si="12"/>
        <v>0.31096800000000002</v>
      </c>
    </row>
    <row r="217" spans="1:9" x14ac:dyDescent="0.25">
      <c r="A217" t="s">
        <v>315</v>
      </c>
      <c r="B217" s="2">
        <v>5</v>
      </c>
      <c r="C217" s="2">
        <v>100</v>
      </c>
      <c r="D217" s="49">
        <v>60</v>
      </c>
      <c r="E217" s="2">
        <f t="shared" si="10"/>
        <v>160</v>
      </c>
      <c r="F217" s="2">
        <v>6.1700000000000001E-3</v>
      </c>
      <c r="G217" s="26">
        <f t="shared" si="11"/>
        <v>24.68</v>
      </c>
      <c r="H217" s="29">
        <f>O9</f>
        <v>12.600000000000001</v>
      </c>
      <c r="I217" s="22">
        <f t="shared" si="12"/>
        <v>0.31096800000000002</v>
      </c>
    </row>
    <row r="218" spans="1:9" x14ac:dyDescent="0.25">
      <c r="A218" t="s">
        <v>317</v>
      </c>
      <c r="B218" s="2">
        <v>6</v>
      </c>
      <c r="C218" s="2">
        <v>100</v>
      </c>
      <c r="D218" s="49">
        <v>80</v>
      </c>
      <c r="E218" s="2">
        <f t="shared" si="10"/>
        <v>180</v>
      </c>
      <c r="F218" s="2">
        <v>6.1700000000000001E-3</v>
      </c>
      <c r="G218" s="26">
        <f t="shared" si="11"/>
        <v>39.9816</v>
      </c>
      <c r="H218" s="29">
        <f>O13</f>
        <v>5.25</v>
      </c>
      <c r="I218" s="22">
        <f t="shared" si="12"/>
        <v>0.20990340000000002</v>
      </c>
    </row>
    <row r="219" spans="1:9" x14ac:dyDescent="0.25">
      <c r="A219" t="s">
        <v>319</v>
      </c>
      <c r="B219" s="2">
        <v>7</v>
      </c>
      <c r="C219" s="2">
        <v>125</v>
      </c>
      <c r="D219" s="49">
        <v>80</v>
      </c>
      <c r="E219" s="2">
        <f t="shared" si="10"/>
        <v>205</v>
      </c>
      <c r="F219" s="2">
        <v>6.1700000000000001E-3</v>
      </c>
      <c r="G219" s="26">
        <f t="shared" si="11"/>
        <v>61.977650000000004</v>
      </c>
      <c r="H219" s="29">
        <f>O13</f>
        <v>5.25</v>
      </c>
      <c r="I219" s="22">
        <f t="shared" si="12"/>
        <v>0.32538266250000003</v>
      </c>
    </row>
    <row r="220" spans="1:9" x14ac:dyDescent="0.25">
      <c r="A220" t="s">
        <v>321</v>
      </c>
      <c r="B220" s="2">
        <v>8</v>
      </c>
      <c r="C220" s="2">
        <v>150</v>
      </c>
      <c r="D220" s="49">
        <v>100</v>
      </c>
      <c r="E220" s="2">
        <f t="shared" si="10"/>
        <v>250</v>
      </c>
      <c r="F220" s="2">
        <v>6.1700000000000001E-3</v>
      </c>
      <c r="G220" s="26">
        <f t="shared" si="11"/>
        <v>98.72</v>
      </c>
      <c r="H220" s="29">
        <f>O13</f>
        <v>5.25</v>
      </c>
      <c r="I220" s="22">
        <f t="shared" si="12"/>
        <v>0.51827999999999996</v>
      </c>
    </row>
    <row r="221" spans="1:9" x14ac:dyDescent="0.25">
      <c r="A221" t="s">
        <v>323</v>
      </c>
      <c r="B221" s="2">
        <v>8</v>
      </c>
      <c r="C221" s="2">
        <v>200</v>
      </c>
      <c r="D221" s="49">
        <v>100</v>
      </c>
      <c r="E221" s="2">
        <f t="shared" si="10"/>
        <v>300</v>
      </c>
      <c r="F221" s="2">
        <v>6.1700000000000001E-3</v>
      </c>
      <c r="G221" s="26">
        <f t="shared" si="11"/>
        <v>118.464</v>
      </c>
      <c r="H221" s="29">
        <f>O14</f>
        <v>10.5</v>
      </c>
      <c r="I221" s="22">
        <f t="shared" si="12"/>
        <v>1.2438720000000001</v>
      </c>
    </row>
    <row r="222" spans="1:9" x14ac:dyDescent="0.25">
      <c r="A222" t="s">
        <v>325</v>
      </c>
      <c r="B222" s="2">
        <v>3</v>
      </c>
      <c r="C222" s="2">
        <v>60</v>
      </c>
      <c r="D222" s="49">
        <v>60</v>
      </c>
      <c r="E222" s="2">
        <f t="shared" si="10"/>
        <v>120</v>
      </c>
      <c r="F222" s="2">
        <v>6.1700000000000001E-3</v>
      </c>
      <c r="G222" s="26">
        <f t="shared" si="11"/>
        <v>6.6635999999999997</v>
      </c>
      <c r="H222" s="29">
        <f>O8</f>
        <v>36.75</v>
      </c>
      <c r="I222" s="22">
        <f t="shared" si="12"/>
        <v>0.24488729999999997</v>
      </c>
    </row>
    <row r="223" spans="1:9" x14ac:dyDescent="0.25">
      <c r="A223" t="s">
        <v>327</v>
      </c>
      <c r="B223" s="2">
        <v>3</v>
      </c>
      <c r="C223" s="2">
        <v>60</v>
      </c>
      <c r="D223" s="49">
        <v>60</v>
      </c>
      <c r="E223" s="2">
        <f t="shared" si="10"/>
        <v>120</v>
      </c>
      <c r="F223" s="2">
        <v>6.1700000000000001E-3</v>
      </c>
      <c r="G223" s="26">
        <f t="shared" si="11"/>
        <v>6.6635999999999997</v>
      </c>
      <c r="H223" s="29">
        <f>O8</f>
        <v>36.75</v>
      </c>
      <c r="I223" s="22">
        <f t="shared" si="12"/>
        <v>0.24488729999999997</v>
      </c>
    </row>
    <row r="224" spans="1:9" x14ac:dyDescent="0.25">
      <c r="A224" t="s">
        <v>329</v>
      </c>
      <c r="B224" s="2">
        <v>3</v>
      </c>
      <c r="C224" s="2">
        <v>60</v>
      </c>
      <c r="D224" s="49">
        <v>60</v>
      </c>
      <c r="E224" s="2">
        <f t="shared" si="10"/>
        <v>120</v>
      </c>
      <c r="F224" s="2">
        <v>6.1700000000000001E-3</v>
      </c>
      <c r="G224" s="26">
        <f t="shared" si="11"/>
        <v>6.6635999999999997</v>
      </c>
      <c r="H224" s="29">
        <f>O8</f>
        <v>36.75</v>
      </c>
      <c r="I224" s="22">
        <f t="shared" si="12"/>
        <v>0.24488729999999997</v>
      </c>
    </row>
    <row r="225" spans="1:9" x14ac:dyDescent="0.25">
      <c r="A225" t="s">
        <v>331</v>
      </c>
      <c r="B225" s="2">
        <v>3</v>
      </c>
      <c r="C225" s="2">
        <v>60</v>
      </c>
      <c r="D225" s="49">
        <v>60</v>
      </c>
      <c r="E225" s="2">
        <f t="shared" si="10"/>
        <v>120</v>
      </c>
      <c r="F225" s="2">
        <v>6.1700000000000001E-3</v>
      </c>
      <c r="G225" s="26">
        <f t="shared" si="11"/>
        <v>6.6635999999999997</v>
      </c>
      <c r="H225" s="29">
        <f>O8</f>
        <v>36.75</v>
      </c>
      <c r="I225" s="22">
        <f t="shared" si="12"/>
        <v>0.24488729999999997</v>
      </c>
    </row>
    <row r="226" spans="1:9" x14ac:dyDescent="0.25">
      <c r="A226" t="s">
        <v>333</v>
      </c>
      <c r="B226" s="2">
        <v>4</v>
      </c>
      <c r="C226" s="2">
        <v>80</v>
      </c>
      <c r="D226" s="49">
        <v>60</v>
      </c>
      <c r="E226" s="2">
        <f t="shared" si="10"/>
        <v>140</v>
      </c>
      <c r="F226" s="2">
        <v>6.1700000000000001E-3</v>
      </c>
      <c r="G226" s="26">
        <f t="shared" si="11"/>
        <v>13.8208</v>
      </c>
      <c r="H226" s="29">
        <f>O9</f>
        <v>12.600000000000001</v>
      </c>
      <c r="I226" s="22">
        <f t="shared" si="12"/>
        <v>0.17414208000000003</v>
      </c>
    </row>
    <row r="227" spans="1:9" x14ac:dyDescent="0.25">
      <c r="A227" t="s">
        <v>335</v>
      </c>
      <c r="B227" s="2">
        <v>4</v>
      </c>
      <c r="C227" s="2">
        <v>80</v>
      </c>
      <c r="D227" s="49">
        <v>60</v>
      </c>
      <c r="E227" s="2">
        <f t="shared" si="10"/>
        <v>140</v>
      </c>
      <c r="F227" s="2">
        <v>6.1700000000000001E-3</v>
      </c>
      <c r="G227" s="26">
        <f t="shared" si="11"/>
        <v>13.8208</v>
      </c>
      <c r="H227" s="29">
        <f>O9</f>
        <v>12.600000000000001</v>
      </c>
      <c r="I227" s="22">
        <f t="shared" si="12"/>
        <v>0.17414208000000003</v>
      </c>
    </row>
    <row r="228" spans="1:9" x14ac:dyDescent="0.25">
      <c r="A228" t="s">
        <v>337</v>
      </c>
      <c r="B228" s="2">
        <v>5</v>
      </c>
      <c r="C228" s="2">
        <v>100</v>
      </c>
      <c r="D228" s="49">
        <v>60</v>
      </c>
      <c r="E228" s="2">
        <f t="shared" si="10"/>
        <v>160</v>
      </c>
      <c r="F228" s="2">
        <v>6.1700000000000001E-3</v>
      </c>
      <c r="G228" s="26">
        <f t="shared" si="11"/>
        <v>24.68</v>
      </c>
      <c r="H228" s="29">
        <f>O9</f>
        <v>12.600000000000001</v>
      </c>
      <c r="I228" s="22">
        <f t="shared" si="12"/>
        <v>0.31096800000000002</v>
      </c>
    </row>
    <row r="229" spans="1:9" x14ac:dyDescent="0.25">
      <c r="A229" t="s">
        <v>339</v>
      </c>
      <c r="B229" s="2">
        <v>5</v>
      </c>
      <c r="C229" s="2">
        <v>100</v>
      </c>
      <c r="D229" s="49">
        <v>60</v>
      </c>
      <c r="E229" s="2">
        <f t="shared" si="10"/>
        <v>160</v>
      </c>
      <c r="F229" s="2">
        <v>6.1700000000000001E-3</v>
      </c>
      <c r="G229" s="26">
        <f t="shared" si="11"/>
        <v>24.68</v>
      </c>
      <c r="H229" s="29">
        <f>O9</f>
        <v>12.600000000000001</v>
      </c>
      <c r="I229" s="22">
        <f t="shared" si="12"/>
        <v>0.31096800000000002</v>
      </c>
    </row>
    <row r="230" spans="1:9" x14ac:dyDescent="0.25">
      <c r="A230" t="s">
        <v>341</v>
      </c>
      <c r="B230" s="2">
        <v>6</v>
      </c>
      <c r="C230" s="2">
        <v>100</v>
      </c>
      <c r="D230" s="49">
        <v>80</v>
      </c>
      <c r="E230" s="2">
        <f t="shared" si="10"/>
        <v>180</v>
      </c>
      <c r="F230" s="2">
        <v>6.1700000000000001E-3</v>
      </c>
      <c r="G230" s="26">
        <f t="shared" si="11"/>
        <v>39.9816</v>
      </c>
      <c r="H230" s="29">
        <f>O13</f>
        <v>5.25</v>
      </c>
      <c r="I230" s="22">
        <f t="shared" si="12"/>
        <v>0.20990340000000002</v>
      </c>
    </row>
    <row r="231" spans="1:9" x14ac:dyDescent="0.25">
      <c r="A231" t="s">
        <v>343</v>
      </c>
      <c r="B231" s="2">
        <v>7</v>
      </c>
      <c r="C231" s="2">
        <v>125</v>
      </c>
      <c r="D231" s="49">
        <v>80</v>
      </c>
      <c r="E231" s="2">
        <f t="shared" si="10"/>
        <v>205</v>
      </c>
      <c r="F231" s="2">
        <v>6.1700000000000001E-3</v>
      </c>
      <c r="G231" s="26">
        <f t="shared" si="11"/>
        <v>61.977650000000004</v>
      </c>
      <c r="H231" s="29">
        <f>O13</f>
        <v>5.25</v>
      </c>
      <c r="I231" s="22">
        <f t="shared" si="12"/>
        <v>0.32538266250000003</v>
      </c>
    </row>
    <row r="232" spans="1:9" x14ac:dyDescent="0.25">
      <c r="A232" t="s">
        <v>345</v>
      </c>
      <c r="B232" s="2">
        <v>8</v>
      </c>
      <c r="C232" s="2">
        <v>150</v>
      </c>
      <c r="D232" s="49">
        <v>100</v>
      </c>
      <c r="E232" s="2">
        <f t="shared" si="10"/>
        <v>250</v>
      </c>
      <c r="F232" s="2">
        <v>6.1700000000000001E-3</v>
      </c>
      <c r="G232" s="26">
        <f t="shared" si="11"/>
        <v>98.72</v>
      </c>
      <c r="H232" s="29">
        <f>O13</f>
        <v>5.25</v>
      </c>
      <c r="I232" s="22">
        <f t="shared" si="12"/>
        <v>0.51827999999999996</v>
      </c>
    </row>
    <row r="233" spans="1:9" x14ac:dyDescent="0.25">
      <c r="A233" t="s">
        <v>347</v>
      </c>
      <c r="B233" s="2">
        <v>8</v>
      </c>
      <c r="C233" s="2">
        <v>200</v>
      </c>
      <c r="D233" s="49">
        <v>100</v>
      </c>
      <c r="E233" s="2">
        <f t="shared" si="10"/>
        <v>300</v>
      </c>
      <c r="F233" s="2">
        <v>6.1700000000000001E-3</v>
      </c>
      <c r="G233" s="26">
        <f t="shared" si="11"/>
        <v>118.464</v>
      </c>
      <c r="H233" s="29">
        <f>O14</f>
        <v>10.5</v>
      </c>
      <c r="I233" s="22">
        <f t="shared" si="12"/>
        <v>1.2438720000000001</v>
      </c>
    </row>
    <row r="234" spans="1:9" x14ac:dyDescent="0.25">
      <c r="A234" t="s">
        <v>808</v>
      </c>
      <c r="B234" s="2">
        <v>2</v>
      </c>
      <c r="C234" s="2">
        <f>E234-D234</f>
        <v>50</v>
      </c>
      <c r="D234" s="2">
        <v>75</v>
      </c>
      <c r="E234" s="2">
        <v>125</v>
      </c>
      <c r="F234" s="2">
        <v>6.7999999999999996E-3</v>
      </c>
      <c r="G234" s="26">
        <f>B234*B234*E234*F234</f>
        <v>3.4</v>
      </c>
      <c r="H234" s="29">
        <f>O8</f>
        <v>36.75</v>
      </c>
      <c r="I234" s="22">
        <f>G234*H234/1000</f>
        <v>0.12495000000000001</v>
      </c>
    </row>
    <row r="235" spans="1:9" x14ac:dyDescent="0.25">
      <c r="A235" t="s">
        <v>816</v>
      </c>
      <c r="B235" s="2">
        <v>2.5</v>
      </c>
      <c r="C235" s="2">
        <f t="shared" ref="C235:C260" si="13">E235-D235</f>
        <v>50</v>
      </c>
      <c r="D235" s="2">
        <v>100</v>
      </c>
      <c r="E235" s="2">
        <v>150</v>
      </c>
      <c r="F235" s="2">
        <v>6.7999999999999996E-3</v>
      </c>
      <c r="G235" s="26">
        <f t="shared" ref="G235:G260" si="14">B235*B235*E235*F235</f>
        <v>6.375</v>
      </c>
      <c r="H235" s="29">
        <f>O8</f>
        <v>36.75</v>
      </c>
      <c r="I235" s="22">
        <f t="shared" ref="I235:I260" si="15">G235*H235/1000</f>
        <v>0.23428125</v>
      </c>
    </row>
    <row r="236" spans="1:9" x14ac:dyDescent="0.25">
      <c r="A236" t="s">
        <v>809</v>
      </c>
      <c r="B236" s="2">
        <v>3</v>
      </c>
      <c r="C236" s="2">
        <f t="shared" si="13"/>
        <v>50</v>
      </c>
      <c r="D236" s="2">
        <v>100</v>
      </c>
      <c r="E236" s="2">
        <v>150</v>
      </c>
      <c r="F236" s="2">
        <v>6.7999999999999996E-3</v>
      </c>
      <c r="G236" s="26">
        <f t="shared" si="14"/>
        <v>9.18</v>
      </c>
      <c r="H236" s="29">
        <f>O8</f>
        <v>36.75</v>
      </c>
      <c r="I236" s="22">
        <f t="shared" si="15"/>
        <v>0.33736500000000003</v>
      </c>
    </row>
    <row r="237" spans="1:9" x14ac:dyDescent="0.25">
      <c r="A237" t="s">
        <v>810</v>
      </c>
      <c r="B237" s="2">
        <v>4</v>
      </c>
      <c r="C237" s="2">
        <f t="shared" si="13"/>
        <v>60</v>
      </c>
      <c r="D237" s="2">
        <v>100</v>
      </c>
      <c r="E237" s="2">
        <v>160</v>
      </c>
      <c r="F237" s="2">
        <v>6.7999999999999996E-3</v>
      </c>
      <c r="G237" s="26">
        <f t="shared" si="14"/>
        <v>17.407999999999998</v>
      </c>
      <c r="H237" s="29">
        <f>O9</f>
        <v>12.600000000000001</v>
      </c>
      <c r="I237" s="22">
        <f t="shared" si="15"/>
        <v>0.2193408</v>
      </c>
    </row>
    <row r="238" spans="1:9" x14ac:dyDescent="0.25">
      <c r="A238" t="s">
        <v>811</v>
      </c>
      <c r="B238" s="2">
        <v>5</v>
      </c>
      <c r="C238" s="2">
        <f t="shared" si="13"/>
        <v>60</v>
      </c>
      <c r="D238" s="2">
        <v>100</v>
      </c>
      <c r="E238" s="2">
        <v>160</v>
      </c>
      <c r="F238" s="2">
        <v>6.7999999999999996E-3</v>
      </c>
      <c r="G238" s="26">
        <f t="shared" si="14"/>
        <v>27.2</v>
      </c>
      <c r="H238" s="29">
        <f>O11</f>
        <v>12.600000000000001</v>
      </c>
      <c r="I238" s="22">
        <f t="shared" si="15"/>
        <v>0.34272000000000002</v>
      </c>
    </row>
    <row r="239" spans="1:9" x14ac:dyDescent="0.25">
      <c r="A239" t="s">
        <v>812</v>
      </c>
      <c r="B239" s="2">
        <v>6</v>
      </c>
      <c r="C239" s="2">
        <f t="shared" si="13"/>
        <v>80</v>
      </c>
      <c r="D239" s="2">
        <v>125</v>
      </c>
      <c r="E239" s="2">
        <v>205</v>
      </c>
      <c r="F239" s="2">
        <v>6.7999999999999996E-3</v>
      </c>
      <c r="G239" s="26">
        <f t="shared" si="14"/>
        <v>50.183999999999997</v>
      </c>
      <c r="H239" s="29">
        <f>O13</f>
        <v>5.25</v>
      </c>
      <c r="I239" s="22">
        <f t="shared" si="15"/>
        <v>0.26346600000000003</v>
      </c>
    </row>
    <row r="240" spans="1:9" x14ac:dyDescent="0.25">
      <c r="A240" t="s">
        <v>813</v>
      </c>
      <c r="B240" s="2">
        <v>6</v>
      </c>
      <c r="C240" s="2">
        <f t="shared" si="13"/>
        <v>80</v>
      </c>
      <c r="D240" s="2">
        <v>150</v>
      </c>
      <c r="E240" s="2">
        <v>230</v>
      </c>
      <c r="F240" s="2">
        <v>6.7999999999999996E-3</v>
      </c>
      <c r="G240" s="26">
        <f t="shared" si="14"/>
        <v>56.303999999999995</v>
      </c>
      <c r="H240" s="29">
        <f>O13</f>
        <v>5.25</v>
      </c>
      <c r="I240" s="22">
        <f t="shared" si="15"/>
        <v>0.29559599999999997</v>
      </c>
    </row>
    <row r="241" spans="1:9" x14ac:dyDescent="0.25">
      <c r="A241" t="s">
        <v>814</v>
      </c>
      <c r="B241" s="2">
        <v>8</v>
      </c>
      <c r="C241" s="2">
        <f t="shared" si="13"/>
        <v>95</v>
      </c>
      <c r="D241" s="2">
        <v>150</v>
      </c>
      <c r="E241" s="2">
        <v>245</v>
      </c>
      <c r="F241" s="2">
        <v>6.7999999999999996E-3</v>
      </c>
      <c r="G241" s="26">
        <f t="shared" si="14"/>
        <v>106.624</v>
      </c>
      <c r="H241" s="29">
        <f>O13</f>
        <v>5.25</v>
      </c>
      <c r="I241" s="22">
        <f t="shared" si="15"/>
        <v>0.55977599999999994</v>
      </c>
    </row>
    <row r="242" spans="1:9" x14ac:dyDescent="0.25">
      <c r="A242" t="s">
        <v>815</v>
      </c>
      <c r="B242" s="2">
        <v>10</v>
      </c>
      <c r="C242" s="2">
        <f t="shared" si="13"/>
        <v>84</v>
      </c>
      <c r="D242" s="2">
        <v>200</v>
      </c>
      <c r="E242" s="2">
        <v>284</v>
      </c>
      <c r="F242" s="2">
        <v>6.7999999999999996E-3</v>
      </c>
      <c r="G242" s="26">
        <f t="shared" si="14"/>
        <v>193.11999999999998</v>
      </c>
      <c r="H242" s="29">
        <f>O13</f>
        <v>5.25</v>
      </c>
      <c r="I242" s="22">
        <f t="shared" si="15"/>
        <v>1.0138799999999999</v>
      </c>
    </row>
    <row r="243" spans="1:9" x14ac:dyDescent="0.25">
      <c r="A243" t="s">
        <v>799</v>
      </c>
      <c r="B243" s="2">
        <v>2</v>
      </c>
      <c r="C243" s="2">
        <f t="shared" si="13"/>
        <v>50</v>
      </c>
      <c r="D243" s="2">
        <v>75</v>
      </c>
      <c r="E243" s="2">
        <v>125</v>
      </c>
      <c r="F243" s="2">
        <v>6.7999999999999996E-3</v>
      </c>
      <c r="G243" s="26">
        <f t="shared" si="14"/>
        <v>3.4</v>
      </c>
      <c r="H243" s="29">
        <f>O8</f>
        <v>36.75</v>
      </c>
      <c r="I243" s="22">
        <f t="shared" si="15"/>
        <v>0.12495000000000001</v>
      </c>
    </row>
    <row r="244" spans="1:9" x14ac:dyDescent="0.25">
      <c r="A244" t="s">
        <v>800</v>
      </c>
      <c r="B244" s="2">
        <v>2.5</v>
      </c>
      <c r="C244" s="2">
        <f t="shared" si="13"/>
        <v>50</v>
      </c>
      <c r="D244" s="2">
        <v>100</v>
      </c>
      <c r="E244" s="2">
        <v>150</v>
      </c>
      <c r="F244" s="2">
        <v>6.7999999999999996E-3</v>
      </c>
      <c r="G244" s="26">
        <f t="shared" si="14"/>
        <v>6.375</v>
      </c>
      <c r="H244" s="29">
        <f>O8</f>
        <v>36.75</v>
      </c>
      <c r="I244" s="22">
        <f t="shared" si="15"/>
        <v>0.23428125</v>
      </c>
    </row>
    <row r="245" spans="1:9" x14ac:dyDescent="0.25">
      <c r="A245" t="s">
        <v>801</v>
      </c>
      <c r="B245" s="2">
        <v>3</v>
      </c>
      <c r="C245" s="2">
        <f t="shared" si="13"/>
        <v>50</v>
      </c>
      <c r="D245" s="2">
        <v>100</v>
      </c>
      <c r="E245" s="2">
        <v>150</v>
      </c>
      <c r="F245" s="2">
        <v>6.7999999999999996E-3</v>
      </c>
      <c r="G245" s="26">
        <f t="shared" si="14"/>
        <v>9.18</v>
      </c>
      <c r="H245" s="29">
        <f>O8</f>
        <v>36.75</v>
      </c>
      <c r="I245" s="22">
        <f t="shared" si="15"/>
        <v>0.33736500000000003</v>
      </c>
    </row>
    <row r="246" spans="1:9" x14ac:dyDescent="0.25">
      <c r="A246" t="s">
        <v>802</v>
      </c>
      <c r="B246" s="2">
        <v>4</v>
      </c>
      <c r="C246" s="2">
        <f t="shared" si="13"/>
        <v>60</v>
      </c>
      <c r="D246" s="2">
        <v>100</v>
      </c>
      <c r="E246" s="2">
        <v>160</v>
      </c>
      <c r="F246" s="2">
        <v>6.7999999999999996E-3</v>
      </c>
      <c r="G246" s="26">
        <f t="shared" si="14"/>
        <v>17.407999999999998</v>
      </c>
      <c r="H246" s="29">
        <f>O9</f>
        <v>12.600000000000001</v>
      </c>
      <c r="I246" s="22">
        <f t="shared" si="15"/>
        <v>0.2193408</v>
      </c>
    </row>
    <row r="247" spans="1:9" x14ac:dyDescent="0.25">
      <c r="A247" t="s">
        <v>803</v>
      </c>
      <c r="B247" s="2">
        <v>5</v>
      </c>
      <c r="C247" s="2">
        <f t="shared" si="13"/>
        <v>60</v>
      </c>
      <c r="D247" s="2">
        <v>100</v>
      </c>
      <c r="E247" s="2">
        <v>160</v>
      </c>
      <c r="F247" s="2">
        <v>6.7999999999999996E-3</v>
      </c>
      <c r="G247" s="26">
        <f t="shared" si="14"/>
        <v>27.2</v>
      </c>
      <c r="H247" s="29">
        <f>O11</f>
        <v>12.600000000000001</v>
      </c>
      <c r="I247" s="22">
        <f t="shared" si="15"/>
        <v>0.34272000000000002</v>
      </c>
    </row>
    <row r="248" spans="1:9" x14ac:dyDescent="0.25">
      <c r="A248" t="s">
        <v>804</v>
      </c>
      <c r="B248" s="2">
        <v>6</v>
      </c>
      <c r="C248" s="2">
        <f t="shared" si="13"/>
        <v>80</v>
      </c>
      <c r="D248" s="2">
        <v>125</v>
      </c>
      <c r="E248" s="2">
        <v>205</v>
      </c>
      <c r="F248" s="2">
        <v>6.7999999999999996E-3</v>
      </c>
      <c r="G248" s="26">
        <f t="shared" si="14"/>
        <v>50.183999999999997</v>
      </c>
      <c r="H248" s="29">
        <f>O13</f>
        <v>5.25</v>
      </c>
      <c r="I248" s="22">
        <f t="shared" si="15"/>
        <v>0.26346600000000003</v>
      </c>
    </row>
    <row r="249" spans="1:9" x14ac:dyDescent="0.25">
      <c r="A249" t="s">
        <v>805</v>
      </c>
      <c r="B249" s="2">
        <v>6</v>
      </c>
      <c r="C249" s="2">
        <f t="shared" si="13"/>
        <v>80</v>
      </c>
      <c r="D249" s="2">
        <v>150</v>
      </c>
      <c r="E249" s="2">
        <v>230</v>
      </c>
      <c r="F249" s="2">
        <v>6.7999999999999996E-3</v>
      </c>
      <c r="G249" s="26">
        <f t="shared" si="14"/>
        <v>56.303999999999995</v>
      </c>
      <c r="H249" s="29">
        <f>O13</f>
        <v>5.25</v>
      </c>
      <c r="I249" s="22">
        <f t="shared" si="15"/>
        <v>0.29559599999999997</v>
      </c>
    </row>
    <row r="250" spans="1:9" x14ac:dyDescent="0.25">
      <c r="A250" t="s">
        <v>806</v>
      </c>
      <c r="B250" s="2">
        <v>8</v>
      </c>
      <c r="C250" s="2">
        <f t="shared" si="13"/>
        <v>95</v>
      </c>
      <c r="D250" s="2">
        <v>150</v>
      </c>
      <c r="E250" s="2">
        <v>245</v>
      </c>
      <c r="F250" s="2">
        <v>6.7999999999999996E-3</v>
      </c>
      <c r="G250" s="26">
        <f t="shared" si="14"/>
        <v>106.624</v>
      </c>
      <c r="H250" s="29">
        <f>O13</f>
        <v>5.25</v>
      </c>
      <c r="I250" s="22">
        <f t="shared" si="15"/>
        <v>0.55977599999999994</v>
      </c>
    </row>
    <row r="251" spans="1:9" x14ac:dyDescent="0.25">
      <c r="A251" t="s">
        <v>807</v>
      </c>
      <c r="B251" s="2">
        <v>10</v>
      </c>
      <c r="C251" s="2">
        <f t="shared" si="13"/>
        <v>84</v>
      </c>
      <c r="D251" s="2">
        <v>200</v>
      </c>
      <c r="E251" s="2">
        <v>284</v>
      </c>
      <c r="F251" s="2">
        <v>6.7999999999999996E-3</v>
      </c>
      <c r="G251" s="26">
        <f t="shared" si="14"/>
        <v>193.11999999999998</v>
      </c>
      <c r="H251" s="29">
        <f>O13</f>
        <v>5.25</v>
      </c>
      <c r="I251" s="22">
        <f t="shared" si="15"/>
        <v>1.0138799999999999</v>
      </c>
    </row>
    <row r="252" spans="1:9" x14ac:dyDescent="0.25">
      <c r="A252" t="s">
        <v>799</v>
      </c>
      <c r="B252" s="2">
        <v>2</v>
      </c>
      <c r="C252" s="2">
        <f t="shared" si="13"/>
        <v>50</v>
      </c>
      <c r="D252" s="2">
        <v>75</v>
      </c>
      <c r="E252" s="2">
        <v>125</v>
      </c>
      <c r="F252" s="2">
        <v>6.7999999999999996E-3</v>
      </c>
      <c r="G252" s="26">
        <f t="shared" si="14"/>
        <v>3.4</v>
      </c>
      <c r="H252" s="29">
        <f>O8</f>
        <v>36.75</v>
      </c>
      <c r="I252" s="22">
        <f t="shared" si="15"/>
        <v>0.12495000000000001</v>
      </c>
    </row>
    <row r="253" spans="1:9" x14ac:dyDescent="0.25">
      <c r="A253" t="s">
        <v>817</v>
      </c>
      <c r="B253" s="2">
        <v>2.5</v>
      </c>
      <c r="C253" s="2">
        <f t="shared" si="13"/>
        <v>50</v>
      </c>
      <c r="D253" s="2">
        <v>100</v>
      </c>
      <c r="E253" s="2">
        <v>150</v>
      </c>
      <c r="F253" s="2">
        <v>6.7999999999999996E-3</v>
      </c>
      <c r="G253" s="26">
        <f t="shared" si="14"/>
        <v>6.375</v>
      </c>
      <c r="H253" s="29">
        <f>O8</f>
        <v>36.75</v>
      </c>
      <c r="I253" s="22">
        <f t="shared" si="15"/>
        <v>0.23428125</v>
      </c>
    </row>
    <row r="254" spans="1:9" x14ac:dyDescent="0.25">
      <c r="A254" t="s">
        <v>818</v>
      </c>
      <c r="B254" s="2">
        <v>3</v>
      </c>
      <c r="C254" s="2">
        <f t="shared" si="13"/>
        <v>50</v>
      </c>
      <c r="D254" s="2">
        <v>100</v>
      </c>
      <c r="E254" s="2">
        <v>150</v>
      </c>
      <c r="F254" s="2">
        <v>6.7999999999999996E-3</v>
      </c>
      <c r="G254" s="26">
        <f t="shared" si="14"/>
        <v>9.18</v>
      </c>
      <c r="H254" s="29">
        <f>O8</f>
        <v>36.75</v>
      </c>
      <c r="I254" s="22">
        <f t="shared" si="15"/>
        <v>0.33736500000000003</v>
      </c>
    </row>
    <row r="255" spans="1:9" x14ac:dyDescent="0.25">
      <c r="A255" t="s">
        <v>819</v>
      </c>
      <c r="B255" s="2">
        <v>4</v>
      </c>
      <c r="C255" s="2">
        <f t="shared" si="13"/>
        <v>60</v>
      </c>
      <c r="D255" s="2">
        <v>100</v>
      </c>
      <c r="E255" s="2">
        <v>160</v>
      </c>
      <c r="F255" s="2">
        <v>6.7999999999999996E-3</v>
      </c>
      <c r="G255" s="26">
        <f t="shared" si="14"/>
        <v>17.407999999999998</v>
      </c>
      <c r="H255" s="29">
        <f>O9</f>
        <v>12.600000000000001</v>
      </c>
      <c r="I255" s="22">
        <f t="shared" si="15"/>
        <v>0.2193408</v>
      </c>
    </row>
    <row r="256" spans="1:9" x14ac:dyDescent="0.25">
      <c r="A256" t="s">
        <v>820</v>
      </c>
      <c r="B256" s="2">
        <v>5</v>
      </c>
      <c r="C256" s="2">
        <f t="shared" si="13"/>
        <v>60</v>
      </c>
      <c r="D256" s="2">
        <v>100</v>
      </c>
      <c r="E256" s="2">
        <v>160</v>
      </c>
      <c r="F256" s="2">
        <v>6.7999999999999996E-3</v>
      </c>
      <c r="G256" s="26">
        <f t="shared" si="14"/>
        <v>27.2</v>
      </c>
      <c r="H256" s="29">
        <f>O11</f>
        <v>12.600000000000001</v>
      </c>
      <c r="I256" s="22">
        <f t="shared" si="15"/>
        <v>0.34272000000000002</v>
      </c>
    </row>
    <row r="257" spans="1:9" x14ac:dyDescent="0.25">
      <c r="A257" t="s">
        <v>821</v>
      </c>
      <c r="B257" s="2">
        <v>6</v>
      </c>
      <c r="C257" s="2">
        <f t="shared" si="13"/>
        <v>80</v>
      </c>
      <c r="D257" s="2">
        <v>125</v>
      </c>
      <c r="E257" s="2">
        <v>205</v>
      </c>
      <c r="F257" s="2">
        <v>6.7999999999999996E-3</v>
      </c>
      <c r="G257" s="26">
        <f t="shared" si="14"/>
        <v>50.183999999999997</v>
      </c>
      <c r="H257" s="29">
        <f>O13</f>
        <v>5.25</v>
      </c>
      <c r="I257" s="22">
        <f t="shared" si="15"/>
        <v>0.26346600000000003</v>
      </c>
    </row>
    <row r="258" spans="1:9" x14ac:dyDescent="0.25">
      <c r="A258" t="s">
        <v>822</v>
      </c>
      <c r="B258" s="2">
        <v>6</v>
      </c>
      <c r="C258" s="2">
        <f t="shared" si="13"/>
        <v>80</v>
      </c>
      <c r="D258" s="2">
        <v>150</v>
      </c>
      <c r="E258" s="2">
        <v>230</v>
      </c>
      <c r="F258" s="2">
        <v>6.7999999999999996E-3</v>
      </c>
      <c r="G258" s="26">
        <f t="shared" si="14"/>
        <v>56.303999999999995</v>
      </c>
      <c r="H258" s="29">
        <f>O13</f>
        <v>5.25</v>
      </c>
      <c r="I258" s="22">
        <f t="shared" si="15"/>
        <v>0.29559599999999997</v>
      </c>
    </row>
    <row r="259" spans="1:9" x14ac:dyDescent="0.25">
      <c r="A259" t="s">
        <v>823</v>
      </c>
      <c r="B259" s="2">
        <v>8</v>
      </c>
      <c r="C259" s="2">
        <f t="shared" si="13"/>
        <v>95</v>
      </c>
      <c r="D259" s="2">
        <v>150</v>
      </c>
      <c r="E259" s="2">
        <v>245</v>
      </c>
      <c r="F259" s="2">
        <v>6.7999999999999996E-3</v>
      </c>
      <c r="G259" s="26">
        <f t="shared" si="14"/>
        <v>106.624</v>
      </c>
      <c r="H259" s="29">
        <f>O13</f>
        <v>5.25</v>
      </c>
      <c r="I259" s="22">
        <f t="shared" si="15"/>
        <v>0.55977599999999994</v>
      </c>
    </row>
    <row r="260" spans="1:9" x14ac:dyDescent="0.25">
      <c r="A260" t="s">
        <v>824</v>
      </c>
      <c r="B260" s="2">
        <v>10</v>
      </c>
      <c r="C260" s="2">
        <f t="shared" si="13"/>
        <v>84</v>
      </c>
      <c r="D260" s="2">
        <v>200</v>
      </c>
      <c r="E260" s="2">
        <v>284</v>
      </c>
      <c r="F260" s="2">
        <v>6.7999999999999996E-3</v>
      </c>
      <c r="G260" s="26">
        <f t="shared" si="14"/>
        <v>193.11999999999998</v>
      </c>
      <c r="H260" s="29">
        <f>O13</f>
        <v>5.25</v>
      </c>
      <c r="I260" s="22">
        <f t="shared" si="15"/>
        <v>1.0138799999999999</v>
      </c>
    </row>
    <row r="261" spans="1:9" x14ac:dyDescent="0.25">
      <c r="H261" s="2"/>
      <c r="I261" s="2"/>
    </row>
    <row r="262" spans="1:9" x14ac:dyDescent="0.25">
      <c r="H262" s="2"/>
      <c r="I262" s="2"/>
    </row>
    <row r="263" spans="1:9" ht="19.5" x14ac:dyDescent="0.25">
      <c r="A263" s="80" t="s">
        <v>1088</v>
      </c>
      <c r="B263" s="2"/>
      <c r="C263" s="2"/>
      <c r="D263" s="2"/>
      <c r="E263" s="2"/>
      <c r="F263" s="2"/>
      <c r="G263" s="2"/>
      <c r="H263" s="2"/>
      <c r="I263" s="2"/>
    </row>
    <row r="264" spans="1:9" x14ac:dyDescent="0.25">
      <c r="A264" s="4" t="s">
        <v>0</v>
      </c>
      <c r="B264" s="28" t="s">
        <v>443</v>
      </c>
      <c r="C264" s="28" t="s">
        <v>452</v>
      </c>
      <c r="D264" s="28" t="s">
        <v>454</v>
      </c>
      <c r="E264" s="28" t="s">
        <v>945</v>
      </c>
      <c r="F264" s="28" t="s">
        <v>450</v>
      </c>
      <c r="G264" s="28" t="s">
        <v>831</v>
      </c>
      <c r="H264" s="19" t="s">
        <v>446</v>
      </c>
      <c r="I264" s="21" t="s">
        <v>448</v>
      </c>
    </row>
    <row r="265" spans="1:9" x14ac:dyDescent="0.25">
      <c r="A265" s="4" t="s">
        <v>834</v>
      </c>
      <c r="B265" s="28">
        <v>5</v>
      </c>
      <c r="C265" s="28">
        <v>75</v>
      </c>
      <c r="D265" s="28">
        <v>90</v>
      </c>
      <c r="E265" s="33">
        <f t="shared" ref="E265:E320" si="16">D265+C265</f>
        <v>165</v>
      </c>
      <c r="F265" s="28">
        <v>7.8499999999999993E-3</v>
      </c>
      <c r="G265" s="28">
        <f>B265*B265*E265*F265</f>
        <v>32.381249999999994</v>
      </c>
      <c r="H265" s="27">
        <f>O11</f>
        <v>12.600000000000001</v>
      </c>
      <c r="I265" s="22">
        <f>H265*G265/1000</f>
        <v>0.40800374999999994</v>
      </c>
    </row>
    <row r="266" spans="1:9" x14ac:dyDescent="0.25">
      <c r="A266" s="4" t="s">
        <v>836</v>
      </c>
      <c r="B266" s="28">
        <v>5</v>
      </c>
      <c r="C266" s="28">
        <v>100</v>
      </c>
      <c r="D266" s="28">
        <v>90</v>
      </c>
      <c r="E266" s="33">
        <f t="shared" si="16"/>
        <v>190</v>
      </c>
      <c r="F266" s="28">
        <v>7.8499999999999993E-3</v>
      </c>
      <c r="G266" s="28">
        <f t="shared" ref="G266:G320" si="17">B266*B266*E266*F266</f>
        <v>37.287499999999994</v>
      </c>
      <c r="H266" s="27">
        <f>O11</f>
        <v>12.600000000000001</v>
      </c>
      <c r="I266" s="22">
        <f t="shared" ref="I266:I320" si="18">H266*G266/1000</f>
        <v>0.46982249999999998</v>
      </c>
    </row>
    <row r="267" spans="1:9" x14ac:dyDescent="0.25">
      <c r="A267" s="4" t="s">
        <v>838</v>
      </c>
      <c r="B267" s="28">
        <v>5</v>
      </c>
      <c r="C267" s="28">
        <v>150</v>
      </c>
      <c r="D267" s="28">
        <v>90</v>
      </c>
      <c r="E267" s="33">
        <f t="shared" si="16"/>
        <v>240</v>
      </c>
      <c r="F267" s="28">
        <v>7.8499999999999993E-3</v>
      </c>
      <c r="G267" s="28">
        <f t="shared" si="17"/>
        <v>47.099999999999994</v>
      </c>
      <c r="H267" s="27">
        <f>O11</f>
        <v>12.600000000000001</v>
      </c>
      <c r="I267" s="22">
        <f t="shared" si="18"/>
        <v>0.59345999999999999</v>
      </c>
    </row>
    <row r="268" spans="1:9" x14ac:dyDescent="0.25">
      <c r="A268" s="4" t="s">
        <v>840</v>
      </c>
      <c r="B268" s="28">
        <v>5</v>
      </c>
      <c r="C268" s="28">
        <v>200</v>
      </c>
      <c r="D268" s="28">
        <v>90</v>
      </c>
      <c r="E268" s="33">
        <f t="shared" si="16"/>
        <v>290</v>
      </c>
      <c r="F268" s="28">
        <v>7.8499999999999993E-3</v>
      </c>
      <c r="G268" s="28">
        <f t="shared" si="17"/>
        <v>56.912499999999994</v>
      </c>
      <c r="H268" s="27">
        <f>O11</f>
        <v>12.600000000000001</v>
      </c>
      <c r="I268" s="22">
        <f t="shared" si="18"/>
        <v>0.71709749999999994</v>
      </c>
    </row>
    <row r="269" spans="1:9" x14ac:dyDescent="0.25">
      <c r="A269" s="4" t="s">
        <v>842</v>
      </c>
      <c r="B269" s="28">
        <v>5</v>
      </c>
      <c r="C269" s="28">
        <v>250</v>
      </c>
      <c r="D269" s="28">
        <v>90</v>
      </c>
      <c r="E269" s="33">
        <f t="shared" si="16"/>
        <v>340</v>
      </c>
      <c r="F269" s="28">
        <v>7.8499999999999993E-3</v>
      </c>
      <c r="G269" s="28">
        <f t="shared" si="17"/>
        <v>66.724999999999994</v>
      </c>
      <c r="H269" s="27">
        <f>O11</f>
        <v>12.600000000000001</v>
      </c>
      <c r="I269" s="22">
        <f t="shared" si="18"/>
        <v>0.84073500000000001</v>
      </c>
    </row>
    <row r="270" spans="1:9" x14ac:dyDescent="0.25">
      <c r="A270" s="4" t="s">
        <v>844</v>
      </c>
      <c r="B270" s="28">
        <v>5</v>
      </c>
      <c r="C270" s="28">
        <v>300</v>
      </c>
      <c r="D270" s="28">
        <v>90</v>
      </c>
      <c r="E270" s="33">
        <f t="shared" si="16"/>
        <v>390</v>
      </c>
      <c r="F270" s="28">
        <v>7.8499999999999993E-3</v>
      </c>
      <c r="G270" s="28">
        <f t="shared" si="17"/>
        <v>76.537499999999994</v>
      </c>
      <c r="H270" s="27">
        <f>O11</f>
        <v>12.600000000000001</v>
      </c>
      <c r="I270" s="22">
        <f t="shared" si="18"/>
        <v>0.96437250000000008</v>
      </c>
    </row>
    <row r="271" spans="1:9" x14ac:dyDescent="0.25">
      <c r="A271" s="4" t="s">
        <v>846</v>
      </c>
      <c r="B271" s="28">
        <v>6</v>
      </c>
      <c r="C271" s="28">
        <v>100</v>
      </c>
      <c r="D271" s="28">
        <v>110</v>
      </c>
      <c r="E271" s="33">
        <f t="shared" si="16"/>
        <v>210</v>
      </c>
      <c r="F271" s="28">
        <v>7.8499999999999993E-3</v>
      </c>
      <c r="G271" s="28">
        <f t="shared" si="17"/>
        <v>59.345999999999997</v>
      </c>
      <c r="H271" s="27">
        <f>O13</f>
        <v>5.25</v>
      </c>
      <c r="I271" s="22">
        <f t="shared" si="18"/>
        <v>0.31156649999999997</v>
      </c>
    </row>
    <row r="272" spans="1:9" x14ac:dyDescent="0.25">
      <c r="A272" s="4" t="s">
        <v>848</v>
      </c>
      <c r="B272" s="28">
        <v>6</v>
      </c>
      <c r="C272" s="28">
        <v>125</v>
      </c>
      <c r="D272" s="28">
        <v>110</v>
      </c>
      <c r="E272" s="33">
        <f t="shared" si="16"/>
        <v>235</v>
      </c>
      <c r="F272" s="28">
        <v>7.8499999999999993E-3</v>
      </c>
      <c r="G272" s="28">
        <f t="shared" si="17"/>
        <v>66.411000000000001</v>
      </c>
      <c r="H272" s="27">
        <f>O13</f>
        <v>5.25</v>
      </c>
      <c r="I272" s="22">
        <f t="shared" si="18"/>
        <v>0.34865775000000004</v>
      </c>
    </row>
    <row r="273" spans="1:9" x14ac:dyDescent="0.25">
      <c r="A273" s="4" t="s">
        <v>850</v>
      </c>
      <c r="B273" s="28">
        <v>6</v>
      </c>
      <c r="C273" s="28">
        <v>150</v>
      </c>
      <c r="D273" s="28">
        <v>110</v>
      </c>
      <c r="E273" s="33">
        <f t="shared" si="16"/>
        <v>260</v>
      </c>
      <c r="F273" s="28">
        <v>7.8499999999999993E-3</v>
      </c>
      <c r="G273" s="28">
        <f t="shared" si="17"/>
        <v>73.475999999999999</v>
      </c>
      <c r="H273" s="27">
        <f>O13</f>
        <v>5.25</v>
      </c>
      <c r="I273" s="22">
        <f t="shared" si="18"/>
        <v>0.38574900000000001</v>
      </c>
    </row>
    <row r="274" spans="1:9" x14ac:dyDescent="0.25">
      <c r="A274" s="4" t="s">
        <v>852</v>
      </c>
      <c r="B274" s="28">
        <v>6</v>
      </c>
      <c r="C274" s="28">
        <v>200</v>
      </c>
      <c r="D274" s="28">
        <v>110</v>
      </c>
      <c r="E274" s="33">
        <f t="shared" si="16"/>
        <v>310</v>
      </c>
      <c r="F274" s="28">
        <v>7.8499999999999993E-3</v>
      </c>
      <c r="G274" s="28">
        <f t="shared" si="17"/>
        <v>87.605999999999995</v>
      </c>
      <c r="H274" s="27">
        <f>O14</f>
        <v>10.5</v>
      </c>
      <c r="I274" s="22">
        <f t="shared" si="18"/>
        <v>0.91986299999999999</v>
      </c>
    </row>
    <row r="275" spans="1:9" x14ac:dyDescent="0.25">
      <c r="A275" s="4" t="s">
        <v>854</v>
      </c>
      <c r="B275" s="28">
        <v>6</v>
      </c>
      <c r="C275" s="28">
        <v>250</v>
      </c>
      <c r="D275" s="28">
        <v>110</v>
      </c>
      <c r="E275" s="33">
        <f t="shared" si="16"/>
        <v>360</v>
      </c>
      <c r="F275" s="28">
        <v>7.8499999999999993E-3</v>
      </c>
      <c r="G275" s="28">
        <f t="shared" si="17"/>
        <v>101.73599999999999</v>
      </c>
      <c r="H275" s="27">
        <f>O14</f>
        <v>10.5</v>
      </c>
      <c r="I275" s="22">
        <f t="shared" si="18"/>
        <v>1.0682279999999997</v>
      </c>
    </row>
    <row r="276" spans="1:9" x14ac:dyDescent="0.25">
      <c r="A276" s="4" t="s">
        <v>856</v>
      </c>
      <c r="B276" s="28">
        <v>6</v>
      </c>
      <c r="C276" s="28">
        <v>300</v>
      </c>
      <c r="D276" s="28">
        <v>110</v>
      </c>
      <c r="E276" s="33">
        <f t="shared" si="16"/>
        <v>410</v>
      </c>
      <c r="F276" s="28">
        <v>7.8499999999999993E-3</v>
      </c>
      <c r="G276" s="28">
        <f t="shared" si="17"/>
        <v>115.86599999999999</v>
      </c>
      <c r="H276" s="27">
        <f>O14</f>
        <v>10.5</v>
      </c>
      <c r="I276" s="22">
        <f t="shared" si="18"/>
        <v>1.2165929999999998</v>
      </c>
    </row>
    <row r="277" spans="1:9" x14ac:dyDescent="0.25">
      <c r="A277" s="4" t="s">
        <v>858</v>
      </c>
      <c r="B277" s="28">
        <v>6</v>
      </c>
      <c r="C277" s="28">
        <v>350</v>
      </c>
      <c r="D277" s="28">
        <v>110</v>
      </c>
      <c r="E277" s="33">
        <f t="shared" si="16"/>
        <v>460</v>
      </c>
      <c r="F277" s="28">
        <v>7.8499999999999993E-3</v>
      </c>
      <c r="G277" s="28">
        <f t="shared" si="17"/>
        <v>129.99599999999998</v>
      </c>
      <c r="H277" s="27">
        <f>O14</f>
        <v>10.5</v>
      </c>
      <c r="I277" s="22">
        <f t="shared" si="18"/>
        <v>1.3649579999999999</v>
      </c>
    </row>
    <row r="278" spans="1:9" x14ac:dyDescent="0.25">
      <c r="A278" s="4" t="s">
        <v>860</v>
      </c>
      <c r="B278" s="28">
        <v>6</v>
      </c>
      <c r="C278" s="28">
        <v>400</v>
      </c>
      <c r="D278" s="28">
        <v>110</v>
      </c>
      <c r="E278" s="33">
        <f t="shared" si="16"/>
        <v>510</v>
      </c>
      <c r="F278" s="28">
        <v>7.8499999999999993E-3</v>
      </c>
      <c r="G278" s="28">
        <f t="shared" si="17"/>
        <v>144.12599999999998</v>
      </c>
      <c r="H278" s="27">
        <f>O15</f>
        <v>12.600000000000001</v>
      </c>
      <c r="I278" s="22">
        <f t="shared" si="18"/>
        <v>1.8159875999999999</v>
      </c>
    </row>
    <row r="279" spans="1:9" x14ac:dyDescent="0.25">
      <c r="A279" s="4" t="s">
        <v>862</v>
      </c>
      <c r="B279" s="28">
        <v>8</v>
      </c>
      <c r="C279" s="28">
        <v>125</v>
      </c>
      <c r="D279" s="28">
        <v>125</v>
      </c>
      <c r="E279" s="33">
        <f t="shared" si="16"/>
        <v>250</v>
      </c>
      <c r="F279" s="28">
        <v>7.8499999999999993E-3</v>
      </c>
      <c r="G279" s="28">
        <f t="shared" si="17"/>
        <v>125.6</v>
      </c>
      <c r="H279" s="27">
        <f>O13</f>
        <v>5.25</v>
      </c>
      <c r="I279" s="22">
        <f t="shared" si="18"/>
        <v>0.65939999999999999</v>
      </c>
    </row>
    <row r="280" spans="1:9" x14ac:dyDescent="0.25">
      <c r="A280" s="4" t="s">
        <v>864</v>
      </c>
      <c r="B280" s="28">
        <v>8</v>
      </c>
      <c r="C280" s="28">
        <v>150</v>
      </c>
      <c r="D280" s="28">
        <v>125</v>
      </c>
      <c r="E280" s="33">
        <f t="shared" si="16"/>
        <v>275</v>
      </c>
      <c r="F280" s="28">
        <v>7.8499999999999993E-3</v>
      </c>
      <c r="G280" s="28">
        <f t="shared" si="17"/>
        <v>138.16</v>
      </c>
      <c r="H280" s="27">
        <f>O13</f>
        <v>5.25</v>
      </c>
      <c r="I280" s="22">
        <f t="shared" si="18"/>
        <v>0.72533999999999998</v>
      </c>
    </row>
    <row r="281" spans="1:9" x14ac:dyDescent="0.25">
      <c r="A281" s="4" t="s">
        <v>866</v>
      </c>
      <c r="B281" s="28">
        <v>8</v>
      </c>
      <c r="C281" s="28">
        <v>200</v>
      </c>
      <c r="D281" s="28">
        <v>125</v>
      </c>
      <c r="E281" s="33">
        <f t="shared" si="16"/>
        <v>325</v>
      </c>
      <c r="F281" s="28">
        <v>7.8499999999999993E-3</v>
      </c>
      <c r="G281" s="28">
        <f t="shared" si="17"/>
        <v>163.27999999999997</v>
      </c>
      <c r="H281" s="27">
        <f>O14</f>
        <v>10.5</v>
      </c>
      <c r="I281" s="22">
        <f t="shared" si="18"/>
        <v>1.7144399999999995</v>
      </c>
    </row>
    <row r="282" spans="1:9" x14ac:dyDescent="0.25">
      <c r="A282" s="4" t="s">
        <v>868</v>
      </c>
      <c r="B282" s="28">
        <v>8</v>
      </c>
      <c r="C282" s="28">
        <v>250</v>
      </c>
      <c r="D282" s="28">
        <v>125</v>
      </c>
      <c r="E282" s="33">
        <f t="shared" si="16"/>
        <v>375</v>
      </c>
      <c r="F282" s="28">
        <v>7.8499999999999993E-3</v>
      </c>
      <c r="G282" s="28">
        <f t="shared" si="17"/>
        <v>188.39999999999998</v>
      </c>
      <c r="H282" s="27">
        <f>O14</f>
        <v>10.5</v>
      </c>
      <c r="I282" s="22">
        <f t="shared" si="18"/>
        <v>1.9781999999999997</v>
      </c>
    </row>
    <row r="283" spans="1:9" x14ac:dyDescent="0.25">
      <c r="A283" s="4" t="s">
        <v>870</v>
      </c>
      <c r="B283" s="28">
        <v>8</v>
      </c>
      <c r="C283" s="28">
        <v>300</v>
      </c>
      <c r="D283" s="28">
        <v>125</v>
      </c>
      <c r="E283" s="33">
        <f t="shared" si="16"/>
        <v>425</v>
      </c>
      <c r="F283" s="28">
        <v>7.8499999999999993E-3</v>
      </c>
      <c r="G283" s="28">
        <f t="shared" si="17"/>
        <v>213.51999999999998</v>
      </c>
      <c r="H283" s="27">
        <f>O14</f>
        <v>10.5</v>
      </c>
      <c r="I283" s="22">
        <f t="shared" si="18"/>
        <v>2.2419600000000002</v>
      </c>
    </row>
    <row r="284" spans="1:9" x14ac:dyDescent="0.25">
      <c r="A284" s="4" t="s">
        <v>872</v>
      </c>
      <c r="B284" s="28">
        <v>8</v>
      </c>
      <c r="C284" s="28">
        <v>350</v>
      </c>
      <c r="D284" s="28">
        <v>125</v>
      </c>
      <c r="E284" s="33">
        <f t="shared" si="16"/>
        <v>475</v>
      </c>
      <c r="F284" s="28">
        <v>7.8499999999999993E-3</v>
      </c>
      <c r="G284" s="28">
        <f t="shared" si="17"/>
        <v>238.64</v>
      </c>
      <c r="H284" s="27">
        <f>O14</f>
        <v>10.5</v>
      </c>
      <c r="I284" s="22">
        <f t="shared" si="18"/>
        <v>2.5057199999999997</v>
      </c>
    </row>
    <row r="285" spans="1:9" x14ac:dyDescent="0.25">
      <c r="A285" s="4" t="s">
        <v>874</v>
      </c>
      <c r="B285" s="28">
        <v>8</v>
      </c>
      <c r="C285" s="28">
        <v>400</v>
      </c>
      <c r="D285" s="28">
        <v>125</v>
      </c>
      <c r="E285" s="33">
        <f t="shared" si="16"/>
        <v>525</v>
      </c>
      <c r="F285" s="28">
        <v>7.8499999999999993E-3</v>
      </c>
      <c r="G285" s="28">
        <f t="shared" si="17"/>
        <v>263.76</v>
      </c>
      <c r="H285" s="27">
        <f>O15</f>
        <v>12.600000000000001</v>
      </c>
      <c r="I285" s="22">
        <f t="shared" si="18"/>
        <v>3.3233760000000001</v>
      </c>
    </row>
    <row r="286" spans="1:9" x14ac:dyDescent="0.25">
      <c r="A286" s="4" t="s">
        <v>876</v>
      </c>
      <c r="B286" s="28">
        <v>8</v>
      </c>
      <c r="C286" s="28">
        <v>450</v>
      </c>
      <c r="D286" s="28">
        <v>125</v>
      </c>
      <c r="E286" s="33">
        <f t="shared" si="16"/>
        <v>575</v>
      </c>
      <c r="F286" s="28">
        <v>7.8499999999999993E-3</v>
      </c>
      <c r="G286" s="28">
        <f t="shared" si="17"/>
        <v>288.88</v>
      </c>
      <c r="H286" s="27">
        <f>O15</f>
        <v>12.600000000000001</v>
      </c>
      <c r="I286" s="22">
        <f t="shared" si="18"/>
        <v>3.6398880000000005</v>
      </c>
    </row>
    <row r="287" spans="1:9" x14ac:dyDescent="0.25">
      <c r="A287" s="4" t="s">
        <v>878</v>
      </c>
      <c r="B287" s="28">
        <v>8</v>
      </c>
      <c r="C287" s="28">
        <v>500</v>
      </c>
      <c r="D287" s="28">
        <v>125</v>
      </c>
      <c r="E287" s="33">
        <f t="shared" si="16"/>
        <v>625</v>
      </c>
      <c r="F287" s="28">
        <v>7.8499999999999993E-3</v>
      </c>
      <c r="G287" s="28">
        <f t="shared" si="17"/>
        <v>314</v>
      </c>
      <c r="H287" s="27">
        <f>O16</f>
        <v>15.75</v>
      </c>
      <c r="I287" s="22">
        <f t="shared" si="18"/>
        <v>4.9455</v>
      </c>
    </row>
    <row r="288" spans="1:9" x14ac:dyDescent="0.25">
      <c r="A288" s="4" t="s">
        <v>880</v>
      </c>
      <c r="B288" s="28">
        <v>4</v>
      </c>
      <c r="C288" s="28">
        <v>75</v>
      </c>
      <c r="D288" s="28">
        <v>98</v>
      </c>
      <c r="E288" s="33">
        <f t="shared" si="16"/>
        <v>173</v>
      </c>
      <c r="F288" s="28">
        <v>7.8499999999999993E-3</v>
      </c>
      <c r="G288" s="28">
        <f t="shared" si="17"/>
        <v>21.7288</v>
      </c>
      <c r="H288" s="27">
        <f>O9</f>
        <v>12.600000000000001</v>
      </c>
      <c r="I288" s="22">
        <f t="shared" si="18"/>
        <v>0.27378288000000006</v>
      </c>
    </row>
    <row r="289" spans="1:9" x14ac:dyDescent="0.25">
      <c r="A289" s="4" t="s">
        <v>882</v>
      </c>
      <c r="B289" s="28">
        <v>4</v>
      </c>
      <c r="C289" s="28">
        <v>100</v>
      </c>
      <c r="D289" s="28">
        <v>98</v>
      </c>
      <c r="E289" s="33">
        <f t="shared" si="16"/>
        <v>198</v>
      </c>
      <c r="F289" s="28">
        <v>7.8499999999999993E-3</v>
      </c>
      <c r="G289" s="28">
        <f t="shared" si="17"/>
        <v>24.868799999999997</v>
      </c>
      <c r="H289" s="27">
        <f>O9</f>
        <v>12.600000000000001</v>
      </c>
      <c r="I289" s="22">
        <f t="shared" si="18"/>
        <v>0.31334687999999999</v>
      </c>
    </row>
    <row r="290" spans="1:9" x14ac:dyDescent="0.25">
      <c r="A290" s="4" t="s">
        <v>884</v>
      </c>
      <c r="B290" s="28">
        <v>5</v>
      </c>
      <c r="C290" s="28">
        <v>100</v>
      </c>
      <c r="D290" s="28">
        <v>98</v>
      </c>
      <c r="E290" s="33">
        <f t="shared" si="16"/>
        <v>198</v>
      </c>
      <c r="F290" s="28">
        <v>7.8499999999999993E-3</v>
      </c>
      <c r="G290" s="28">
        <f t="shared" si="17"/>
        <v>38.857499999999995</v>
      </c>
      <c r="H290" s="27">
        <f>O11</f>
        <v>12.600000000000001</v>
      </c>
      <c r="I290" s="22">
        <f t="shared" si="18"/>
        <v>0.4896045</v>
      </c>
    </row>
    <row r="291" spans="1:9" x14ac:dyDescent="0.25">
      <c r="A291" s="4" t="s">
        <v>886</v>
      </c>
      <c r="B291" s="28">
        <v>5</v>
      </c>
      <c r="C291" s="28">
        <v>125</v>
      </c>
      <c r="D291" s="28">
        <v>98</v>
      </c>
      <c r="E291" s="33">
        <f t="shared" si="16"/>
        <v>223</v>
      </c>
      <c r="F291" s="28">
        <v>7.8499999999999993E-3</v>
      </c>
      <c r="G291" s="28">
        <f t="shared" si="17"/>
        <v>43.763749999999995</v>
      </c>
      <c r="H291" s="27">
        <f>O11</f>
        <v>12.600000000000001</v>
      </c>
      <c r="I291" s="22">
        <f t="shared" si="18"/>
        <v>0.55142324999999992</v>
      </c>
    </row>
    <row r="292" spans="1:9" x14ac:dyDescent="0.25">
      <c r="A292" s="4" t="s">
        <v>888</v>
      </c>
      <c r="B292" s="28">
        <v>5</v>
      </c>
      <c r="C292" s="28">
        <v>150</v>
      </c>
      <c r="D292" s="28">
        <v>98</v>
      </c>
      <c r="E292" s="33">
        <f t="shared" si="16"/>
        <v>248</v>
      </c>
      <c r="F292" s="28">
        <v>7.8499999999999993E-3</v>
      </c>
      <c r="G292" s="28">
        <f t="shared" si="17"/>
        <v>48.669999999999995</v>
      </c>
      <c r="H292" s="27">
        <f>O11</f>
        <v>12.600000000000001</v>
      </c>
      <c r="I292" s="22">
        <f t="shared" si="18"/>
        <v>0.61324199999999995</v>
      </c>
    </row>
    <row r="293" spans="1:9" x14ac:dyDescent="0.25">
      <c r="A293" s="4" t="s">
        <v>890</v>
      </c>
      <c r="B293" s="28">
        <v>5</v>
      </c>
      <c r="C293" s="28">
        <v>200</v>
      </c>
      <c r="D293" s="28">
        <v>98</v>
      </c>
      <c r="E293" s="33">
        <f t="shared" si="16"/>
        <v>298</v>
      </c>
      <c r="F293" s="28">
        <v>7.8499999999999993E-3</v>
      </c>
      <c r="G293" s="28">
        <f t="shared" si="17"/>
        <v>58.482499999999995</v>
      </c>
      <c r="H293" s="27">
        <f>O11</f>
        <v>12.600000000000001</v>
      </c>
      <c r="I293" s="22">
        <f t="shared" si="18"/>
        <v>0.73687950000000002</v>
      </c>
    </row>
    <row r="294" spans="1:9" x14ac:dyDescent="0.25">
      <c r="A294" s="4" t="s">
        <v>892</v>
      </c>
      <c r="B294" s="28">
        <v>5</v>
      </c>
      <c r="C294" s="28">
        <v>250</v>
      </c>
      <c r="D294" s="28">
        <v>98</v>
      </c>
      <c r="E294" s="33">
        <f t="shared" si="16"/>
        <v>348</v>
      </c>
      <c r="F294" s="28">
        <v>7.8499999999999993E-3</v>
      </c>
      <c r="G294" s="28">
        <f t="shared" si="17"/>
        <v>68.294999999999987</v>
      </c>
      <c r="H294" s="27">
        <f>O11</f>
        <v>12.600000000000001</v>
      </c>
      <c r="I294" s="22">
        <f t="shared" si="18"/>
        <v>0.86051699999999998</v>
      </c>
    </row>
    <row r="295" spans="1:9" x14ac:dyDescent="0.25">
      <c r="A295" s="4" t="s">
        <v>894</v>
      </c>
      <c r="B295" s="28">
        <v>5</v>
      </c>
      <c r="C295" s="28">
        <v>300</v>
      </c>
      <c r="D295" s="28">
        <v>98</v>
      </c>
      <c r="E295" s="33">
        <f t="shared" si="16"/>
        <v>398</v>
      </c>
      <c r="F295" s="28">
        <v>7.8499999999999993E-3</v>
      </c>
      <c r="G295" s="28">
        <f t="shared" si="17"/>
        <v>78.107499999999987</v>
      </c>
      <c r="H295" s="27">
        <f>O11</f>
        <v>12.600000000000001</v>
      </c>
      <c r="I295" s="22">
        <f t="shared" si="18"/>
        <v>0.98415449999999993</v>
      </c>
    </row>
    <row r="296" spans="1:9" x14ac:dyDescent="0.25">
      <c r="A296" s="4" t="s">
        <v>896</v>
      </c>
      <c r="B296" s="28">
        <v>6</v>
      </c>
      <c r="C296" s="28">
        <v>100</v>
      </c>
      <c r="D296" s="28">
        <v>119</v>
      </c>
      <c r="E296" s="33">
        <f t="shared" si="16"/>
        <v>219</v>
      </c>
      <c r="F296" s="28">
        <v>7.8499999999999993E-3</v>
      </c>
      <c r="G296" s="28">
        <f t="shared" si="17"/>
        <v>61.889399999999995</v>
      </c>
      <c r="H296" s="27">
        <f>O13</f>
        <v>5.25</v>
      </c>
      <c r="I296" s="22">
        <f t="shared" si="18"/>
        <v>0.32491934999999994</v>
      </c>
    </row>
    <row r="297" spans="1:9" x14ac:dyDescent="0.25">
      <c r="A297" s="4" t="s">
        <v>898</v>
      </c>
      <c r="B297" s="28">
        <v>6</v>
      </c>
      <c r="C297" s="28">
        <v>125</v>
      </c>
      <c r="D297" s="28">
        <v>119</v>
      </c>
      <c r="E297" s="33">
        <f t="shared" si="16"/>
        <v>244</v>
      </c>
      <c r="F297" s="28">
        <v>7.8499999999999993E-3</v>
      </c>
      <c r="G297" s="28">
        <f t="shared" si="17"/>
        <v>68.954399999999993</v>
      </c>
      <c r="H297" s="27">
        <f>O13</f>
        <v>5.25</v>
      </c>
      <c r="I297" s="22">
        <f t="shared" si="18"/>
        <v>0.36201059999999996</v>
      </c>
    </row>
    <row r="298" spans="1:9" x14ac:dyDescent="0.25">
      <c r="A298" s="4" t="s">
        <v>900</v>
      </c>
      <c r="B298" s="28">
        <v>6</v>
      </c>
      <c r="C298" s="28">
        <v>150</v>
      </c>
      <c r="D298" s="28">
        <v>119</v>
      </c>
      <c r="E298" s="33">
        <f t="shared" si="16"/>
        <v>269</v>
      </c>
      <c r="F298" s="28">
        <v>7.8499999999999993E-3</v>
      </c>
      <c r="G298" s="28">
        <f t="shared" si="17"/>
        <v>76.01939999999999</v>
      </c>
      <c r="H298" s="27">
        <f>O13</f>
        <v>5.25</v>
      </c>
      <c r="I298" s="22">
        <f t="shared" si="18"/>
        <v>0.39910184999999998</v>
      </c>
    </row>
    <row r="299" spans="1:9" x14ac:dyDescent="0.25">
      <c r="A299" s="4" t="s">
        <v>902</v>
      </c>
      <c r="B299" s="28">
        <v>6</v>
      </c>
      <c r="C299" s="28">
        <v>200</v>
      </c>
      <c r="D299" s="28">
        <v>119</v>
      </c>
      <c r="E299" s="33">
        <f t="shared" si="16"/>
        <v>319</v>
      </c>
      <c r="F299" s="28">
        <v>7.8499999999999993E-3</v>
      </c>
      <c r="G299" s="28">
        <f t="shared" si="17"/>
        <v>90.149399999999986</v>
      </c>
      <c r="H299" s="27">
        <f>O14</f>
        <v>10.5</v>
      </c>
      <c r="I299" s="22">
        <f t="shared" si="18"/>
        <v>0.94656869999999982</v>
      </c>
    </row>
    <row r="300" spans="1:9" x14ac:dyDescent="0.25">
      <c r="A300" s="4" t="s">
        <v>904</v>
      </c>
      <c r="B300" s="28">
        <v>6</v>
      </c>
      <c r="C300" s="28">
        <v>250</v>
      </c>
      <c r="D300" s="28">
        <v>119</v>
      </c>
      <c r="E300" s="33">
        <f t="shared" si="16"/>
        <v>369</v>
      </c>
      <c r="F300" s="28">
        <v>7.8499999999999993E-3</v>
      </c>
      <c r="G300" s="28">
        <f t="shared" si="17"/>
        <v>104.2794</v>
      </c>
      <c r="H300" s="27">
        <f>O14</f>
        <v>10.5</v>
      </c>
      <c r="I300" s="22">
        <f t="shared" si="18"/>
        <v>1.0949337000000001</v>
      </c>
    </row>
    <row r="301" spans="1:9" x14ac:dyDescent="0.25">
      <c r="A301" s="4" t="s">
        <v>906</v>
      </c>
      <c r="B301" s="28">
        <v>6</v>
      </c>
      <c r="C301" s="28">
        <v>300</v>
      </c>
      <c r="D301" s="28">
        <v>119</v>
      </c>
      <c r="E301" s="33">
        <f t="shared" si="16"/>
        <v>419</v>
      </c>
      <c r="F301" s="28">
        <v>7.8499999999999993E-3</v>
      </c>
      <c r="G301" s="28">
        <f t="shared" si="17"/>
        <v>118.40939999999999</v>
      </c>
      <c r="H301" s="27">
        <f>O14</f>
        <v>10.5</v>
      </c>
      <c r="I301" s="22">
        <f t="shared" si="18"/>
        <v>1.2432986999999998</v>
      </c>
    </row>
    <row r="302" spans="1:9" x14ac:dyDescent="0.25">
      <c r="A302" s="4" t="s">
        <v>908</v>
      </c>
      <c r="B302" s="28">
        <v>6</v>
      </c>
      <c r="C302" s="28">
        <v>350</v>
      </c>
      <c r="D302" s="28">
        <v>119</v>
      </c>
      <c r="E302" s="33">
        <f t="shared" si="16"/>
        <v>469</v>
      </c>
      <c r="F302" s="28">
        <v>7.8499999999999993E-3</v>
      </c>
      <c r="G302" s="28">
        <f t="shared" si="17"/>
        <v>132.5394</v>
      </c>
      <c r="H302" s="27">
        <f>O14</f>
        <v>10.5</v>
      </c>
      <c r="I302" s="22">
        <f t="shared" si="18"/>
        <v>1.3916637000000001</v>
      </c>
    </row>
    <row r="303" spans="1:9" x14ac:dyDescent="0.25">
      <c r="A303" s="4" t="s">
        <v>910</v>
      </c>
      <c r="B303" s="28">
        <v>6</v>
      </c>
      <c r="C303" s="28">
        <v>400</v>
      </c>
      <c r="D303" s="28">
        <v>119</v>
      </c>
      <c r="E303" s="33">
        <f t="shared" si="16"/>
        <v>519</v>
      </c>
      <c r="F303" s="28">
        <v>7.8499999999999993E-3</v>
      </c>
      <c r="G303" s="28">
        <f t="shared" si="17"/>
        <v>146.6694</v>
      </c>
      <c r="H303" s="27">
        <f>O15</f>
        <v>12.600000000000001</v>
      </c>
      <c r="I303" s="22">
        <f t="shared" si="18"/>
        <v>1.8480344400000002</v>
      </c>
    </row>
    <row r="304" spans="1:9" x14ac:dyDescent="0.25">
      <c r="A304" s="4" t="s">
        <v>912</v>
      </c>
      <c r="B304" s="28">
        <v>7</v>
      </c>
      <c r="C304" s="28">
        <v>150</v>
      </c>
      <c r="D304" s="28">
        <v>134</v>
      </c>
      <c r="E304" s="33">
        <f t="shared" si="16"/>
        <v>284</v>
      </c>
      <c r="F304" s="28">
        <v>7.8499999999999993E-3</v>
      </c>
      <c r="G304" s="28">
        <f t="shared" si="17"/>
        <v>109.24059999999999</v>
      </c>
      <c r="H304" s="27">
        <f>O13</f>
        <v>5.25</v>
      </c>
      <c r="I304" s="22">
        <f t="shared" si="18"/>
        <v>0.57351314999999992</v>
      </c>
    </row>
    <row r="305" spans="1:9" x14ac:dyDescent="0.25">
      <c r="A305" s="4" t="s">
        <v>914</v>
      </c>
      <c r="B305" s="28">
        <v>7</v>
      </c>
      <c r="C305" s="28">
        <v>175</v>
      </c>
      <c r="D305" s="28">
        <v>134</v>
      </c>
      <c r="E305" s="33">
        <f t="shared" si="16"/>
        <v>309</v>
      </c>
      <c r="F305" s="28">
        <v>7.8499999999999993E-3</v>
      </c>
      <c r="G305" s="28">
        <f t="shared" si="17"/>
        <v>118.85684999999999</v>
      </c>
      <c r="H305" s="27">
        <f>O14</f>
        <v>10.5</v>
      </c>
      <c r="I305" s="22">
        <f t="shared" si="18"/>
        <v>1.2479969249999998</v>
      </c>
    </row>
    <row r="306" spans="1:9" x14ac:dyDescent="0.25">
      <c r="A306" s="4" t="s">
        <v>916</v>
      </c>
      <c r="B306" s="28">
        <v>7</v>
      </c>
      <c r="C306" s="28">
        <v>200</v>
      </c>
      <c r="D306" s="28">
        <v>134</v>
      </c>
      <c r="E306" s="33">
        <f t="shared" si="16"/>
        <v>334</v>
      </c>
      <c r="F306" s="28">
        <v>7.8499999999999993E-3</v>
      </c>
      <c r="G306" s="28">
        <f t="shared" si="17"/>
        <v>128.47309999999999</v>
      </c>
      <c r="H306" s="27">
        <f>O14</f>
        <v>10.5</v>
      </c>
      <c r="I306" s="22">
        <f t="shared" si="18"/>
        <v>1.3489675499999998</v>
      </c>
    </row>
    <row r="307" spans="1:9" x14ac:dyDescent="0.25">
      <c r="A307" s="4" t="s">
        <v>918</v>
      </c>
      <c r="B307" s="28">
        <v>7</v>
      </c>
      <c r="C307" s="28">
        <v>250</v>
      </c>
      <c r="D307" s="28">
        <v>134</v>
      </c>
      <c r="E307" s="33">
        <f t="shared" si="16"/>
        <v>384</v>
      </c>
      <c r="F307" s="28">
        <v>7.8499999999999993E-3</v>
      </c>
      <c r="G307" s="28">
        <f t="shared" si="17"/>
        <v>147.70559999999998</v>
      </c>
      <c r="H307" s="27">
        <f>O14</f>
        <v>10.5</v>
      </c>
      <c r="I307" s="22">
        <f t="shared" si="18"/>
        <v>1.5509087999999998</v>
      </c>
    </row>
    <row r="308" spans="1:9" x14ac:dyDescent="0.25">
      <c r="A308" s="4" t="s">
        <v>920</v>
      </c>
      <c r="B308" s="28">
        <v>7</v>
      </c>
      <c r="C308" s="28">
        <v>300</v>
      </c>
      <c r="D308" s="28">
        <v>134</v>
      </c>
      <c r="E308" s="33">
        <f t="shared" si="16"/>
        <v>434</v>
      </c>
      <c r="F308" s="28">
        <v>7.8499999999999993E-3</v>
      </c>
      <c r="G308" s="28">
        <f t="shared" si="17"/>
        <v>166.93809999999999</v>
      </c>
      <c r="H308" s="27">
        <f>O14</f>
        <v>10.5</v>
      </c>
      <c r="I308" s="22">
        <f t="shared" si="18"/>
        <v>1.7528500499999999</v>
      </c>
    </row>
    <row r="309" spans="1:9" x14ac:dyDescent="0.25">
      <c r="A309" s="4" t="s">
        <v>922</v>
      </c>
      <c r="B309" s="28">
        <v>7</v>
      </c>
      <c r="C309" s="28">
        <v>350</v>
      </c>
      <c r="D309" s="28">
        <v>134</v>
      </c>
      <c r="E309" s="33">
        <f t="shared" si="16"/>
        <v>484</v>
      </c>
      <c r="F309" s="28">
        <v>7.8499999999999993E-3</v>
      </c>
      <c r="G309" s="28">
        <f t="shared" si="17"/>
        <v>186.17059999999998</v>
      </c>
      <c r="H309" s="27">
        <f>O14</f>
        <v>10.5</v>
      </c>
      <c r="I309" s="22">
        <f t="shared" si="18"/>
        <v>1.9547912999999999</v>
      </c>
    </row>
    <row r="310" spans="1:9" x14ac:dyDescent="0.25">
      <c r="A310" s="4" t="s">
        <v>924</v>
      </c>
      <c r="B310" s="28">
        <v>7</v>
      </c>
      <c r="C310" s="28">
        <v>400</v>
      </c>
      <c r="D310" s="28">
        <v>134</v>
      </c>
      <c r="E310" s="33">
        <f t="shared" si="16"/>
        <v>534</v>
      </c>
      <c r="F310" s="28">
        <v>7.8499999999999993E-3</v>
      </c>
      <c r="G310" s="28">
        <f t="shared" si="17"/>
        <v>205.40309999999999</v>
      </c>
      <c r="H310" s="27">
        <f>O15</f>
        <v>12.600000000000001</v>
      </c>
      <c r="I310" s="22">
        <f t="shared" si="18"/>
        <v>2.5880790600000001</v>
      </c>
    </row>
    <row r="311" spans="1:9" x14ac:dyDescent="0.25">
      <c r="A311" s="4" t="s">
        <v>926</v>
      </c>
      <c r="B311" s="28">
        <v>7</v>
      </c>
      <c r="C311" s="28">
        <v>450</v>
      </c>
      <c r="D311" s="28">
        <v>134</v>
      </c>
      <c r="E311" s="33">
        <f t="shared" si="16"/>
        <v>584</v>
      </c>
      <c r="F311" s="28">
        <v>7.8499999999999993E-3</v>
      </c>
      <c r="G311" s="28">
        <f t="shared" si="17"/>
        <v>224.63559999999998</v>
      </c>
      <c r="H311" s="27">
        <f>O15</f>
        <v>12.600000000000001</v>
      </c>
      <c r="I311" s="22">
        <f t="shared" si="18"/>
        <v>2.8304085600000004</v>
      </c>
    </row>
    <row r="312" spans="1:9" x14ac:dyDescent="0.25">
      <c r="A312" s="4" t="s">
        <v>928</v>
      </c>
      <c r="B312" s="28">
        <v>7</v>
      </c>
      <c r="C312" s="28">
        <v>500</v>
      </c>
      <c r="D312" s="28">
        <v>134</v>
      </c>
      <c r="E312" s="33">
        <f t="shared" si="16"/>
        <v>634</v>
      </c>
      <c r="F312" s="28">
        <v>7.8499999999999993E-3</v>
      </c>
      <c r="G312" s="28">
        <f t="shared" si="17"/>
        <v>243.86809999999997</v>
      </c>
      <c r="H312" s="27">
        <f>O16</f>
        <v>15.75</v>
      </c>
      <c r="I312" s="22">
        <f t="shared" si="18"/>
        <v>3.8409225749999996</v>
      </c>
    </row>
    <row r="313" spans="1:9" x14ac:dyDescent="0.25">
      <c r="A313" s="4" t="s">
        <v>930</v>
      </c>
      <c r="B313" s="28">
        <v>8</v>
      </c>
      <c r="C313" s="28">
        <v>175</v>
      </c>
      <c r="D313" s="28">
        <v>134</v>
      </c>
      <c r="E313" s="33">
        <f t="shared" si="16"/>
        <v>309</v>
      </c>
      <c r="F313" s="28">
        <v>7.8499999999999993E-3</v>
      </c>
      <c r="G313" s="28">
        <f t="shared" si="17"/>
        <v>155.24159999999998</v>
      </c>
      <c r="H313" s="27">
        <f>O14</f>
        <v>10.5</v>
      </c>
      <c r="I313" s="22">
        <f t="shared" si="18"/>
        <v>1.6300367999999998</v>
      </c>
    </row>
    <row r="314" spans="1:9" x14ac:dyDescent="0.25">
      <c r="A314" s="4" t="s">
        <v>932</v>
      </c>
      <c r="B314" s="28">
        <v>8</v>
      </c>
      <c r="C314" s="28">
        <v>200</v>
      </c>
      <c r="D314" s="28">
        <v>134</v>
      </c>
      <c r="E314" s="33">
        <f t="shared" si="16"/>
        <v>334</v>
      </c>
      <c r="F314" s="28">
        <v>7.8499999999999993E-3</v>
      </c>
      <c r="G314" s="28">
        <f t="shared" si="17"/>
        <v>167.80159999999998</v>
      </c>
      <c r="H314" s="27">
        <f>O14</f>
        <v>10.5</v>
      </c>
      <c r="I314" s="22">
        <f t="shared" si="18"/>
        <v>1.7619167999999998</v>
      </c>
    </row>
    <row r="315" spans="1:9" x14ac:dyDescent="0.25">
      <c r="A315" s="4" t="s">
        <v>934</v>
      </c>
      <c r="B315" s="28">
        <v>8</v>
      </c>
      <c r="C315" s="28">
        <v>250</v>
      </c>
      <c r="D315" s="28">
        <v>134</v>
      </c>
      <c r="E315" s="33">
        <f t="shared" si="16"/>
        <v>384</v>
      </c>
      <c r="F315" s="28">
        <v>7.8499999999999993E-3</v>
      </c>
      <c r="G315" s="28">
        <f t="shared" si="17"/>
        <v>192.92159999999998</v>
      </c>
      <c r="H315" s="27">
        <f>O14</f>
        <v>10.5</v>
      </c>
      <c r="I315" s="22">
        <f t="shared" si="18"/>
        <v>2.0256767999999998</v>
      </c>
    </row>
    <row r="316" spans="1:9" x14ac:dyDescent="0.25">
      <c r="A316" s="4" t="s">
        <v>936</v>
      </c>
      <c r="B316" s="28">
        <v>8</v>
      </c>
      <c r="C316" s="28">
        <v>300</v>
      </c>
      <c r="D316" s="28">
        <v>134</v>
      </c>
      <c r="E316" s="33">
        <f t="shared" si="16"/>
        <v>434</v>
      </c>
      <c r="F316" s="28">
        <v>7.8499999999999993E-3</v>
      </c>
      <c r="G316" s="28">
        <f t="shared" si="17"/>
        <v>218.04159999999999</v>
      </c>
      <c r="H316" s="27">
        <f>O14</f>
        <v>10.5</v>
      </c>
      <c r="I316" s="22">
        <f t="shared" si="18"/>
        <v>2.2894367999999998</v>
      </c>
    </row>
    <row r="317" spans="1:9" x14ac:dyDescent="0.25">
      <c r="A317" s="4" t="s">
        <v>938</v>
      </c>
      <c r="B317" s="28">
        <v>8</v>
      </c>
      <c r="C317" s="28">
        <v>350</v>
      </c>
      <c r="D317" s="28">
        <v>134</v>
      </c>
      <c r="E317" s="33">
        <f t="shared" si="16"/>
        <v>484</v>
      </c>
      <c r="F317" s="28">
        <v>7.8499999999999993E-3</v>
      </c>
      <c r="G317" s="28">
        <f t="shared" si="17"/>
        <v>243.16159999999999</v>
      </c>
      <c r="H317" s="27">
        <f>O14</f>
        <v>10.5</v>
      </c>
      <c r="I317" s="22">
        <f t="shared" si="18"/>
        <v>2.5531967999999998</v>
      </c>
    </row>
    <row r="318" spans="1:9" x14ac:dyDescent="0.25">
      <c r="A318" s="4" t="s">
        <v>940</v>
      </c>
      <c r="B318" s="28">
        <v>8</v>
      </c>
      <c r="C318" s="28">
        <v>400</v>
      </c>
      <c r="D318" s="28">
        <v>134</v>
      </c>
      <c r="E318" s="33">
        <f t="shared" si="16"/>
        <v>534</v>
      </c>
      <c r="F318" s="28">
        <v>7.8499999999999993E-3</v>
      </c>
      <c r="G318" s="28">
        <f t="shared" si="17"/>
        <v>268.28159999999997</v>
      </c>
      <c r="H318" s="27">
        <f>O15</f>
        <v>12.600000000000001</v>
      </c>
      <c r="I318" s="22">
        <f t="shared" si="18"/>
        <v>3.38034816</v>
      </c>
    </row>
    <row r="319" spans="1:9" x14ac:dyDescent="0.25">
      <c r="A319" s="4" t="s">
        <v>942</v>
      </c>
      <c r="B319" s="28">
        <v>8</v>
      </c>
      <c r="C319" s="28">
        <v>450</v>
      </c>
      <c r="D319" s="28">
        <v>134</v>
      </c>
      <c r="E319" s="33">
        <f t="shared" si="16"/>
        <v>584</v>
      </c>
      <c r="F319" s="28">
        <v>7.8499999999999993E-3</v>
      </c>
      <c r="G319" s="28">
        <f t="shared" si="17"/>
        <v>293.40159999999997</v>
      </c>
      <c r="H319" s="27">
        <f>O15</f>
        <v>12.600000000000001</v>
      </c>
      <c r="I319" s="22">
        <f t="shared" si="18"/>
        <v>3.6968601600000004</v>
      </c>
    </row>
    <row r="320" spans="1:9" x14ac:dyDescent="0.25">
      <c r="A320" s="4" t="s">
        <v>944</v>
      </c>
      <c r="B320" s="28">
        <v>8</v>
      </c>
      <c r="C320" s="28">
        <v>500</v>
      </c>
      <c r="D320" s="28">
        <v>134</v>
      </c>
      <c r="E320" s="33">
        <f t="shared" si="16"/>
        <v>634</v>
      </c>
      <c r="F320" s="28">
        <v>7.8499999999999993E-3</v>
      </c>
      <c r="G320" s="28">
        <f t="shared" si="17"/>
        <v>318.52159999999998</v>
      </c>
      <c r="H320" s="27">
        <f>O16</f>
        <v>15.75</v>
      </c>
      <c r="I320" s="22">
        <f t="shared" si="18"/>
        <v>5.0167151999999993</v>
      </c>
    </row>
    <row r="324" spans="1:9" ht="21" x14ac:dyDescent="0.25">
      <c r="A324" s="25" t="s">
        <v>959</v>
      </c>
      <c r="B324" s="113"/>
      <c r="C324" s="113"/>
      <c r="D324" s="113"/>
      <c r="E324" s="113"/>
      <c r="F324" s="113"/>
      <c r="G324" s="113"/>
      <c r="H324" s="113"/>
      <c r="I324" s="113"/>
    </row>
    <row r="325" spans="1:9" x14ac:dyDescent="0.25">
      <c r="A325" s="115" t="s">
        <v>0</v>
      </c>
      <c r="B325" s="28" t="s">
        <v>443</v>
      </c>
      <c r="C325" s="28" t="s">
        <v>452</v>
      </c>
      <c r="D325" s="28" t="s">
        <v>454</v>
      </c>
      <c r="E325" s="28" t="s">
        <v>645</v>
      </c>
      <c r="F325" s="28" t="s">
        <v>450</v>
      </c>
      <c r="G325" s="28" t="s">
        <v>831</v>
      </c>
      <c r="H325" s="28" t="s">
        <v>947</v>
      </c>
      <c r="I325" s="28" t="s">
        <v>448</v>
      </c>
    </row>
    <row r="326" spans="1:9" x14ac:dyDescent="0.25">
      <c r="A326" s="115" t="s">
        <v>834</v>
      </c>
      <c r="B326" s="28">
        <v>5</v>
      </c>
      <c r="C326" s="28">
        <v>75</v>
      </c>
      <c r="D326" s="28">
        <v>90</v>
      </c>
      <c r="E326" s="33">
        <f t="shared" ref="E326:E404" si="19">D326+C326</f>
        <v>165</v>
      </c>
      <c r="F326" s="28">
        <v>6.7999999999999996E-3</v>
      </c>
      <c r="G326" s="28">
        <f>B326*B326*E326*F326</f>
        <v>28.049999999999997</v>
      </c>
      <c r="H326" s="117">
        <f>O11</f>
        <v>12.600000000000001</v>
      </c>
      <c r="I326" s="22">
        <f>G326*H326/1000</f>
        <v>0.35343000000000002</v>
      </c>
    </row>
    <row r="327" spans="1:9" x14ac:dyDescent="0.25">
      <c r="A327" s="115" t="s">
        <v>836</v>
      </c>
      <c r="B327" s="28">
        <v>5</v>
      </c>
      <c r="C327" s="28">
        <v>100</v>
      </c>
      <c r="D327" s="28">
        <v>90</v>
      </c>
      <c r="E327" s="33">
        <f t="shared" si="19"/>
        <v>190</v>
      </c>
      <c r="F327" s="28">
        <v>6.7999999999999996E-3</v>
      </c>
      <c r="G327" s="28">
        <f t="shared" ref="G327:G404" si="20">B327*B327*E327*F327</f>
        <v>32.299999999999997</v>
      </c>
      <c r="H327" s="117">
        <f>O11</f>
        <v>12.600000000000001</v>
      </c>
      <c r="I327" s="22">
        <f t="shared" ref="I327:I404" si="21">G327*H327/1000</f>
        <v>0.40698000000000001</v>
      </c>
    </row>
    <row r="328" spans="1:9" x14ac:dyDescent="0.25">
      <c r="A328" s="115" t="s">
        <v>838</v>
      </c>
      <c r="B328" s="28">
        <v>5</v>
      </c>
      <c r="C328" s="28">
        <v>150</v>
      </c>
      <c r="D328" s="28">
        <v>90</v>
      </c>
      <c r="E328" s="33">
        <f t="shared" si="19"/>
        <v>240</v>
      </c>
      <c r="F328" s="28">
        <v>6.7999999999999996E-3</v>
      </c>
      <c r="G328" s="28">
        <f t="shared" si="20"/>
        <v>40.799999999999997</v>
      </c>
      <c r="H328" s="117">
        <f>O11</f>
        <v>12.600000000000001</v>
      </c>
      <c r="I328" s="22">
        <f t="shared" si="21"/>
        <v>0.51408000000000009</v>
      </c>
    </row>
    <row r="329" spans="1:9" x14ac:dyDescent="0.25">
      <c r="A329" s="115" t="s">
        <v>840</v>
      </c>
      <c r="B329" s="28">
        <v>5</v>
      </c>
      <c r="C329" s="28">
        <v>200</v>
      </c>
      <c r="D329" s="28">
        <v>90</v>
      </c>
      <c r="E329" s="33">
        <f t="shared" si="19"/>
        <v>290</v>
      </c>
      <c r="F329" s="28">
        <v>6.7999999999999996E-3</v>
      </c>
      <c r="G329" s="28">
        <f t="shared" si="20"/>
        <v>49.3</v>
      </c>
      <c r="H329" s="117">
        <f>O11</f>
        <v>12.600000000000001</v>
      </c>
      <c r="I329" s="22">
        <f t="shared" si="21"/>
        <v>0.62118000000000007</v>
      </c>
    </row>
    <row r="330" spans="1:9" x14ac:dyDescent="0.25">
      <c r="A330" s="115" t="s">
        <v>842</v>
      </c>
      <c r="B330" s="28">
        <v>5</v>
      </c>
      <c r="C330" s="28">
        <v>250</v>
      </c>
      <c r="D330" s="28">
        <v>90</v>
      </c>
      <c r="E330" s="33">
        <f t="shared" si="19"/>
        <v>340</v>
      </c>
      <c r="F330" s="28">
        <v>6.7999999999999996E-3</v>
      </c>
      <c r="G330" s="28">
        <f t="shared" si="20"/>
        <v>57.8</v>
      </c>
      <c r="H330" s="117">
        <f>O11</f>
        <v>12.600000000000001</v>
      </c>
      <c r="I330" s="22">
        <f t="shared" si="21"/>
        <v>0.72828000000000004</v>
      </c>
    </row>
    <row r="331" spans="1:9" x14ac:dyDescent="0.25">
      <c r="A331" s="115" t="s">
        <v>844</v>
      </c>
      <c r="B331" s="28">
        <v>5</v>
      </c>
      <c r="C331" s="28">
        <v>300</v>
      </c>
      <c r="D331" s="28">
        <v>90</v>
      </c>
      <c r="E331" s="33">
        <f t="shared" si="19"/>
        <v>390</v>
      </c>
      <c r="F331" s="28">
        <v>6.7999999999999996E-3</v>
      </c>
      <c r="G331" s="28">
        <f t="shared" si="20"/>
        <v>66.3</v>
      </c>
      <c r="H331" s="117">
        <f>O11</f>
        <v>12.600000000000001</v>
      </c>
      <c r="I331" s="22">
        <f t="shared" si="21"/>
        <v>0.83538000000000012</v>
      </c>
    </row>
    <row r="332" spans="1:9" x14ac:dyDescent="0.25">
      <c r="A332" s="115" t="s">
        <v>846</v>
      </c>
      <c r="B332" s="28">
        <v>6</v>
      </c>
      <c r="C332" s="28">
        <v>100</v>
      </c>
      <c r="D332" s="28">
        <v>110</v>
      </c>
      <c r="E332" s="33">
        <f t="shared" si="19"/>
        <v>210</v>
      </c>
      <c r="F332" s="28">
        <v>6.7999999999999996E-3</v>
      </c>
      <c r="G332" s="28">
        <f t="shared" si="20"/>
        <v>51.407999999999994</v>
      </c>
      <c r="H332" s="117">
        <f>O13</f>
        <v>5.25</v>
      </c>
      <c r="I332" s="22">
        <f t="shared" si="21"/>
        <v>0.26989200000000002</v>
      </c>
    </row>
    <row r="333" spans="1:9" x14ac:dyDescent="0.25">
      <c r="A333" s="115" t="s">
        <v>848</v>
      </c>
      <c r="B333" s="28">
        <v>6</v>
      </c>
      <c r="C333" s="28">
        <v>125</v>
      </c>
      <c r="D333" s="28">
        <v>110</v>
      </c>
      <c r="E333" s="33">
        <f t="shared" si="19"/>
        <v>235</v>
      </c>
      <c r="F333" s="28">
        <v>6.7999999999999996E-3</v>
      </c>
      <c r="G333" s="28">
        <f t="shared" si="20"/>
        <v>57.527999999999999</v>
      </c>
      <c r="H333" s="117">
        <f>O13</f>
        <v>5.25</v>
      </c>
      <c r="I333" s="22">
        <f t="shared" si="21"/>
        <v>0.30202200000000001</v>
      </c>
    </row>
    <row r="334" spans="1:9" x14ac:dyDescent="0.25">
      <c r="A334" s="115" t="s">
        <v>850</v>
      </c>
      <c r="B334" s="28">
        <v>6</v>
      </c>
      <c r="C334" s="28">
        <v>150</v>
      </c>
      <c r="D334" s="28">
        <v>110</v>
      </c>
      <c r="E334" s="33">
        <f t="shared" si="19"/>
        <v>260</v>
      </c>
      <c r="F334" s="28">
        <v>6.7999999999999996E-3</v>
      </c>
      <c r="G334" s="28">
        <f t="shared" si="20"/>
        <v>63.647999999999996</v>
      </c>
      <c r="H334" s="117">
        <f>O13</f>
        <v>5.25</v>
      </c>
      <c r="I334" s="22">
        <f t="shared" si="21"/>
        <v>0.334152</v>
      </c>
    </row>
    <row r="335" spans="1:9" x14ac:dyDescent="0.25">
      <c r="A335" s="115" t="s">
        <v>852</v>
      </c>
      <c r="B335" s="28">
        <v>6</v>
      </c>
      <c r="C335" s="28">
        <v>200</v>
      </c>
      <c r="D335" s="28">
        <v>110</v>
      </c>
      <c r="E335" s="33">
        <f t="shared" si="19"/>
        <v>310</v>
      </c>
      <c r="F335" s="28">
        <v>6.7999999999999996E-3</v>
      </c>
      <c r="G335" s="28">
        <f t="shared" si="20"/>
        <v>75.887999999999991</v>
      </c>
      <c r="H335" s="117">
        <f>O14</f>
        <v>10.5</v>
      </c>
      <c r="I335" s="22">
        <f t="shared" si="21"/>
        <v>0.79682399999999998</v>
      </c>
    </row>
    <row r="336" spans="1:9" x14ac:dyDescent="0.25">
      <c r="A336" s="115" t="s">
        <v>854</v>
      </c>
      <c r="B336" s="28">
        <v>6</v>
      </c>
      <c r="C336" s="28">
        <v>250</v>
      </c>
      <c r="D336" s="28">
        <v>110</v>
      </c>
      <c r="E336" s="33">
        <f t="shared" si="19"/>
        <v>360</v>
      </c>
      <c r="F336" s="28">
        <v>6.7999999999999996E-3</v>
      </c>
      <c r="G336" s="28">
        <f t="shared" si="20"/>
        <v>88.128</v>
      </c>
      <c r="H336" s="117">
        <f>O14</f>
        <v>10.5</v>
      </c>
      <c r="I336" s="22">
        <f t="shared" si="21"/>
        <v>0.92534400000000006</v>
      </c>
    </row>
    <row r="337" spans="1:9" x14ac:dyDescent="0.25">
      <c r="A337" s="115" t="s">
        <v>856</v>
      </c>
      <c r="B337" s="28">
        <v>6</v>
      </c>
      <c r="C337" s="28">
        <v>300</v>
      </c>
      <c r="D337" s="28">
        <v>110</v>
      </c>
      <c r="E337" s="33">
        <f t="shared" si="19"/>
        <v>410</v>
      </c>
      <c r="F337" s="28">
        <v>6.7999999999999996E-3</v>
      </c>
      <c r="G337" s="28">
        <f t="shared" si="20"/>
        <v>100.36799999999999</v>
      </c>
      <c r="H337" s="117">
        <f>O14</f>
        <v>10.5</v>
      </c>
      <c r="I337" s="22">
        <f t="shared" si="21"/>
        <v>1.0538640000000001</v>
      </c>
    </row>
    <row r="338" spans="1:9" x14ac:dyDescent="0.25">
      <c r="A338" s="115" t="s">
        <v>858</v>
      </c>
      <c r="B338" s="28">
        <v>6</v>
      </c>
      <c r="C338" s="28">
        <v>350</v>
      </c>
      <c r="D338" s="28">
        <v>110</v>
      </c>
      <c r="E338" s="33">
        <f t="shared" si="19"/>
        <v>460</v>
      </c>
      <c r="F338" s="28">
        <v>6.7999999999999996E-3</v>
      </c>
      <c r="G338" s="28">
        <f t="shared" si="20"/>
        <v>112.60799999999999</v>
      </c>
      <c r="H338" s="117">
        <f>O14</f>
        <v>10.5</v>
      </c>
      <c r="I338" s="22">
        <f t="shared" si="21"/>
        <v>1.1823839999999999</v>
      </c>
    </row>
    <row r="339" spans="1:9" x14ac:dyDescent="0.25">
      <c r="A339" s="115" t="s">
        <v>860</v>
      </c>
      <c r="B339" s="28">
        <v>6</v>
      </c>
      <c r="C339" s="28">
        <v>400</v>
      </c>
      <c r="D339" s="28">
        <v>110</v>
      </c>
      <c r="E339" s="33">
        <f t="shared" si="19"/>
        <v>510</v>
      </c>
      <c r="F339" s="28">
        <v>6.7999999999999996E-3</v>
      </c>
      <c r="G339" s="28">
        <f t="shared" si="20"/>
        <v>124.848</v>
      </c>
      <c r="H339" s="117">
        <f>O15</f>
        <v>12.600000000000001</v>
      </c>
      <c r="I339" s="22">
        <f t="shared" si="21"/>
        <v>1.5730848000000002</v>
      </c>
    </row>
    <row r="340" spans="1:9" x14ac:dyDescent="0.25">
      <c r="A340" s="115" t="s">
        <v>862</v>
      </c>
      <c r="B340" s="28">
        <v>8</v>
      </c>
      <c r="C340" s="28">
        <v>125</v>
      </c>
      <c r="D340" s="28">
        <v>125</v>
      </c>
      <c r="E340" s="33">
        <f t="shared" si="19"/>
        <v>250</v>
      </c>
      <c r="F340" s="28">
        <v>6.7999999999999996E-3</v>
      </c>
      <c r="G340" s="28">
        <f t="shared" si="20"/>
        <v>108.8</v>
      </c>
      <c r="H340" s="117">
        <f>O13</f>
        <v>5.25</v>
      </c>
      <c r="I340" s="22">
        <f t="shared" si="21"/>
        <v>0.57119999999999993</v>
      </c>
    </row>
    <row r="341" spans="1:9" x14ac:dyDescent="0.25">
      <c r="A341" s="115" t="s">
        <v>864</v>
      </c>
      <c r="B341" s="28">
        <v>8</v>
      </c>
      <c r="C341" s="28">
        <v>150</v>
      </c>
      <c r="D341" s="28">
        <v>125</v>
      </c>
      <c r="E341" s="33">
        <f t="shared" si="19"/>
        <v>275</v>
      </c>
      <c r="F341" s="28">
        <v>6.7999999999999996E-3</v>
      </c>
      <c r="G341" s="28">
        <f t="shared" si="20"/>
        <v>119.67999999999999</v>
      </c>
      <c r="H341" s="117">
        <f>O13</f>
        <v>5.25</v>
      </c>
      <c r="I341" s="22">
        <f t="shared" si="21"/>
        <v>0.62831999999999999</v>
      </c>
    </row>
    <row r="342" spans="1:9" x14ac:dyDescent="0.25">
      <c r="A342" s="115" t="s">
        <v>866</v>
      </c>
      <c r="B342" s="28">
        <v>8</v>
      </c>
      <c r="C342" s="28">
        <v>200</v>
      </c>
      <c r="D342" s="28">
        <v>125</v>
      </c>
      <c r="E342" s="33">
        <f t="shared" si="19"/>
        <v>325</v>
      </c>
      <c r="F342" s="28">
        <v>6.7999999999999996E-3</v>
      </c>
      <c r="G342" s="28">
        <f t="shared" si="20"/>
        <v>141.44</v>
      </c>
      <c r="H342" s="117">
        <f>O14</f>
        <v>10.5</v>
      </c>
      <c r="I342" s="22">
        <f t="shared" si="21"/>
        <v>1.48512</v>
      </c>
    </row>
    <row r="343" spans="1:9" x14ac:dyDescent="0.25">
      <c r="A343" s="115" t="s">
        <v>868</v>
      </c>
      <c r="B343" s="28">
        <v>8</v>
      </c>
      <c r="C343" s="28">
        <v>250</v>
      </c>
      <c r="D343" s="28">
        <v>125</v>
      </c>
      <c r="E343" s="33">
        <f t="shared" si="19"/>
        <v>375</v>
      </c>
      <c r="F343" s="28">
        <v>6.7999999999999996E-3</v>
      </c>
      <c r="G343" s="28">
        <f t="shared" si="20"/>
        <v>163.19999999999999</v>
      </c>
      <c r="H343" s="117">
        <f>O14</f>
        <v>10.5</v>
      </c>
      <c r="I343" s="22">
        <f t="shared" si="21"/>
        <v>1.7136</v>
      </c>
    </row>
    <row r="344" spans="1:9" x14ac:dyDescent="0.25">
      <c r="A344" s="115" t="s">
        <v>870</v>
      </c>
      <c r="B344" s="28">
        <v>8</v>
      </c>
      <c r="C344" s="28">
        <v>300</v>
      </c>
      <c r="D344" s="28">
        <v>125</v>
      </c>
      <c r="E344" s="33">
        <f t="shared" si="19"/>
        <v>425</v>
      </c>
      <c r="F344" s="28">
        <v>6.7999999999999996E-3</v>
      </c>
      <c r="G344" s="28">
        <f t="shared" si="20"/>
        <v>184.95999999999998</v>
      </c>
      <c r="H344" s="117">
        <f>O14</f>
        <v>10.5</v>
      </c>
      <c r="I344" s="22">
        <f t="shared" si="21"/>
        <v>1.9420799999999998</v>
      </c>
    </row>
    <row r="345" spans="1:9" x14ac:dyDescent="0.25">
      <c r="A345" s="115" t="s">
        <v>872</v>
      </c>
      <c r="B345" s="28">
        <v>8</v>
      </c>
      <c r="C345" s="28">
        <v>350</v>
      </c>
      <c r="D345" s="28">
        <v>125</v>
      </c>
      <c r="E345" s="33">
        <f t="shared" si="19"/>
        <v>475</v>
      </c>
      <c r="F345" s="28">
        <v>6.7999999999999996E-3</v>
      </c>
      <c r="G345" s="28">
        <f t="shared" si="20"/>
        <v>206.72</v>
      </c>
      <c r="H345" s="117">
        <f>O14</f>
        <v>10.5</v>
      </c>
      <c r="I345" s="22">
        <f t="shared" si="21"/>
        <v>2.17056</v>
      </c>
    </row>
    <row r="346" spans="1:9" x14ac:dyDescent="0.25">
      <c r="A346" s="115" t="s">
        <v>874</v>
      </c>
      <c r="B346" s="28">
        <v>8</v>
      </c>
      <c r="C346" s="28">
        <v>400</v>
      </c>
      <c r="D346" s="28">
        <v>125</v>
      </c>
      <c r="E346" s="33">
        <f t="shared" si="19"/>
        <v>525</v>
      </c>
      <c r="F346" s="28">
        <v>6.7999999999999996E-3</v>
      </c>
      <c r="G346" s="28">
        <f t="shared" si="20"/>
        <v>228.48</v>
      </c>
      <c r="H346" s="117">
        <f>O15</f>
        <v>12.600000000000001</v>
      </c>
      <c r="I346" s="22">
        <f t="shared" si="21"/>
        <v>2.8788480000000005</v>
      </c>
    </row>
    <row r="347" spans="1:9" x14ac:dyDescent="0.25">
      <c r="A347" s="115" t="s">
        <v>876</v>
      </c>
      <c r="B347" s="28">
        <v>8</v>
      </c>
      <c r="C347" s="28">
        <v>450</v>
      </c>
      <c r="D347" s="28">
        <v>125</v>
      </c>
      <c r="E347" s="33">
        <f t="shared" si="19"/>
        <v>575</v>
      </c>
      <c r="F347" s="28">
        <v>6.7999999999999996E-3</v>
      </c>
      <c r="G347" s="28">
        <f t="shared" si="20"/>
        <v>250.23999999999998</v>
      </c>
      <c r="H347" s="117">
        <f>O15</f>
        <v>12.600000000000001</v>
      </c>
      <c r="I347" s="22">
        <f t="shared" si="21"/>
        <v>3.1530239999999998</v>
      </c>
    </row>
    <row r="348" spans="1:9" x14ac:dyDescent="0.25">
      <c r="A348" s="115" t="s">
        <v>878</v>
      </c>
      <c r="B348" s="28">
        <v>8</v>
      </c>
      <c r="C348" s="28">
        <v>500</v>
      </c>
      <c r="D348" s="28">
        <v>125</v>
      </c>
      <c r="E348" s="33">
        <f t="shared" si="19"/>
        <v>625</v>
      </c>
      <c r="F348" s="28">
        <v>6.7999999999999996E-3</v>
      </c>
      <c r="G348" s="28">
        <f t="shared" si="20"/>
        <v>272</v>
      </c>
      <c r="H348" s="117">
        <f>O16</f>
        <v>15.75</v>
      </c>
      <c r="I348" s="22">
        <f t="shared" si="21"/>
        <v>4.2839999999999998</v>
      </c>
    </row>
    <row r="349" spans="1:9" x14ac:dyDescent="0.25">
      <c r="A349" s="115" t="s">
        <v>1064</v>
      </c>
      <c r="B349" s="28">
        <v>5</v>
      </c>
      <c r="C349" s="28">
        <v>75</v>
      </c>
      <c r="D349" s="28">
        <v>90</v>
      </c>
      <c r="E349" s="33">
        <f t="shared" si="19"/>
        <v>165</v>
      </c>
      <c r="F349" s="28">
        <v>6.7999999999999996E-3</v>
      </c>
      <c r="G349" s="28">
        <f>B349*B349*E349*F349</f>
        <v>28.049999999999997</v>
      </c>
      <c r="H349" s="117">
        <f>O11</f>
        <v>12.600000000000001</v>
      </c>
      <c r="I349" s="22">
        <f>G349*H349/1000</f>
        <v>0.35343000000000002</v>
      </c>
    </row>
    <row r="350" spans="1:9" x14ac:dyDescent="0.25">
      <c r="A350" s="115" t="s">
        <v>1065</v>
      </c>
      <c r="B350" s="28">
        <v>5</v>
      </c>
      <c r="C350" s="28">
        <v>100</v>
      </c>
      <c r="D350" s="28">
        <v>90</v>
      </c>
      <c r="E350" s="33">
        <f t="shared" si="19"/>
        <v>190</v>
      </c>
      <c r="F350" s="28">
        <v>6.7999999999999996E-3</v>
      </c>
      <c r="G350" s="28">
        <f t="shared" ref="G350:G371" si="22">B350*B350*E350*F350</f>
        <v>32.299999999999997</v>
      </c>
      <c r="H350" s="117">
        <f>O11</f>
        <v>12.600000000000001</v>
      </c>
      <c r="I350" s="22">
        <f t="shared" ref="I350:I371" si="23">G350*H350/1000</f>
        <v>0.40698000000000001</v>
      </c>
    </row>
    <row r="351" spans="1:9" x14ac:dyDescent="0.25">
      <c r="A351" s="115" t="s">
        <v>1066</v>
      </c>
      <c r="B351" s="28">
        <v>5</v>
      </c>
      <c r="C351" s="28">
        <v>150</v>
      </c>
      <c r="D351" s="28">
        <v>90</v>
      </c>
      <c r="E351" s="33">
        <f t="shared" si="19"/>
        <v>240</v>
      </c>
      <c r="F351" s="28">
        <v>6.7999999999999996E-3</v>
      </c>
      <c r="G351" s="28">
        <f t="shared" si="22"/>
        <v>40.799999999999997</v>
      </c>
      <c r="H351" s="117">
        <f>O11</f>
        <v>12.600000000000001</v>
      </c>
      <c r="I351" s="22">
        <f t="shared" si="23"/>
        <v>0.51408000000000009</v>
      </c>
    </row>
    <row r="352" spans="1:9" x14ac:dyDescent="0.25">
      <c r="A352" s="115" t="s">
        <v>1067</v>
      </c>
      <c r="B352" s="28">
        <v>5</v>
      </c>
      <c r="C352" s="28">
        <v>200</v>
      </c>
      <c r="D352" s="28">
        <v>90</v>
      </c>
      <c r="E352" s="33">
        <f t="shared" si="19"/>
        <v>290</v>
      </c>
      <c r="F352" s="28">
        <v>6.7999999999999996E-3</v>
      </c>
      <c r="G352" s="28">
        <f t="shared" si="22"/>
        <v>49.3</v>
      </c>
      <c r="H352" s="117">
        <f>O11</f>
        <v>12.600000000000001</v>
      </c>
      <c r="I352" s="22">
        <f t="shared" si="23"/>
        <v>0.62118000000000007</v>
      </c>
    </row>
    <row r="353" spans="1:9" x14ac:dyDescent="0.25">
      <c r="A353" s="115" t="s">
        <v>1068</v>
      </c>
      <c r="B353" s="28">
        <v>5</v>
      </c>
      <c r="C353" s="28">
        <v>250</v>
      </c>
      <c r="D353" s="28">
        <v>90</v>
      </c>
      <c r="E353" s="33">
        <f t="shared" si="19"/>
        <v>340</v>
      </c>
      <c r="F353" s="28">
        <v>6.7999999999999996E-3</v>
      </c>
      <c r="G353" s="28">
        <f t="shared" si="22"/>
        <v>57.8</v>
      </c>
      <c r="H353" s="117">
        <f>O11</f>
        <v>12.600000000000001</v>
      </c>
      <c r="I353" s="22">
        <f t="shared" si="23"/>
        <v>0.72828000000000004</v>
      </c>
    </row>
    <row r="354" spans="1:9" x14ac:dyDescent="0.25">
      <c r="A354" s="115" t="s">
        <v>1069</v>
      </c>
      <c r="B354" s="28">
        <v>5</v>
      </c>
      <c r="C354" s="28">
        <v>300</v>
      </c>
      <c r="D354" s="28">
        <v>90</v>
      </c>
      <c r="E354" s="33">
        <f t="shared" si="19"/>
        <v>390</v>
      </c>
      <c r="F354" s="28">
        <v>6.7999999999999996E-3</v>
      </c>
      <c r="G354" s="28">
        <f t="shared" si="22"/>
        <v>66.3</v>
      </c>
      <c r="H354" s="117">
        <f>O11</f>
        <v>12.600000000000001</v>
      </c>
      <c r="I354" s="22">
        <f t="shared" si="23"/>
        <v>0.83538000000000012</v>
      </c>
    </row>
    <row r="355" spans="1:9" x14ac:dyDescent="0.25">
      <c r="A355" s="115" t="s">
        <v>1070</v>
      </c>
      <c r="B355" s="28">
        <v>6</v>
      </c>
      <c r="C355" s="28">
        <v>100</v>
      </c>
      <c r="D355" s="28">
        <v>110</v>
      </c>
      <c r="E355" s="33">
        <f t="shared" si="19"/>
        <v>210</v>
      </c>
      <c r="F355" s="28">
        <v>6.7999999999999996E-3</v>
      </c>
      <c r="G355" s="28">
        <f t="shared" si="22"/>
        <v>51.407999999999994</v>
      </c>
      <c r="H355" s="117">
        <f>O13</f>
        <v>5.25</v>
      </c>
      <c r="I355" s="22">
        <f t="shared" si="23"/>
        <v>0.26989200000000002</v>
      </c>
    </row>
    <row r="356" spans="1:9" x14ac:dyDescent="0.25">
      <c r="A356" s="115" t="s">
        <v>1071</v>
      </c>
      <c r="B356" s="28">
        <v>6</v>
      </c>
      <c r="C356" s="28">
        <v>125</v>
      </c>
      <c r="D356" s="28">
        <v>110</v>
      </c>
      <c r="E356" s="33">
        <f t="shared" si="19"/>
        <v>235</v>
      </c>
      <c r="F356" s="28">
        <v>6.7999999999999996E-3</v>
      </c>
      <c r="G356" s="28">
        <f t="shared" si="22"/>
        <v>57.527999999999999</v>
      </c>
      <c r="H356" s="117">
        <f>O13</f>
        <v>5.25</v>
      </c>
      <c r="I356" s="22">
        <f t="shared" si="23"/>
        <v>0.30202200000000001</v>
      </c>
    </row>
    <row r="357" spans="1:9" x14ac:dyDescent="0.25">
      <c r="A357" s="115" t="s">
        <v>1072</v>
      </c>
      <c r="B357" s="28">
        <v>6</v>
      </c>
      <c r="C357" s="28">
        <v>150</v>
      </c>
      <c r="D357" s="28">
        <v>110</v>
      </c>
      <c r="E357" s="33">
        <f t="shared" si="19"/>
        <v>260</v>
      </c>
      <c r="F357" s="28">
        <v>6.7999999999999996E-3</v>
      </c>
      <c r="G357" s="28">
        <f t="shared" si="22"/>
        <v>63.647999999999996</v>
      </c>
      <c r="H357" s="117">
        <f>O13</f>
        <v>5.25</v>
      </c>
      <c r="I357" s="22">
        <f t="shared" si="23"/>
        <v>0.334152</v>
      </c>
    </row>
    <row r="358" spans="1:9" x14ac:dyDescent="0.25">
      <c r="A358" s="115" t="s">
        <v>1073</v>
      </c>
      <c r="B358" s="28">
        <v>6</v>
      </c>
      <c r="C358" s="28">
        <v>200</v>
      </c>
      <c r="D358" s="28">
        <v>110</v>
      </c>
      <c r="E358" s="33">
        <f t="shared" si="19"/>
        <v>310</v>
      </c>
      <c r="F358" s="28">
        <v>6.7999999999999996E-3</v>
      </c>
      <c r="G358" s="28">
        <f t="shared" si="22"/>
        <v>75.887999999999991</v>
      </c>
      <c r="H358" s="117">
        <f>O14</f>
        <v>10.5</v>
      </c>
      <c r="I358" s="22">
        <f t="shared" si="23"/>
        <v>0.79682399999999998</v>
      </c>
    </row>
    <row r="359" spans="1:9" x14ac:dyDescent="0.25">
      <c r="A359" s="115" t="s">
        <v>1074</v>
      </c>
      <c r="B359" s="28">
        <v>6</v>
      </c>
      <c r="C359" s="28">
        <v>250</v>
      </c>
      <c r="D359" s="28">
        <v>110</v>
      </c>
      <c r="E359" s="33">
        <f t="shared" si="19"/>
        <v>360</v>
      </c>
      <c r="F359" s="28">
        <v>6.7999999999999996E-3</v>
      </c>
      <c r="G359" s="28">
        <f t="shared" si="22"/>
        <v>88.128</v>
      </c>
      <c r="H359" s="117">
        <f>O14</f>
        <v>10.5</v>
      </c>
      <c r="I359" s="22">
        <f t="shared" si="23"/>
        <v>0.92534400000000006</v>
      </c>
    </row>
    <row r="360" spans="1:9" x14ac:dyDescent="0.25">
      <c r="A360" s="115" t="s">
        <v>1075</v>
      </c>
      <c r="B360" s="28">
        <v>6</v>
      </c>
      <c r="C360" s="28">
        <v>300</v>
      </c>
      <c r="D360" s="28">
        <v>110</v>
      </c>
      <c r="E360" s="33">
        <f t="shared" si="19"/>
        <v>410</v>
      </c>
      <c r="F360" s="28">
        <v>6.7999999999999996E-3</v>
      </c>
      <c r="G360" s="28">
        <f t="shared" si="22"/>
        <v>100.36799999999999</v>
      </c>
      <c r="H360" s="117">
        <f>O14</f>
        <v>10.5</v>
      </c>
      <c r="I360" s="22">
        <f t="shared" si="23"/>
        <v>1.0538640000000001</v>
      </c>
    </row>
    <row r="361" spans="1:9" x14ac:dyDescent="0.25">
      <c r="A361" s="115" t="s">
        <v>1076</v>
      </c>
      <c r="B361" s="28">
        <v>6</v>
      </c>
      <c r="C361" s="28">
        <v>350</v>
      </c>
      <c r="D361" s="28">
        <v>110</v>
      </c>
      <c r="E361" s="33">
        <f t="shared" si="19"/>
        <v>460</v>
      </c>
      <c r="F361" s="28">
        <v>6.7999999999999996E-3</v>
      </c>
      <c r="G361" s="28">
        <f t="shared" si="22"/>
        <v>112.60799999999999</v>
      </c>
      <c r="H361" s="117">
        <f>O14</f>
        <v>10.5</v>
      </c>
      <c r="I361" s="22">
        <f t="shared" si="23"/>
        <v>1.1823839999999999</v>
      </c>
    </row>
    <row r="362" spans="1:9" x14ac:dyDescent="0.25">
      <c r="A362" s="115" t="s">
        <v>1077</v>
      </c>
      <c r="B362" s="28">
        <v>6</v>
      </c>
      <c r="C362" s="28">
        <v>400</v>
      </c>
      <c r="D362" s="28">
        <v>110</v>
      </c>
      <c r="E362" s="33">
        <f t="shared" si="19"/>
        <v>510</v>
      </c>
      <c r="F362" s="28">
        <v>6.7999999999999996E-3</v>
      </c>
      <c r="G362" s="28">
        <f t="shared" si="22"/>
        <v>124.848</v>
      </c>
      <c r="H362" s="117">
        <f>O15</f>
        <v>12.600000000000001</v>
      </c>
      <c r="I362" s="22">
        <f t="shared" si="23"/>
        <v>1.5730848000000002</v>
      </c>
    </row>
    <row r="363" spans="1:9" x14ac:dyDescent="0.25">
      <c r="A363" s="115" t="s">
        <v>1078</v>
      </c>
      <c r="B363" s="28">
        <v>8</v>
      </c>
      <c r="C363" s="28">
        <v>125</v>
      </c>
      <c r="D363" s="28">
        <v>125</v>
      </c>
      <c r="E363" s="33">
        <f t="shared" si="19"/>
        <v>250</v>
      </c>
      <c r="F363" s="28">
        <v>6.7999999999999996E-3</v>
      </c>
      <c r="G363" s="28">
        <f t="shared" si="22"/>
        <v>108.8</v>
      </c>
      <c r="H363" s="117">
        <f>O13</f>
        <v>5.25</v>
      </c>
      <c r="I363" s="22">
        <f t="shared" si="23"/>
        <v>0.57119999999999993</v>
      </c>
    </row>
    <row r="364" spans="1:9" x14ac:dyDescent="0.25">
      <c r="A364" s="115" t="s">
        <v>1079</v>
      </c>
      <c r="B364" s="28">
        <v>8</v>
      </c>
      <c r="C364" s="28">
        <v>150</v>
      </c>
      <c r="D364" s="28">
        <v>125</v>
      </c>
      <c r="E364" s="33">
        <f t="shared" si="19"/>
        <v>275</v>
      </c>
      <c r="F364" s="28">
        <v>6.7999999999999996E-3</v>
      </c>
      <c r="G364" s="28">
        <f t="shared" si="22"/>
        <v>119.67999999999999</v>
      </c>
      <c r="H364" s="117">
        <f>O13</f>
        <v>5.25</v>
      </c>
      <c r="I364" s="22">
        <f t="shared" si="23"/>
        <v>0.62831999999999999</v>
      </c>
    </row>
    <row r="365" spans="1:9" x14ac:dyDescent="0.25">
      <c r="A365" s="115" t="s">
        <v>1080</v>
      </c>
      <c r="B365" s="28">
        <v>8</v>
      </c>
      <c r="C365" s="28">
        <v>200</v>
      </c>
      <c r="D365" s="28">
        <v>125</v>
      </c>
      <c r="E365" s="33">
        <f t="shared" si="19"/>
        <v>325</v>
      </c>
      <c r="F365" s="28">
        <v>6.7999999999999996E-3</v>
      </c>
      <c r="G365" s="28">
        <f t="shared" si="22"/>
        <v>141.44</v>
      </c>
      <c r="H365" s="117">
        <f>O14</f>
        <v>10.5</v>
      </c>
      <c r="I365" s="22">
        <f t="shared" si="23"/>
        <v>1.48512</v>
      </c>
    </row>
    <row r="366" spans="1:9" x14ac:dyDescent="0.25">
      <c r="A366" s="115" t="s">
        <v>1081</v>
      </c>
      <c r="B366" s="28">
        <v>8</v>
      </c>
      <c r="C366" s="28">
        <v>250</v>
      </c>
      <c r="D366" s="28">
        <v>125</v>
      </c>
      <c r="E366" s="33">
        <f t="shared" si="19"/>
        <v>375</v>
      </c>
      <c r="F366" s="28">
        <v>6.7999999999999996E-3</v>
      </c>
      <c r="G366" s="28">
        <f t="shared" si="22"/>
        <v>163.19999999999999</v>
      </c>
      <c r="H366" s="117">
        <f>O14</f>
        <v>10.5</v>
      </c>
      <c r="I366" s="22">
        <f t="shared" si="23"/>
        <v>1.7136</v>
      </c>
    </row>
    <row r="367" spans="1:9" x14ac:dyDescent="0.25">
      <c r="A367" s="115" t="s">
        <v>1082</v>
      </c>
      <c r="B367" s="28">
        <v>8</v>
      </c>
      <c r="C367" s="28">
        <v>300</v>
      </c>
      <c r="D367" s="28">
        <v>125</v>
      </c>
      <c r="E367" s="33">
        <f t="shared" si="19"/>
        <v>425</v>
      </c>
      <c r="F367" s="28">
        <v>6.7999999999999996E-3</v>
      </c>
      <c r="G367" s="28">
        <f t="shared" si="22"/>
        <v>184.95999999999998</v>
      </c>
      <c r="H367" s="117">
        <f>O14</f>
        <v>10.5</v>
      </c>
      <c r="I367" s="22">
        <f t="shared" si="23"/>
        <v>1.9420799999999998</v>
      </c>
    </row>
    <row r="368" spans="1:9" x14ac:dyDescent="0.25">
      <c r="A368" s="115" t="s">
        <v>1083</v>
      </c>
      <c r="B368" s="28">
        <v>8</v>
      </c>
      <c r="C368" s="28">
        <v>350</v>
      </c>
      <c r="D368" s="28">
        <v>125</v>
      </c>
      <c r="E368" s="33">
        <f t="shared" si="19"/>
        <v>475</v>
      </c>
      <c r="F368" s="28">
        <v>6.7999999999999996E-3</v>
      </c>
      <c r="G368" s="28">
        <f t="shared" si="22"/>
        <v>206.72</v>
      </c>
      <c r="H368" s="117">
        <f>O14</f>
        <v>10.5</v>
      </c>
      <c r="I368" s="22">
        <f t="shared" si="23"/>
        <v>2.17056</v>
      </c>
    </row>
    <row r="369" spans="1:9" x14ac:dyDescent="0.25">
      <c r="A369" s="115" t="s">
        <v>1084</v>
      </c>
      <c r="B369" s="28">
        <v>8</v>
      </c>
      <c r="C369" s="28">
        <v>400</v>
      </c>
      <c r="D369" s="28">
        <v>125</v>
      </c>
      <c r="E369" s="33">
        <f t="shared" si="19"/>
        <v>525</v>
      </c>
      <c r="F369" s="28">
        <v>6.7999999999999996E-3</v>
      </c>
      <c r="G369" s="28">
        <f t="shared" si="22"/>
        <v>228.48</v>
      </c>
      <c r="H369" s="117">
        <f>O15</f>
        <v>12.600000000000001</v>
      </c>
      <c r="I369" s="22">
        <f t="shared" si="23"/>
        <v>2.8788480000000005</v>
      </c>
    </row>
    <row r="370" spans="1:9" x14ac:dyDescent="0.25">
      <c r="A370" s="115" t="s">
        <v>1085</v>
      </c>
      <c r="B370" s="28">
        <v>8</v>
      </c>
      <c r="C370" s="28">
        <v>450</v>
      </c>
      <c r="D370" s="28">
        <v>125</v>
      </c>
      <c r="E370" s="33">
        <f t="shared" si="19"/>
        <v>575</v>
      </c>
      <c r="F370" s="28">
        <v>6.7999999999999996E-3</v>
      </c>
      <c r="G370" s="28">
        <f t="shared" si="22"/>
        <v>250.23999999999998</v>
      </c>
      <c r="H370" s="117">
        <f>O15</f>
        <v>12.600000000000001</v>
      </c>
      <c r="I370" s="22">
        <f t="shared" si="23"/>
        <v>3.1530239999999998</v>
      </c>
    </row>
    <row r="371" spans="1:9" x14ac:dyDescent="0.25">
      <c r="A371" s="115" t="s">
        <v>1086</v>
      </c>
      <c r="B371" s="28">
        <v>8</v>
      </c>
      <c r="C371" s="28">
        <v>500</v>
      </c>
      <c r="D371" s="28">
        <v>125</v>
      </c>
      <c r="E371" s="33">
        <f t="shared" si="19"/>
        <v>625</v>
      </c>
      <c r="F371" s="28">
        <v>6.7999999999999996E-3</v>
      </c>
      <c r="G371" s="28">
        <f t="shared" si="22"/>
        <v>272</v>
      </c>
      <c r="H371" s="117">
        <f>O15</f>
        <v>12.600000000000001</v>
      </c>
      <c r="I371" s="22">
        <f t="shared" si="23"/>
        <v>3.4272000000000005</v>
      </c>
    </row>
    <row r="372" spans="1:9" x14ac:dyDescent="0.25">
      <c r="A372" s="115" t="s">
        <v>880</v>
      </c>
      <c r="B372" s="28">
        <v>4</v>
      </c>
      <c r="C372" s="28">
        <v>75</v>
      </c>
      <c r="D372" s="28">
        <v>98</v>
      </c>
      <c r="E372" s="33">
        <f t="shared" si="19"/>
        <v>173</v>
      </c>
      <c r="F372" s="28">
        <v>6.7999999999999996E-3</v>
      </c>
      <c r="G372" s="28">
        <f t="shared" si="20"/>
        <v>18.822399999999998</v>
      </c>
      <c r="H372" s="117">
        <f>O9</f>
        <v>12.600000000000001</v>
      </c>
      <c r="I372" s="22">
        <f t="shared" si="21"/>
        <v>0.23716224</v>
      </c>
    </row>
    <row r="373" spans="1:9" x14ac:dyDescent="0.25">
      <c r="A373" s="115" t="s">
        <v>882</v>
      </c>
      <c r="B373" s="28">
        <v>4</v>
      </c>
      <c r="C373" s="28">
        <v>100</v>
      </c>
      <c r="D373" s="28">
        <v>98</v>
      </c>
      <c r="E373" s="33">
        <f t="shared" si="19"/>
        <v>198</v>
      </c>
      <c r="F373" s="28">
        <v>6.7999999999999996E-3</v>
      </c>
      <c r="G373" s="28">
        <f t="shared" si="20"/>
        <v>21.542399999999997</v>
      </c>
      <c r="H373" s="117">
        <f>O9</f>
        <v>12.600000000000001</v>
      </c>
      <c r="I373" s="22">
        <f t="shared" si="21"/>
        <v>0.27143423999999999</v>
      </c>
    </row>
    <row r="374" spans="1:9" x14ac:dyDescent="0.25">
      <c r="A374" s="115" t="s">
        <v>884</v>
      </c>
      <c r="B374" s="28">
        <v>5</v>
      </c>
      <c r="C374" s="28">
        <v>100</v>
      </c>
      <c r="D374" s="28">
        <v>98</v>
      </c>
      <c r="E374" s="33">
        <f t="shared" si="19"/>
        <v>198</v>
      </c>
      <c r="F374" s="28">
        <v>6.7999999999999996E-3</v>
      </c>
      <c r="G374" s="28">
        <f t="shared" si="20"/>
        <v>33.659999999999997</v>
      </c>
      <c r="H374" s="117">
        <f>O11</f>
        <v>12.600000000000001</v>
      </c>
      <c r="I374" s="22">
        <f t="shared" si="21"/>
        <v>0.42411599999999999</v>
      </c>
    </row>
    <row r="375" spans="1:9" x14ac:dyDescent="0.25">
      <c r="A375" s="115" t="s">
        <v>886</v>
      </c>
      <c r="B375" s="28">
        <v>5</v>
      </c>
      <c r="C375" s="28">
        <v>125</v>
      </c>
      <c r="D375" s="28">
        <v>98</v>
      </c>
      <c r="E375" s="33">
        <f t="shared" si="19"/>
        <v>223</v>
      </c>
      <c r="F375" s="28">
        <v>6.7999999999999996E-3</v>
      </c>
      <c r="G375" s="28">
        <f t="shared" si="20"/>
        <v>37.909999999999997</v>
      </c>
      <c r="H375" s="117">
        <f>O11</f>
        <v>12.600000000000001</v>
      </c>
      <c r="I375" s="22">
        <f t="shared" si="21"/>
        <v>0.47766599999999998</v>
      </c>
    </row>
    <row r="376" spans="1:9" x14ac:dyDescent="0.25">
      <c r="A376" s="115" t="s">
        <v>888</v>
      </c>
      <c r="B376" s="28">
        <v>5</v>
      </c>
      <c r="C376" s="28">
        <v>150</v>
      </c>
      <c r="D376" s="28">
        <v>98</v>
      </c>
      <c r="E376" s="33">
        <f t="shared" si="19"/>
        <v>248</v>
      </c>
      <c r="F376" s="28">
        <v>6.7999999999999996E-3</v>
      </c>
      <c r="G376" s="28">
        <f t="shared" si="20"/>
        <v>42.16</v>
      </c>
      <c r="H376" s="117">
        <f>O11</f>
        <v>12.600000000000001</v>
      </c>
      <c r="I376" s="22">
        <f t="shared" si="21"/>
        <v>0.53121600000000002</v>
      </c>
    </row>
    <row r="377" spans="1:9" x14ac:dyDescent="0.25">
      <c r="A377" s="115" t="s">
        <v>890</v>
      </c>
      <c r="B377" s="28">
        <v>5</v>
      </c>
      <c r="C377" s="28">
        <v>200</v>
      </c>
      <c r="D377" s="28">
        <v>98</v>
      </c>
      <c r="E377" s="33">
        <f t="shared" si="19"/>
        <v>298</v>
      </c>
      <c r="F377" s="28">
        <v>6.7999999999999996E-3</v>
      </c>
      <c r="G377" s="28">
        <f t="shared" si="20"/>
        <v>50.66</v>
      </c>
      <c r="H377" s="117">
        <f>O11</f>
        <v>12.600000000000001</v>
      </c>
      <c r="I377" s="22">
        <f t="shared" si="21"/>
        <v>0.63831599999999999</v>
      </c>
    </row>
    <row r="378" spans="1:9" x14ac:dyDescent="0.25">
      <c r="A378" s="115" t="s">
        <v>892</v>
      </c>
      <c r="B378" s="28">
        <v>5</v>
      </c>
      <c r="C378" s="28">
        <v>250</v>
      </c>
      <c r="D378" s="28">
        <v>98</v>
      </c>
      <c r="E378" s="33">
        <f t="shared" si="19"/>
        <v>348</v>
      </c>
      <c r="F378" s="28">
        <v>6.7999999999999996E-3</v>
      </c>
      <c r="G378" s="28">
        <f t="shared" si="20"/>
        <v>59.16</v>
      </c>
      <c r="H378" s="117">
        <f>O11</f>
        <v>12.600000000000001</v>
      </c>
      <c r="I378" s="22">
        <f t="shared" si="21"/>
        <v>0.74541600000000008</v>
      </c>
    </row>
    <row r="379" spans="1:9" x14ac:dyDescent="0.25">
      <c r="A379" s="115" t="s">
        <v>894</v>
      </c>
      <c r="B379" s="28">
        <v>5</v>
      </c>
      <c r="C379" s="28">
        <v>300</v>
      </c>
      <c r="D379" s="28">
        <v>98</v>
      </c>
      <c r="E379" s="33">
        <f t="shared" si="19"/>
        <v>398</v>
      </c>
      <c r="F379" s="28">
        <v>6.7999999999999996E-3</v>
      </c>
      <c r="G379" s="28">
        <f t="shared" si="20"/>
        <v>67.66</v>
      </c>
      <c r="H379" s="117">
        <f>O11</f>
        <v>12.600000000000001</v>
      </c>
      <c r="I379" s="22">
        <f t="shared" si="21"/>
        <v>0.85251600000000005</v>
      </c>
    </row>
    <row r="380" spans="1:9" x14ac:dyDescent="0.25">
      <c r="A380" s="115" t="s">
        <v>896</v>
      </c>
      <c r="B380" s="28">
        <v>6</v>
      </c>
      <c r="C380" s="28">
        <v>100</v>
      </c>
      <c r="D380" s="28">
        <v>119</v>
      </c>
      <c r="E380" s="33">
        <f t="shared" si="19"/>
        <v>219</v>
      </c>
      <c r="F380" s="28">
        <v>6.7999999999999996E-3</v>
      </c>
      <c r="G380" s="28">
        <f t="shared" si="20"/>
        <v>53.611199999999997</v>
      </c>
      <c r="H380" s="117">
        <f>O13</f>
        <v>5.25</v>
      </c>
      <c r="I380" s="22">
        <f t="shared" si="21"/>
        <v>0.28145880000000001</v>
      </c>
    </row>
    <row r="381" spans="1:9" x14ac:dyDescent="0.25">
      <c r="A381" s="115" t="s">
        <v>898</v>
      </c>
      <c r="B381" s="28">
        <v>6</v>
      </c>
      <c r="C381" s="28">
        <v>125</v>
      </c>
      <c r="D381" s="28">
        <v>119</v>
      </c>
      <c r="E381" s="33">
        <f t="shared" si="19"/>
        <v>244</v>
      </c>
      <c r="F381" s="28">
        <v>6.7999999999999996E-3</v>
      </c>
      <c r="G381" s="28">
        <f t="shared" si="20"/>
        <v>59.731199999999994</v>
      </c>
      <c r="H381" s="117">
        <f>O13</f>
        <v>5.25</v>
      </c>
      <c r="I381" s="22">
        <f t="shared" si="21"/>
        <v>0.3135888</v>
      </c>
    </row>
    <row r="382" spans="1:9" x14ac:dyDescent="0.25">
      <c r="A382" s="115" t="s">
        <v>900</v>
      </c>
      <c r="B382" s="28">
        <v>6</v>
      </c>
      <c r="C382" s="28">
        <v>150</v>
      </c>
      <c r="D382" s="28">
        <v>119</v>
      </c>
      <c r="E382" s="33">
        <f t="shared" si="19"/>
        <v>269</v>
      </c>
      <c r="F382" s="28">
        <v>6.7999999999999996E-3</v>
      </c>
      <c r="G382" s="28">
        <f t="shared" si="20"/>
        <v>65.851199999999992</v>
      </c>
      <c r="H382" s="117">
        <f>O13</f>
        <v>5.25</v>
      </c>
      <c r="I382" s="22">
        <f t="shared" si="21"/>
        <v>0.34571879999999994</v>
      </c>
    </row>
    <row r="383" spans="1:9" x14ac:dyDescent="0.25">
      <c r="A383" s="115" t="s">
        <v>902</v>
      </c>
      <c r="B383" s="28">
        <v>6</v>
      </c>
      <c r="C383" s="28">
        <v>200</v>
      </c>
      <c r="D383" s="28">
        <v>119</v>
      </c>
      <c r="E383" s="33">
        <f t="shared" si="19"/>
        <v>319</v>
      </c>
      <c r="F383" s="28">
        <v>6.7999999999999996E-3</v>
      </c>
      <c r="G383" s="28">
        <f t="shared" si="20"/>
        <v>78.091200000000001</v>
      </c>
      <c r="H383" s="117">
        <f>O14</f>
        <v>10.5</v>
      </c>
      <c r="I383" s="22">
        <f t="shared" si="21"/>
        <v>0.81995759999999995</v>
      </c>
    </row>
    <row r="384" spans="1:9" x14ac:dyDescent="0.25">
      <c r="A384" s="115" t="s">
        <v>904</v>
      </c>
      <c r="B384" s="28">
        <v>6</v>
      </c>
      <c r="C384" s="28">
        <v>250</v>
      </c>
      <c r="D384" s="28">
        <v>119</v>
      </c>
      <c r="E384" s="33">
        <f t="shared" si="19"/>
        <v>369</v>
      </c>
      <c r="F384" s="28">
        <v>6.7999999999999996E-3</v>
      </c>
      <c r="G384" s="28">
        <f t="shared" si="20"/>
        <v>90.331199999999995</v>
      </c>
      <c r="H384" s="117">
        <f>O14</f>
        <v>10.5</v>
      </c>
      <c r="I384" s="22">
        <f t="shared" si="21"/>
        <v>0.94847759999999992</v>
      </c>
    </row>
    <row r="385" spans="1:9" x14ac:dyDescent="0.25">
      <c r="A385" s="115" t="s">
        <v>906</v>
      </c>
      <c r="B385" s="28">
        <v>6</v>
      </c>
      <c r="C385" s="28">
        <v>300</v>
      </c>
      <c r="D385" s="28">
        <v>119</v>
      </c>
      <c r="E385" s="33">
        <f t="shared" si="19"/>
        <v>419</v>
      </c>
      <c r="F385" s="28">
        <v>6.7999999999999996E-3</v>
      </c>
      <c r="G385" s="28">
        <f t="shared" si="20"/>
        <v>102.57119999999999</v>
      </c>
      <c r="H385" s="117">
        <f>O14</f>
        <v>10.5</v>
      </c>
      <c r="I385" s="22">
        <f t="shared" si="21"/>
        <v>1.0769975999999999</v>
      </c>
    </row>
    <row r="386" spans="1:9" x14ac:dyDescent="0.25">
      <c r="A386" s="115" t="s">
        <v>908</v>
      </c>
      <c r="B386" s="28">
        <v>6</v>
      </c>
      <c r="C386" s="28">
        <v>350</v>
      </c>
      <c r="D386" s="28">
        <v>119</v>
      </c>
      <c r="E386" s="33">
        <f t="shared" si="19"/>
        <v>469</v>
      </c>
      <c r="F386" s="28">
        <v>6.7999999999999996E-3</v>
      </c>
      <c r="G386" s="28">
        <f t="shared" si="20"/>
        <v>114.8112</v>
      </c>
      <c r="H386" s="117">
        <f>O14</f>
        <v>10.5</v>
      </c>
      <c r="I386" s="22">
        <f t="shared" si="21"/>
        <v>1.2055175999999999</v>
      </c>
    </row>
    <row r="387" spans="1:9" x14ac:dyDescent="0.25">
      <c r="A387" s="115" t="s">
        <v>910</v>
      </c>
      <c r="B387" s="28">
        <v>6</v>
      </c>
      <c r="C387" s="28">
        <v>400</v>
      </c>
      <c r="D387" s="28">
        <v>119</v>
      </c>
      <c r="E387" s="33">
        <f t="shared" si="19"/>
        <v>519</v>
      </c>
      <c r="F387" s="28">
        <v>6.7999999999999996E-3</v>
      </c>
      <c r="G387" s="28">
        <f t="shared" si="20"/>
        <v>127.05119999999999</v>
      </c>
      <c r="H387" s="117">
        <f>O15</f>
        <v>12.600000000000001</v>
      </c>
      <c r="I387" s="22">
        <f t="shared" si="21"/>
        <v>1.6008451200000002</v>
      </c>
    </row>
    <row r="388" spans="1:9" x14ac:dyDescent="0.25">
      <c r="A388" s="115" t="s">
        <v>912</v>
      </c>
      <c r="B388" s="28">
        <v>7</v>
      </c>
      <c r="C388" s="28">
        <v>150</v>
      </c>
      <c r="D388" s="28">
        <v>134</v>
      </c>
      <c r="E388" s="33">
        <f t="shared" si="19"/>
        <v>284</v>
      </c>
      <c r="F388" s="28">
        <v>6.7999999999999996E-3</v>
      </c>
      <c r="G388" s="28">
        <f t="shared" si="20"/>
        <v>94.628799999999998</v>
      </c>
      <c r="H388" s="117">
        <f>O14</f>
        <v>10.5</v>
      </c>
      <c r="I388" s="22">
        <f t="shared" si="21"/>
        <v>0.9936024</v>
      </c>
    </row>
    <row r="389" spans="1:9" x14ac:dyDescent="0.25">
      <c r="A389" s="115" t="s">
        <v>914</v>
      </c>
      <c r="B389" s="28">
        <v>7</v>
      </c>
      <c r="C389" s="28">
        <v>175</v>
      </c>
      <c r="D389" s="28">
        <v>134</v>
      </c>
      <c r="E389" s="33">
        <f t="shared" si="19"/>
        <v>309</v>
      </c>
      <c r="F389" s="28">
        <v>6.7999999999999996E-3</v>
      </c>
      <c r="G389" s="28">
        <f t="shared" si="20"/>
        <v>102.9588</v>
      </c>
      <c r="H389" s="117">
        <f>O14</f>
        <v>10.5</v>
      </c>
      <c r="I389" s="22">
        <f t="shared" si="21"/>
        <v>1.0810674</v>
      </c>
    </row>
    <row r="390" spans="1:9" x14ac:dyDescent="0.25">
      <c r="A390" s="115" t="s">
        <v>916</v>
      </c>
      <c r="B390" s="28">
        <v>7</v>
      </c>
      <c r="C390" s="28">
        <v>200</v>
      </c>
      <c r="D390" s="28">
        <v>134</v>
      </c>
      <c r="E390" s="33">
        <f t="shared" si="19"/>
        <v>334</v>
      </c>
      <c r="F390" s="28">
        <v>6.7999999999999996E-3</v>
      </c>
      <c r="G390" s="28">
        <f t="shared" si="20"/>
        <v>111.28879999999999</v>
      </c>
      <c r="H390" s="117">
        <f>O14</f>
        <v>10.5</v>
      </c>
      <c r="I390" s="22">
        <f t="shared" si="21"/>
        <v>1.1685324000000001</v>
      </c>
    </row>
    <row r="391" spans="1:9" x14ac:dyDescent="0.25">
      <c r="A391" s="115" t="s">
        <v>918</v>
      </c>
      <c r="B391" s="28">
        <v>7</v>
      </c>
      <c r="C391" s="28">
        <v>250</v>
      </c>
      <c r="D391" s="28">
        <v>134</v>
      </c>
      <c r="E391" s="33">
        <f t="shared" si="19"/>
        <v>384</v>
      </c>
      <c r="F391" s="28">
        <v>6.7999999999999996E-3</v>
      </c>
      <c r="G391" s="28">
        <f t="shared" si="20"/>
        <v>127.94879999999999</v>
      </c>
      <c r="H391" s="117">
        <f>O14</f>
        <v>10.5</v>
      </c>
      <c r="I391" s="22">
        <f t="shared" si="21"/>
        <v>1.3434623999999999</v>
      </c>
    </row>
    <row r="392" spans="1:9" x14ac:dyDescent="0.25">
      <c r="A392" s="115" t="s">
        <v>920</v>
      </c>
      <c r="B392" s="28">
        <v>7</v>
      </c>
      <c r="C392" s="28">
        <v>300</v>
      </c>
      <c r="D392" s="28">
        <v>134</v>
      </c>
      <c r="E392" s="33">
        <f t="shared" si="19"/>
        <v>434</v>
      </c>
      <c r="F392" s="28">
        <v>6.7999999999999996E-3</v>
      </c>
      <c r="G392" s="28">
        <f t="shared" si="20"/>
        <v>144.6088</v>
      </c>
      <c r="H392" s="117">
        <f>O14</f>
        <v>10.5</v>
      </c>
      <c r="I392" s="22">
        <f t="shared" si="21"/>
        <v>1.5183924</v>
      </c>
    </row>
    <row r="393" spans="1:9" x14ac:dyDescent="0.25">
      <c r="A393" s="115" t="s">
        <v>922</v>
      </c>
      <c r="B393" s="28">
        <v>7</v>
      </c>
      <c r="C393" s="28">
        <v>350</v>
      </c>
      <c r="D393" s="28">
        <v>134</v>
      </c>
      <c r="E393" s="33">
        <f t="shared" si="19"/>
        <v>484</v>
      </c>
      <c r="F393" s="28">
        <v>6.7999999999999996E-3</v>
      </c>
      <c r="G393" s="28">
        <f t="shared" si="20"/>
        <v>161.2688</v>
      </c>
      <c r="H393" s="117">
        <f>O14</f>
        <v>10.5</v>
      </c>
      <c r="I393" s="22">
        <f t="shared" si="21"/>
        <v>1.6933224</v>
      </c>
    </row>
    <row r="394" spans="1:9" x14ac:dyDescent="0.25">
      <c r="A394" s="115" t="s">
        <v>924</v>
      </c>
      <c r="B394" s="28">
        <v>7</v>
      </c>
      <c r="C394" s="28">
        <v>400</v>
      </c>
      <c r="D394" s="28">
        <v>134</v>
      </c>
      <c r="E394" s="33">
        <f t="shared" si="19"/>
        <v>534</v>
      </c>
      <c r="F394" s="28">
        <v>6.7999999999999996E-3</v>
      </c>
      <c r="G394" s="28">
        <f t="shared" si="20"/>
        <v>177.9288</v>
      </c>
      <c r="H394" s="117">
        <f>O15</f>
        <v>12.600000000000001</v>
      </c>
      <c r="I394" s="22">
        <f t="shared" si="21"/>
        <v>2.24190288</v>
      </c>
    </row>
    <row r="395" spans="1:9" x14ac:dyDescent="0.25">
      <c r="A395" s="115" t="s">
        <v>926</v>
      </c>
      <c r="B395" s="28">
        <v>7</v>
      </c>
      <c r="C395" s="28">
        <v>450</v>
      </c>
      <c r="D395" s="28">
        <v>134</v>
      </c>
      <c r="E395" s="33">
        <f t="shared" si="19"/>
        <v>584</v>
      </c>
      <c r="F395" s="28">
        <v>6.7999999999999996E-3</v>
      </c>
      <c r="G395" s="28">
        <f t="shared" si="20"/>
        <v>194.58879999999999</v>
      </c>
      <c r="H395" s="117">
        <f>O15</f>
        <v>12.600000000000001</v>
      </c>
      <c r="I395" s="22">
        <f t="shared" si="21"/>
        <v>2.4518188800000003</v>
      </c>
    </row>
    <row r="396" spans="1:9" x14ac:dyDescent="0.25">
      <c r="A396" s="115" t="s">
        <v>928</v>
      </c>
      <c r="B396" s="28">
        <v>7</v>
      </c>
      <c r="C396" s="28">
        <v>500</v>
      </c>
      <c r="D396" s="28">
        <v>134</v>
      </c>
      <c r="E396" s="33">
        <f t="shared" si="19"/>
        <v>634</v>
      </c>
      <c r="F396" s="28">
        <v>6.7999999999999996E-3</v>
      </c>
      <c r="G396" s="28">
        <f t="shared" si="20"/>
        <v>211.24879999999999</v>
      </c>
      <c r="H396" s="117">
        <f>O16</f>
        <v>15.75</v>
      </c>
      <c r="I396" s="22">
        <f t="shared" si="21"/>
        <v>3.3271685999999998</v>
      </c>
    </row>
    <row r="397" spans="1:9" x14ac:dyDescent="0.25">
      <c r="A397" s="115" t="s">
        <v>930</v>
      </c>
      <c r="B397" s="28">
        <v>8</v>
      </c>
      <c r="C397" s="28">
        <v>175</v>
      </c>
      <c r="D397" s="28">
        <v>134</v>
      </c>
      <c r="E397" s="33">
        <f t="shared" si="19"/>
        <v>309</v>
      </c>
      <c r="F397" s="28">
        <v>6.7999999999999996E-3</v>
      </c>
      <c r="G397" s="28">
        <f t="shared" si="20"/>
        <v>134.4768</v>
      </c>
      <c r="H397" s="117">
        <f>O14</f>
        <v>10.5</v>
      </c>
      <c r="I397" s="22">
        <f t="shared" si="21"/>
        <v>1.4120063999999999</v>
      </c>
    </row>
    <row r="398" spans="1:9" x14ac:dyDescent="0.25">
      <c r="A398" s="115" t="s">
        <v>932</v>
      </c>
      <c r="B398" s="28">
        <v>8</v>
      </c>
      <c r="C398" s="28">
        <v>200</v>
      </c>
      <c r="D398" s="28">
        <v>134</v>
      </c>
      <c r="E398" s="33">
        <f t="shared" si="19"/>
        <v>334</v>
      </c>
      <c r="F398" s="28">
        <v>6.7999999999999996E-3</v>
      </c>
      <c r="G398" s="28">
        <f t="shared" si="20"/>
        <v>145.35679999999999</v>
      </c>
      <c r="H398" s="117">
        <f>O14</f>
        <v>10.5</v>
      </c>
      <c r="I398" s="22">
        <f t="shared" si="21"/>
        <v>1.5262464</v>
      </c>
    </row>
    <row r="399" spans="1:9" x14ac:dyDescent="0.25">
      <c r="A399" s="115" t="s">
        <v>934</v>
      </c>
      <c r="B399" s="28">
        <v>8</v>
      </c>
      <c r="C399" s="28">
        <v>250</v>
      </c>
      <c r="D399" s="28">
        <v>134</v>
      </c>
      <c r="E399" s="33">
        <f t="shared" si="19"/>
        <v>384</v>
      </c>
      <c r="F399" s="28">
        <v>6.7999999999999996E-3</v>
      </c>
      <c r="G399" s="28">
        <f t="shared" si="20"/>
        <v>167.11679999999998</v>
      </c>
      <c r="H399" s="117">
        <f>O14</f>
        <v>10.5</v>
      </c>
      <c r="I399" s="22">
        <f t="shared" si="21"/>
        <v>1.7547263999999998</v>
      </c>
    </row>
    <row r="400" spans="1:9" x14ac:dyDescent="0.25">
      <c r="A400" s="115" t="s">
        <v>936</v>
      </c>
      <c r="B400" s="28">
        <v>8</v>
      </c>
      <c r="C400" s="28">
        <v>300</v>
      </c>
      <c r="D400" s="28">
        <v>134</v>
      </c>
      <c r="E400" s="33">
        <f t="shared" si="19"/>
        <v>434</v>
      </c>
      <c r="F400" s="28">
        <v>6.7999999999999996E-3</v>
      </c>
      <c r="G400" s="28">
        <f t="shared" si="20"/>
        <v>188.8768</v>
      </c>
      <c r="H400" s="117">
        <f>O14</f>
        <v>10.5</v>
      </c>
      <c r="I400" s="22">
        <f t="shared" si="21"/>
        <v>1.9832064</v>
      </c>
    </row>
    <row r="401" spans="1:9" x14ac:dyDescent="0.25">
      <c r="A401" s="115" t="s">
        <v>938</v>
      </c>
      <c r="B401" s="28">
        <v>8</v>
      </c>
      <c r="C401" s="28">
        <v>350</v>
      </c>
      <c r="D401" s="28">
        <v>134</v>
      </c>
      <c r="E401" s="33">
        <f t="shared" si="19"/>
        <v>484</v>
      </c>
      <c r="F401" s="28">
        <v>6.7999999999999996E-3</v>
      </c>
      <c r="G401" s="28">
        <f t="shared" si="20"/>
        <v>210.63679999999999</v>
      </c>
      <c r="H401" s="117">
        <f>O14</f>
        <v>10.5</v>
      </c>
      <c r="I401" s="22">
        <f t="shared" si="21"/>
        <v>2.2116864000000001</v>
      </c>
    </row>
    <row r="402" spans="1:9" x14ac:dyDescent="0.25">
      <c r="A402" s="115" t="s">
        <v>940</v>
      </c>
      <c r="B402" s="28">
        <v>8</v>
      </c>
      <c r="C402" s="28">
        <v>400</v>
      </c>
      <c r="D402" s="28">
        <v>134</v>
      </c>
      <c r="E402" s="33">
        <f t="shared" si="19"/>
        <v>534</v>
      </c>
      <c r="F402" s="28">
        <v>6.7999999999999996E-3</v>
      </c>
      <c r="G402" s="28">
        <f t="shared" si="20"/>
        <v>232.39679999999998</v>
      </c>
      <c r="H402" s="117">
        <f>O15</f>
        <v>12.600000000000001</v>
      </c>
      <c r="I402" s="22">
        <f t="shared" si="21"/>
        <v>2.9281996800000001</v>
      </c>
    </row>
    <row r="403" spans="1:9" x14ac:dyDescent="0.25">
      <c r="A403" s="115" t="s">
        <v>942</v>
      </c>
      <c r="B403" s="28">
        <v>8</v>
      </c>
      <c r="C403" s="28">
        <v>450</v>
      </c>
      <c r="D403" s="28">
        <v>134</v>
      </c>
      <c r="E403" s="33">
        <f t="shared" si="19"/>
        <v>584</v>
      </c>
      <c r="F403" s="28">
        <v>6.7999999999999996E-3</v>
      </c>
      <c r="G403" s="28">
        <f t="shared" si="20"/>
        <v>254.15679999999998</v>
      </c>
      <c r="H403" s="117">
        <f>O15</f>
        <v>12.600000000000001</v>
      </c>
      <c r="I403" s="22">
        <f t="shared" si="21"/>
        <v>3.2023756800000003</v>
      </c>
    </row>
    <row r="404" spans="1:9" x14ac:dyDescent="0.25">
      <c r="A404" s="115" t="s">
        <v>944</v>
      </c>
      <c r="B404" s="28">
        <v>8</v>
      </c>
      <c r="C404" s="28">
        <v>500</v>
      </c>
      <c r="D404" s="28">
        <v>134</v>
      </c>
      <c r="E404" s="33">
        <f t="shared" si="19"/>
        <v>634</v>
      </c>
      <c r="F404" s="28">
        <v>6.7999999999999996E-3</v>
      </c>
      <c r="G404" s="28">
        <f t="shared" si="20"/>
        <v>275.91679999999997</v>
      </c>
      <c r="H404" s="117">
        <f>O16</f>
        <v>15.75</v>
      </c>
      <c r="I404" s="22">
        <f t="shared" si="21"/>
        <v>4.3456896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05"/>
  <sheetViews>
    <sheetView topLeftCell="A2" zoomScale="90" zoomScaleNormal="90" workbookViewId="0">
      <selection activeCell="G229" sqref="G4:G229"/>
    </sheetView>
  </sheetViews>
  <sheetFormatPr defaultRowHeight="16.5" x14ac:dyDescent="0.25"/>
  <cols>
    <col min="1" max="1" width="15.625" customWidth="1"/>
    <col min="2" max="8" width="10.625" customWidth="1"/>
    <col min="9" max="16" width="10.625" style="2" customWidth="1"/>
    <col min="17" max="17" width="9" style="2"/>
  </cols>
  <sheetData>
    <row r="1" spans="1:13" ht="21" x14ac:dyDescent="0.25">
      <c r="A1" s="25" t="s">
        <v>486</v>
      </c>
    </row>
    <row r="2" spans="1:13" ht="17.25" thickBot="1" x14ac:dyDescent="0.3"/>
    <row r="3" spans="1:13" x14ac:dyDescent="0.25">
      <c r="A3" t="s">
        <v>0</v>
      </c>
      <c r="B3" s="2" t="s">
        <v>443</v>
      </c>
      <c r="C3" s="2" t="s">
        <v>452</v>
      </c>
      <c r="D3" s="2" t="s">
        <v>454</v>
      </c>
      <c r="E3" s="2" t="s">
        <v>645</v>
      </c>
      <c r="F3" s="19" t="s">
        <v>446</v>
      </c>
      <c r="G3" s="21" t="s">
        <v>448</v>
      </c>
      <c r="I3" s="61" t="s">
        <v>490</v>
      </c>
      <c r="J3" s="37" t="s">
        <v>442</v>
      </c>
      <c r="K3" s="37" t="s">
        <v>977</v>
      </c>
      <c r="L3" s="37" t="s">
        <v>529</v>
      </c>
      <c r="M3" s="67" t="s">
        <v>449</v>
      </c>
    </row>
    <row r="4" spans="1:13" x14ac:dyDescent="0.25">
      <c r="A4" t="s">
        <v>11</v>
      </c>
      <c r="B4" s="2">
        <v>3</v>
      </c>
      <c r="C4" s="2">
        <v>60</v>
      </c>
      <c r="D4" s="49">
        <v>60</v>
      </c>
      <c r="E4" s="2">
        <f>D4+C4</f>
        <v>120</v>
      </c>
      <c r="F4" s="27">
        <f>M4</f>
        <v>0.91349999999999998</v>
      </c>
      <c r="G4" s="22">
        <f>F4</f>
        <v>0.91349999999999998</v>
      </c>
      <c r="I4" s="62" t="s">
        <v>499</v>
      </c>
      <c r="J4" s="40" t="s">
        <v>501</v>
      </c>
      <c r="K4" s="40">
        <v>0.87</v>
      </c>
      <c r="L4" s="40">
        <v>1.05</v>
      </c>
      <c r="M4" s="68">
        <f>L4*K4</f>
        <v>0.91349999999999998</v>
      </c>
    </row>
    <row r="5" spans="1:13" x14ac:dyDescent="0.25">
      <c r="A5" t="s">
        <v>13</v>
      </c>
      <c r="B5" s="2">
        <v>3</v>
      </c>
      <c r="C5" s="2">
        <v>80</v>
      </c>
      <c r="D5" s="49">
        <v>60</v>
      </c>
      <c r="E5" s="2">
        <f t="shared" ref="E5:E68" si="0">D5+C5</f>
        <v>140</v>
      </c>
      <c r="F5" s="27">
        <f>M5</f>
        <v>1.1445000000000001</v>
      </c>
      <c r="G5" s="22">
        <f t="shared" ref="G5:G68" si="1">F5</f>
        <v>1.1445000000000001</v>
      </c>
      <c r="I5" s="62" t="s">
        <v>499</v>
      </c>
      <c r="J5" s="40" t="s">
        <v>500</v>
      </c>
      <c r="K5" s="40">
        <v>1.0900000000000001</v>
      </c>
      <c r="L5" s="40">
        <v>1.05</v>
      </c>
      <c r="M5" s="68">
        <f t="shared" ref="M5:M43" si="2">L5*K5</f>
        <v>1.1445000000000001</v>
      </c>
    </row>
    <row r="6" spans="1:13" x14ac:dyDescent="0.25">
      <c r="A6" t="s">
        <v>15</v>
      </c>
      <c r="B6" s="2">
        <v>3</v>
      </c>
      <c r="C6" s="2">
        <v>100</v>
      </c>
      <c r="D6" s="49">
        <v>60</v>
      </c>
      <c r="E6" s="2">
        <f t="shared" si="0"/>
        <v>160</v>
      </c>
      <c r="F6" s="27">
        <f>M6</f>
        <v>1.827</v>
      </c>
      <c r="G6" s="22">
        <f t="shared" si="1"/>
        <v>1.827</v>
      </c>
      <c r="I6" s="62" t="s">
        <v>499</v>
      </c>
      <c r="J6" s="40" t="s">
        <v>502</v>
      </c>
      <c r="K6" s="40">
        <v>1.74</v>
      </c>
      <c r="L6" s="106">
        <v>1.05</v>
      </c>
      <c r="M6" s="68">
        <f t="shared" si="2"/>
        <v>1.827</v>
      </c>
    </row>
    <row r="7" spans="1:13" x14ac:dyDescent="0.25">
      <c r="A7" t="s">
        <v>17</v>
      </c>
      <c r="B7" s="2">
        <v>3</v>
      </c>
      <c r="C7" s="2">
        <v>125</v>
      </c>
      <c r="D7" s="49">
        <v>60</v>
      </c>
      <c r="E7" s="2">
        <f t="shared" si="0"/>
        <v>185</v>
      </c>
      <c r="F7" s="27">
        <f>M6</f>
        <v>1.827</v>
      </c>
      <c r="G7" s="22">
        <f t="shared" si="1"/>
        <v>1.827</v>
      </c>
      <c r="I7" s="62" t="s">
        <v>499</v>
      </c>
      <c r="J7" s="40" t="s">
        <v>503</v>
      </c>
      <c r="K7" s="40">
        <v>3.63</v>
      </c>
      <c r="L7" s="106">
        <v>1.05</v>
      </c>
      <c r="M7" s="68">
        <f t="shared" si="2"/>
        <v>3.8115000000000001</v>
      </c>
    </row>
    <row r="8" spans="1:13" x14ac:dyDescent="0.25">
      <c r="A8" t="s">
        <v>19</v>
      </c>
      <c r="B8" s="2">
        <v>3</v>
      </c>
      <c r="C8" s="2">
        <v>150</v>
      </c>
      <c r="D8" s="49">
        <v>60</v>
      </c>
      <c r="E8" s="116">
        <f t="shared" si="0"/>
        <v>210</v>
      </c>
      <c r="F8" s="27">
        <f>M7</f>
        <v>3.8115000000000001</v>
      </c>
      <c r="G8" s="22">
        <f t="shared" si="1"/>
        <v>3.8115000000000001</v>
      </c>
      <c r="I8" s="62" t="s">
        <v>504</v>
      </c>
      <c r="J8" s="40" t="s">
        <v>505</v>
      </c>
      <c r="K8" s="40">
        <v>0.87</v>
      </c>
      <c r="L8" s="106">
        <v>1.05</v>
      </c>
      <c r="M8" s="68">
        <f t="shared" si="2"/>
        <v>0.91349999999999998</v>
      </c>
    </row>
    <row r="9" spans="1:13" x14ac:dyDescent="0.25">
      <c r="A9" t="s">
        <v>21</v>
      </c>
      <c r="B9" s="2">
        <v>3</v>
      </c>
      <c r="C9" s="2">
        <v>200</v>
      </c>
      <c r="D9" s="49">
        <v>60</v>
      </c>
      <c r="E9" s="2">
        <f t="shared" si="0"/>
        <v>260</v>
      </c>
      <c r="F9" s="27">
        <f>M7</f>
        <v>3.8115000000000001</v>
      </c>
      <c r="G9" s="22">
        <f t="shared" si="1"/>
        <v>3.8115000000000001</v>
      </c>
      <c r="I9" s="62" t="s">
        <v>504</v>
      </c>
      <c r="J9" s="40" t="s">
        <v>981</v>
      </c>
      <c r="K9" s="40">
        <v>1.1000000000000001</v>
      </c>
      <c r="L9" s="106">
        <v>1.05</v>
      </c>
      <c r="M9" s="68">
        <f t="shared" si="2"/>
        <v>1.1550000000000002</v>
      </c>
    </row>
    <row r="10" spans="1:13" x14ac:dyDescent="0.25">
      <c r="A10" t="s">
        <v>23</v>
      </c>
      <c r="B10" s="2">
        <v>3</v>
      </c>
      <c r="C10" s="2">
        <v>250</v>
      </c>
      <c r="D10" s="49">
        <v>60</v>
      </c>
      <c r="E10" s="2">
        <f t="shared" si="0"/>
        <v>310</v>
      </c>
      <c r="F10" s="27">
        <f>M7</f>
        <v>3.8115000000000001</v>
      </c>
      <c r="G10" s="22">
        <f t="shared" si="1"/>
        <v>3.8115000000000001</v>
      </c>
      <c r="I10" s="62" t="s">
        <v>978</v>
      </c>
      <c r="J10" s="40" t="s">
        <v>979</v>
      </c>
      <c r="K10" s="40">
        <v>1.4</v>
      </c>
      <c r="L10" s="106">
        <v>1.05</v>
      </c>
      <c r="M10" s="68">
        <f t="shared" si="2"/>
        <v>1.47</v>
      </c>
    </row>
    <row r="11" spans="1:13" x14ac:dyDescent="0.25">
      <c r="A11" t="s">
        <v>25</v>
      </c>
      <c r="B11" s="2">
        <v>3</v>
      </c>
      <c r="C11" s="2">
        <v>300</v>
      </c>
      <c r="D11" s="49">
        <v>60</v>
      </c>
      <c r="E11" s="2">
        <f t="shared" si="0"/>
        <v>360</v>
      </c>
      <c r="F11" s="27">
        <f>M7</f>
        <v>3.8115000000000001</v>
      </c>
      <c r="G11" s="22">
        <f t="shared" si="1"/>
        <v>3.8115000000000001</v>
      </c>
      <c r="I11" s="62" t="s">
        <v>504</v>
      </c>
      <c r="J11" s="40" t="s">
        <v>506</v>
      </c>
      <c r="K11" s="40">
        <v>1.8</v>
      </c>
      <c r="L11" s="106">
        <v>1.05</v>
      </c>
      <c r="M11" s="68">
        <f t="shared" si="2"/>
        <v>1.8900000000000001</v>
      </c>
    </row>
    <row r="12" spans="1:13" x14ac:dyDescent="0.25">
      <c r="A12" t="s">
        <v>35</v>
      </c>
      <c r="B12" s="2">
        <v>5</v>
      </c>
      <c r="C12" s="2">
        <v>38</v>
      </c>
      <c r="D12" s="49">
        <v>45</v>
      </c>
      <c r="E12" s="2">
        <f t="shared" si="0"/>
        <v>83</v>
      </c>
      <c r="F12" s="27">
        <f>M15</f>
        <v>0.91349999999999998</v>
      </c>
      <c r="G12" s="22">
        <f t="shared" si="1"/>
        <v>0.91349999999999998</v>
      </c>
      <c r="I12" s="62" t="s">
        <v>504</v>
      </c>
      <c r="J12" s="40" t="s">
        <v>507</v>
      </c>
      <c r="K12" s="40">
        <v>2.1800000000000002</v>
      </c>
      <c r="L12" s="106">
        <v>1.05</v>
      </c>
      <c r="M12" s="68">
        <f t="shared" si="2"/>
        <v>2.2890000000000001</v>
      </c>
    </row>
    <row r="13" spans="1:13" x14ac:dyDescent="0.25">
      <c r="A13" t="s">
        <v>27</v>
      </c>
      <c r="B13" s="2">
        <v>5</v>
      </c>
      <c r="C13" s="2">
        <v>80</v>
      </c>
      <c r="D13" s="49">
        <v>60</v>
      </c>
      <c r="E13" s="2">
        <f t="shared" si="0"/>
        <v>140</v>
      </c>
      <c r="F13" s="27">
        <f>M16</f>
        <v>1.1550000000000002</v>
      </c>
      <c r="G13" s="22">
        <f t="shared" si="1"/>
        <v>1.1550000000000002</v>
      </c>
      <c r="I13" s="62" t="s">
        <v>504</v>
      </c>
      <c r="J13" s="40" t="s">
        <v>508</v>
      </c>
      <c r="K13" s="40">
        <v>3.63</v>
      </c>
      <c r="L13" s="106">
        <v>1.05</v>
      </c>
      <c r="M13" s="68">
        <f t="shared" si="2"/>
        <v>3.8115000000000001</v>
      </c>
    </row>
    <row r="14" spans="1:13" x14ac:dyDescent="0.25">
      <c r="A14" t="s">
        <v>29</v>
      </c>
      <c r="B14" s="2">
        <v>5</v>
      </c>
      <c r="C14" s="2">
        <v>100</v>
      </c>
      <c r="D14" s="49">
        <v>60</v>
      </c>
      <c r="E14" s="2">
        <f t="shared" si="0"/>
        <v>160</v>
      </c>
      <c r="F14" s="27">
        <f>M17</f>
        <v>1.47</v>
      </c>
      <c r="G14" s="22">
        <f t="shared" si="1"/>
        <v>1.47</v>
      </c>
      <c r="I14" s="62" t="s">
        <v>504</v>
      </c>
      <c r="J14" s="40" t="s">
        <v>509</v>
      </c>
      <c r="K14" s="40">
        <v>4.3600000000000003</v>
      </c>
      <c r="L14" s="106">
        <v>1.05</v>
      </c>
      <c r="M14" s="68">
        <f t="shared" si="2"/>
        <v>4.5780000000000003</v>
      </c>
    </row>
    <row r="15" spans="1:13" x14ac:dyDescent="0.25">
      <c r="A15" t="s">
        <v>31</v>
      </c>
      <c r="B15" s="2">
        <v>5</v>
      </c>
      <c r="C15" s="2">
        <v>125</v>
      </c>
      <c r="D15" s="49">
        <v>60</v>
      </c>
      <c r="E15" s="2">
        <f t="shared" si="0"/>
        <v>185</v>
      </c>
      <c r="F15" s="27">
        <f>M17</f>
        <v>1.47</v>
      </c>
      <c r="G15" s="22">
        <f t="shared" si="1"/>
        <v>1.47</v>
      </c>
      <c r="I15" s="62" t="s">
        <v>510</v>
      </c>
      <c r="J15" s="40" t="s">
        <v>511</v>
      </c>
      <c r="K15" s="40">
        <v>0.87</v>
      </c>
      <c r="L15" s="106">
        <v>1.05</v>
      </c>
      <c r="M15" s="68">
        <f t="shared" si="2"/>
        <v>0.91349999999999998</v>
      </c>
    </row>
    <row r="16" spans="1:13" x14ac:dyDescent="0.25">
      <c r="A16" t="s">
        <v>33</v>
      </c>
      <c r="B16" s="2">
        <v>5</v>
      </c>
      <c r="C16" s="2">
        <v>150</v>
      </c>
      <c r="D16" s="49">
        <v>60</v>
      </c>
      <c r="E16" s="2">
        <f t="shared" si="0"/>
        <v>210</v>
      </c>
      <c r="F16" s="27">
        <f>M18</f>
        <v>1.8900000000000001</v>
      </c>
      <c r="G16" s="22">
        <f t="shared" si="1"/>
        <v>1.8900000000000001</v>
      </c>
      <c r="I16" s="62" t="s">
        <v>510</v>
      </c>
      <c r="J16" s="40" t="s">
        <v>981</v>
      </c>
      <c r="K16" s="40">
        <v>1.1000000000000001</v>
      </c>
      <c r="L16" s="106">
        <v>1.05</v>
      </c>
      <c r="M16" s="68">
        <f t="shared" si="2"/>
        <v>1.1550000000000002</v>
      </c>
    </row>
    <row r="17" spans="1:13" x14ac:dyDescent="0.25">
      <c r="A17" t="s">
        <v>37</v>
      </c>
      <c r="B17" s="2">
        <v>5</v>
      </c>
      <c r="C17" s="2">
        <v>200</v>
      </c>
      <c r="D17" s="49">
        <v>60</v>
      </c>
      <c r="E17" s="2">
        <f t="shared" si="0"/>
        <v>260</v>
      </c>
      <c r="F17" s="27">
        <f>M19</f>
        <v>2.625</v>
      </c>
      <c r="G17" s="22">
        <f t="shared" si="1"/>
        <v>2.625</v>
      </c>
      <c r="I17" s="62" t="s">
        <v>980</v>
      </c>
      <c r="J17" s="40" t="s">
        <v>982</v>
      </c>
      <c r="K17" s="40">
        <v>1.4</v>
      </c>
      <c r="L17" s="106">
        <v>1.05</v>
      </c>
      <c r="M17" s="68">
        <f t="shared" si="2"/>
        <v>1.47</v>
      </c>
    </row>
    <row r="18" spans="1:13" x14ac:dyDescent="0.25">
      <c r="A18" t="s">
        <v>39</v>
      </c>
      <c r="B18" s="2">
        <v>5</v>
      </c>
      <c r="C18" s="2">
        <v>250</v>
      </c>
      <c r="D18" s="49">
        <v>60</v>
      </c>
      <c r="E18" s="2">
        <f t="shared" si="0"/>
        <v>310</v>
      </c>
      <c r="F18" s="27">
        <f>M21</f>
        <v>3.8115000000000001</v>
      </c>
      <c r="G18" s="22">
        <f t="shared" si="1"/>
        <v>3.8115000000000001</v>
      </c>
      <c r="I18" s="62" t="s">
        <v>980</v>
      </c>
      <c r="J18" s="40" t="s">
        <v>983</v>
      </c>
      <c r="K18" s="40">
        <v>1.8</v>
      </c>
      <c r="L18" s="106">
        <v>1.05</v>
      </c>
      <c r="M18" s="68">
        <f t="shared" si="2"/>
        <v>1.8900000000000001</v>
      </c>
    </row>
    <row r="19" spans="1:13" x14ac:dyDescent="0.25">
      <c r="A19" t="s">
        <v>41</v>
      </c>
      <c r="B19" s="2">
        <v>5</v>
      </c>
      <c r="C19" s="2">
        <v>300</v>
      </c>
      <c r="D19" s="49">
        <v>60</v>
      </c>
      <c r="E19" s="2">
        <f t="shared" si="0"/>
        <v>360</v>
      </c>
      <c r="F19" s="27">
        <f>M21</f>
        <v>3.8115000000000001</v>
      </c>
      <c r="G19" s="22">
        <f t="shared" si="1"/>
        <v>3.8115000000000001</v>
      </c>
      <c r="I19" s="62" t="s">
        <v>510</v>
      </c>
      <c r="J19" s="40" t="s">
        <v>984</v>
      </c>
      <c r="K19" s="40">
        <v>2.5</v>
      </c>
      <c r="L19" s="106">
        <v>1.05</v>
      </c>
      <c r="M19" s="68">
        <f t="shared" si="2"/>
        <v>2.625</v>
      </c>
    </row>
    <row r="20" spans="1:13" x14ac:dyDescent="0.25">
      <c r="A20" t="s">
        <v>43</v>
      </c>
      <c r="B20" s="2">
        <v>5</v>
      </c>
      <c r="C20" s="2">
        <v>350</v>
      </c>
      <c r="D20" s="49">
        <v>60</v>
      </c>
      <c r="E20" s="2">
        <f t="shared" si="0"/>
        <v>410</v>
      </c>
      <c r="F20" s="27">
        <f>M22</f>
        <v>4.8615000000000004</v>
      </c>
      <c r="G20" s="22">
        <f t="shared" si="1"/>
        <v>4.8615000000000004</v>
      </c>
      <c r="I20" s="62" t="s">
        <v>510</v>
      </c>
      <c r="J20" s="40" t="s">
        <v>985</v>
      </c>
      <c r="K20" s="40">
        <v>3.6</v>
      </c>
      <c r="L20" s="106">
        <v>1.05</v>
      </c>
      <c r="M20" s="68">
        <f t="shared" si="2"/>
        <v>3.7800000000000002</v>
      </c>
    </row>
    <row r="21" spans="1:13" x14ac:dyDescent="0.25">
      <c r="A21" t="s">
        <v>45</v>
      </c>
      <c r="B21" s="2">
        <v>5</v>
      </c>
      <c r="C21" s="2">
        <v>400</v>
      </c>
      <c r="D21" s="49">
        <v>60</v>
      </c>
      <c r="E21" s="2">
        <f t="shared" si="0"/>
        <v>460</v>
      </c>
      <c r="F21" s="27">
        <f>M22</f>
        <v>4.8615000000000004</v>
      </c>
      <c r="G21" s="22">
        <f t="shared" si="1"/>
        <v>4.8615000000000004</v>
      </c>
      <c r="I21" s="62" t="s">
        <v>980</v>
      </c>
      <c r="J21" s="40" t="s">
        <v>991</v>
      </c>
      <c r="K21" s="40">
        <v>3.63</v>
      </c>
      <c r="L21" s="106">
        <v>1.05</v>
      </c>
      <c r="M21" s="68">
        <f t="shared" si="2"/>
        <v>3.8115000000000001</v>
      </c>
    </row>
    <row r="22" spans="1:13" x14ac:dyDescent="0.25">
      <c r="A22" t="s">
        <v>47</v>
      </c>
      <c r="B22" s="2">
        <v>5</v>
      </c>
      <c r="C22" s="2">
        <v>500</v>
      </c>
      <c r="D22" s="49">
        <v>60</v>
      </c>
      <c r="E22" s="2">
        <f t="shared" si="0"/>
        <v>560</v>
      </c>
      <c r="F22" s="27">
        <f>M23</f>
        <v>6.8565000000000005</v>
      </c>
      <c r="G22" s="22">
        <f t="shared" si="1"/>
        <v>6.8565000000000005</v>
      </c>
      <c r="I22" s="62" t="s">
        <v>510</v>
      </c>
      <c r="J22" s="40" t="s">
        <v>513</v>
      </c>
      <c r="K22" s="40">
        <v>4.63</v>
      </c>
      <c r="L22" s="106">
        <v>1.05</v>
      </c>
      <c r="M22" s="68">
        <f t="shared" si="2"/>
        <v>4.8615000000000004</v>
      </c>
    </row>
    <row r="23" spans="1:13" x14ac:dyDescent="0.25">
      <c r="A23" t="s">
        <v>49</v>
      </c>
      <c r="B23" s="2">
        <v>6</v>
      </c>
      <c r="C23" s="2">
        <v>38</v>
      </c>
      <c r="D23" s="49">
        <v>45</v>
      </c>
      <c r="E23" s="2">
        <f t="shared" si="0"/>
        <v>83</v>
      </c>
      <c r="F23" s="27">
        <f>M24</f>
        <v>0.91349999999999998</v>
      </c>
      <c r="G23" s="22">
        <f t="shared" si="1"/>
        <v>0.91349999999999998</v>
      </c>
      <c r="I23" s="62" t="s">
        <v>491</v>
      </c>
      <c r="J23" s="40" t="s">
        <v>518</v>
      </c>
      <c r="K23" s="40">
        <v>6.53</v>
      </c>
      <c r="L23" s="106">
        <v>1.05</v>
      </c>
      <c r="M23" s="68">
        <f t="shared" si="2"/>
        <v>6.8565000000000005</v>
      </c>
    </row>
    <row r="24" spans="1:13" x14ac:dyDescent="0.25">
      <c r="A24" t="s">
        <v>51</v>
      </c>
      <c r="B24" s="2">
        <v>6</v>
      </c>
      <c r="C24" s="2">
        <v>100</v>
      </c>
      <c r="D24" s="49">
        <v>80</v>
      </c>
      <c r="E24" s="2">
        <f t="shared" si="0"/>
        <v>180</v>
      </c>
      <c r="F24" s="27">
        <f>M26</f>
        <v>1.47</v>
      </c>
      <c r="G24" s="22">
        <f t="shared" si="1"/>
        <v>1.47</v>
      </c>
      <c r="I24" s="62" t="s">
        <v>514</v>
      </c>
      <c r="J24" s="40" t="s">
        <v>515</v>
      </c>
      <c r="K24" s="40">
        <v>0.87</v>
      </c>
      <c r="L24" s="106">
        <v>1.05</v>
      </c>
      <c r="M24" s="68">
        <f t="shared" si="2"/>
        <v>0.91349999999999998</v>
      </c>
    </row>
    <row r="25" spans="1:13" x14ac:dyDescent="0.25">
      <c r="A25" t="s">
        <v>53</v>
      </c>
      <c r="B25" s="2">
        <v>6</v>
      </c>
      <c r="C25" s="2">
        <v>125</v>
      </c>
      <c r="D25" s="49">
        <v>80</v>
      </c>
      <c r="E25" s="2">
        <f t="shared" si="0"/>
        <v>205</v>
      </c>
      <c r="F25" s="27">
        <f>M27</f>
        <v>1.8900000000000001</v>
      </c>
      <c r="G25" s="22">
        <f t="shared" si="1"/>
        <v>1.8900000000000001</v>
      </c>
      <c r="I25" s="62" t="s">
        <v>514</v>
      </c>
      <c r="J25" s="40" t="s">
        <v>987</v>
      </c>
      <c r="K25" s="40">
        <v>1.1000000000000001</v>
      </c>
      <c r="L25" s="106">
        <v>1.05</v>
      </c>
      <c r="M25" s="68">
        <f t="shared" si="2"/>
        <v>1.1550000000000002</v>
      </c>
    </row>
    <row r="26" spans="1:13" x14ac:dyDescent="0.25">
      <c r="A26" t="s">
        <v>55</v>
      </c>
      <c r="B26" s="2">
        <v>6</v>
      </c>
      <c r="C26" s="2">
        <v>150</v>
      </c>
      <c r="D26" s="49">
        <v>80</v>
      </c>
      <c r="E26" s="2">
        <f t="shared" si="0"/>
        <v>230</v>
      </c>
      <c r="F26" s="27">
        <f>M27</f>
        <v>1.8900000000000001</v>
      </c>
      <c r="G26" s="22">
        <f t="shared" si="1"/>
        <v>1.8900000000000001</v>
      </c>
      <c r="I26" s="62" t="s">
        <v>986</v>
      </c>
      <c r="J26" s="40" t="s">
        <v>982</v>
      </c>
      <c r="K26" s="40">
        <v>1.4</v>
      </c>
      <c r="L26" s="106">
        <v>1.05</v>
      </c>
      <c r="M26" s="68">
        <f t="shared" si="2"/>
        <v>1.47</v>
      </c>
    </row>
    <row r="27" spans="1:13" x14ac:dyDescent="0.25">
      <c r="A27" t="s">
        <v>57</v>
      </c>
      <c r="B27" s="2">
        <v>6</v>
      </c>
      <c r="C27" s="2">
        <v>200</v>
      </c>
      <c r="D27" s="49">
        <v>80</v>
      </c>
      <c r="E27" s="2">
        <f t="shared" si="0"/>
        <v>280</v>
      </c>
      <c r="F27" s="27">
        <f>M28</f>
        <v>3.8115000000000001</v>
      </c>
      <c r="G27" s="22">
        <f t="shared" si="1"/>
        <v>3.8115000000000001</v>
      </c>
      <c r="I27" s="62" t="s">
        <v>986</v>
      </c>
      <c r="J27" s="40" t="s">
        <v>988</v>
      </c>
      <c r="K27" s="40">
        <v>1.8</v>
      </c>
      <c r="L27" s="106">
        <v>1.05</v>
      </c>
      <c r="M27" s="68">
        <f t="shared" si="2"/>
        <v>1.8900000000000001</v>
      </c>
    </row>
    <row r="28" spans="1:13" x14ac:dyDescent="0.25">
      <c r="A28" t="s">
        <v>59</v>
      </c>
      <c r="B28" s="2">
        <v>6</v>
      </c>
      <c r="C28" s="2">
        <v>250</v>
      </c>
      <c r="D28" s="49">
        <v>80</v>
      </c>
      <c r="E28" s="2">
        <f t="shared" si="0"/>
        <v>330</v>
      </c>
      <c r="F28" s="27">
        <f>M29</f>
        <v>3.7800000000000002</v>
      </c>
      <c r="G28" s="22">
        <f t="shared" si="1"/>
        <v>3.7800000000000002</v>
      </c>
      <c r="I28" s="62" t="s">
        <v>514</v>
      </c>
      <c r="J28" s="40" t="s">
        <v>989</v>
      </c>
      <c r="K28" s="40">
        <v>3.63</v>
      </c>
      <c r="L28" s="106">
        <v>1.05</v>
      </c>
      <c r="M28" s="68">
        <f t="shared" si="2"/>
        <v>3.8115000000000001</v>
      </c>
    </row>
    <row r="29" spans="1:13" x14ac:dyDescent="0.25">
      <c r="A29" t="s">
        <v>61</v>
      </c>
      <c r="B29" s="2">
        <v>6</v>
      </c>
      <c r="C29" s="2">
        <v>300</v>
      </c>
      <c r="D29" s="49">
        <v>80</v>
      </c>
      <c r="E29" s="2">
        <f t="shared" si="0"/>
        <v>380</v>
      </c>
      <c r="F29" s="27">
        <f>M29</f>
        <v>3.7800000000000002</v>
      </c>
      <c r="G29" s="22">
        <f t="shared" si="1"/>
        <v>3.7800000000000002</v>
      </c>
      <c r="I29" s="62" t="s">
        <v>514</v>
      </c>
      <c r="J29" s="40" t="s">
        <v>990</v>
      </c>
      <c r="K29" s="40">
        <v>3.6</v>
      </c>
      <c r="L29" s="106">
        <v>1.05</v>
      </c>
      <c r="M29" s="68">
        <f t="shared" si="2"/>
        <v>3.7800000000000002</v>
      </c>
    </row>
    <row r="30" spans="1:13" x14ac:dyDescent="0.25">
      <c r="A30" t="s">
        <v>63</v>
      </c>
      <c r="B30" s="2">
        <v>6</v>
      </c>
      <c r="C30" s="2">
        <v>350</v>
      </c>
      <c r="D30" s="49">
        <v>80</v>
      </c>
      <c r="E30" s="2">
        <f t="shared" si="0"/>
        <v>430</v>
      </c>
      <c r="F30" s="27">
        <f>M30</f>
        <v>4.5780000000000003</v>
      </c>
      <c r="G30" s="22">
        <f t="shared" si="1"/>
        <v>4.5780000000000003</v>
      </c>
      <c r="I30" s="62" t="s">
        <v>514</v>
      </c>
      <c r="J30" s="40" t="s">
        <v>516</v>
      </c>
      <c r="K30" s="40">
        <v>4.3600000000000003</v>
      </c>
      <c r="L30" s="106">
        <v>1.05</v>
      </c>
      <c r="M30" s="68">
        <f t="shared" si="2"/>
        <v>4.5780000000000003</v>
      </c>
    </row>
    <row r="31" spans="1:13" x14ac:dyDescent="0.25">
      <c r="A31" t="s">
        <v>65</v>
      </c>
      <c r="B31" s="2">
        <v>6</v>
      </c>
      <c r="C31" s="2">
        <v>400</v>
      </c>
      <c r="D31" s="49">
        <v>80</v>
      </c>
      <c r="E31" s="2">
        <f t="shared" si="0"/>
        <v>480</v>
      </c>
      <c r="F31" s="27">
        <f>M30</f>
        <v>4.5780000000000003</v>
      </c>
      <c r="G31" s="22">
        <f t="shared" si="1"/>
        <v>4.5780000000000003</v>
      </c>
      <c r="I31" s="62" t="s">
        <v>514</v>
      </c>
      <c r="J31" s="40" t="s">
        <v>517</v>
      </c>
      <c r="K31" s="40">
        <v>6.53</v>
      </c>
      <c r="L31" s="106">
        <v>1.05</v>
      </c>
      <c r="M31" s="68">
        <f t="shared" si="2"/>
        <v>6.8565000000000005</v>
      </c>
    </row>
    <row r="32" spans="1:13" x14ac:dyDescent="0.25">
      <c r="A32" t="s">
        <v>67</v>
      </c>
      <c r="B32" s="2">
        <v>6</v>
      </c>
      <c r="C32" s="2">
        <v>500</v>
      </c>
      <c r="D32" s="49">
        <v>80</v>
      </c>
      <c r="E32" s="2">
        <f t="shared" si="0"/>
        <v>580</v>
      </c>
      <c r="F32" s="27">
        <f>M31</f>
        <v>6.8565000000000005</v>
      </c>
      <c r="G32" s="22">
        <f t="shared" si="1"/>
        <v>6.8565000000000005</v>
      </c>
      <c r="I32" s="62" t="s">
        <v>519</v>
      </c>
      <c r="J32" s="40" t="s">
        <v>520</v>
      </c>
      <c r="K32" s="40">
        <v>1.91</v>
      </c>
      <c r="L32" s="106">
        <v>1.05</v>
      </c>
      <c r="M32" s="68">
        <f t="shared" si="2"/>
        <v>2.0055000000000001</v>
      </c>
    </row>
    <row r="33" spans="1:13" x14ac:dyDescent="0.25">
      <c r="A33" t="s">
        <v>69</v>
      </c>
      <c r="B33" s="2">
        <v>8</v>
      </c>
      <c r="C33" s="2">
        <v>100</v>
      </c>
      <c r="D33" s="49">
        <v>90</v>
      </c>
      <c r="E33" s="2">
        <f t="shared" si="0"/>
        <v>190</v>
      </c>
      <c r="F33" s="27">
        <f>M37</f>
        <v>1.9949999999999999</v>
      </c>
      <c r="G33" s="22">
        <f t="shared" si="1"/>
        <v>1.9949999999999999</v>
      </c>
      <c r="I33" s="62" t="s">
        <v>519</v>
      </c>
      <c r="J33" s="40" t="s">
        <v>993</v>
      </c>
      <c r="K33" s="40">
        <v>2.94</v>
      </c>
      <c r="L33" s="106">
        <v>1.05</v>
      </c>
      <c r="M33" s="68">
        <f t="shared" si="2"/>
        <v>3.0870000000000002</v>
      </c>
    </row>
    <row r="34" spans="1:13" x14ac:dyDescent="0.25">
      <c r="A34" t="s">
        <v>71</v>
      </c>
      <c r="B34" s="2">
        <v>8</v>
      </c>
      <c r="C34" s="2">
        <v>125</v>
      </c>
      <c r="D34" s="49">
        <v>90</v>
      </c>
      <c r="E34" s="2">
        <f t="shared" si="0"/>
        <v>215</v>
      </c>
      <c r="F34" s="27">
        <f>M38</f>
        <v>3.0870000000000002</v>
      </c>
      <c r="G34" s="22">
        <f t="shared" si="1"/>
        <v>3.0870000000000002</v>
      </c>
      <c r="I34" s="62" t="s">
        <v>992</v>
      </c>
      <c r="J34" s="40" t="s">
        <v>994</v>
      </c>
      <c r="K34" s="40">
        <v>2.94</v>
      </c>
      <c r="L34" s="106">
        <v>1.05</v>
      </c>
      <c r="M34" s="68">
        <f t="shared" si="2"/>
        <v>3.0870000000000002</v>
      </c>
    </row>
    <row r="35" spans="1:13" x14ac:dyDescent="0.25">
      <c r="A35" t="s">
        <v>75</v>
      </c>
      <c r="B35" s="2">
        <v>8</v>
      </c>
      <c r="C35" s="2">
        <v>150</v>
      </c>
      <c r="D35" s="49">
        <v>90</v>
      </c>
      <c r="E35" s="2">
        <f t="shared" si="0"/>
        <v>240</v>
      </c>
      <c r="F35" s="27">
        <f>M38</f>
        <v>3.0870000000000002</v>
      </c>
      <c r="G35" s="22">
        <f t="shared" si="1"/>
        <v>3.0870000000000002</v>
      </c>
      <c r="I35" s="62" t="s">
        <v>519</v>
      </c>
      <c r="J35" s="40" t="s">
        <v>522</v>
      </c>
      <c r="K35" s="40">
        <v>5.0999999999999996</v>
      </c>
      <c r="L35" s="106">
        <v>1.05</v>
      </c>
      <c r="M35" s="68">
        <f t="shared" si="2"/>
        <v>5.3549999999999995</v>
      </c>
    </row>
    <row r="36" spans="1:13" x14ac:dyDescent="0.25">
      <c r="A36" t="s">
        <v>73</v>
      </c>
      <c r="B36" s="2">
        <v>8</v>
      </c>
      <c r="C36" s="2">
        <v>175</v>
      </c>
      <c r="D36" s="49">
        <v>90</v>
      </c>
      <c r="E36" s="2">
        <f t="shared" si="0"/>
        <v>265</v>
      </c>
      <c r="F36" s="27">
        <f>M38</f>
        <v>3.0870000000000002</v>
      </c>
      <c r="G36" s="22">
        <f t="shared" si="1"/>
        <v>3.0870000000000002</v>
      </c>
      <c r="I36" s="62" t="s">
        <v>519</v>
      </c>
      <c r="J36" s="40" t="s">
        <v>523</v>
      </c>
      <c r="K36" s="40">
        <v>7.3</v>
      </c>
      <c r="L36" s="106">
        <v>1.05</v>
      </c>
      <c r="M36" s="68">
        <f t="shared" si="2"/>
        <v>7.665</v>
      </c>
    </row>
    <row r="37" spans="1:13" x14ac:dyDescent="0.25">
      <c r="A37" t="s">
        <v>77</v>
      </c>
      <c r="B37" s="2">
        <v>8</v>
      </c>
      <c r="C37" s="2">
        <v>200</v>
      </c>
      <c r="D37" s="49">
        <v>90</v>
      </c>
      <c r="E37" s="2">
        <f t="shared" si="0"/>
        <v>290</v>
      </c>
      <c r="F37" s="27">
        <f>M38</f>
        <v>3.0870000000000002</v>
      </c>
      <c r="G37" s="22"/>
      <c r="I37" s="62" t="s">
        <v>524</v>
      </c>
      <c r="J37" s="40" t="s">
        <v>520</v>
      </c>
      <c r="K37" s="40">
        <v>1.9</v>
      </c>
      <c r="L37" s="106">
        <v>1.05</v>
      </c>
      <c r="M37" s="68">
        <f t="shared" si="2"/>
        <v>1.9949999999999999</v>
      </c>
    </row>
    <row r="38" spans="1:13" x14ac:dyDescent="0.25">
      <c r="A38" t="s">
        <v>79</v>
      </c>
      <c r="B38" s="2">
        <v>8</v>
      </c>
      <c r="C38" s="2">
        <v>250</v>
      </c>
      <c r="D38" s="49">
        <v>90</v>
      </c>
      <c r="E38" s="2">
        <f t="shared" si="0"/>
        <v>340</v>
      </c>
      <c r="F38" s="27">
        <f>M39</f>
        <v>5.3549999999999995</v>
      </c>
      <c r="G38" s="22">
        <f t="shared" si="1"/>
        <v>5.3549999999999995</v>
      </c>
      <c r="I38" s="62" t="s">
        <v>524</v>
      </c>
      <c r="J38" s="40" t="s">
        <v>521</v>
      </c>
      <c r="K38" s="40">
        <v>2.94</v>
      </c>
      <c r="L38" s="106">
        <v>1.05</v>
      </c>
      <c r="M38" s="68">
        <f t="shared" si="2"/>
        <v>3.0870000000000002</v>
      </c>
    </row>
    <row r="39" spans="1:13" x14ac:dyDescent="0.25">
      <c r="A39" t="s">
        <v>81</v>
      </c>
      <c r="B39" s="2">
        <v>8</v>
      </c>
      <c r="C39" s="2">
        <v>300</v>
      </c>
      <c r="D39" s="49">
        <v>90</v>
      </c>
      <c r="E39" s="2">
        <f t="shared" si="0"/>
        <v>390</v>
      </c>
      <c r="F39" s="27">
        <f>M39</f>
        <v>5.3549999999999995</v>
      </c>
      <c r="G39" s="22">
        <f t="shared" si="1"/>
        <v>5.3549999999999995</v>
      </c>
      <c r="I39" s="62" t="s">
        <v>524</v>
      </c>
      <c r="J39" s="40" t="s">
        <v>522</v>
      </c>
      <c r="K39" s="40">
        <v>5.0999999999999996</v>
      </c>
      <c r="L39" s="106">
        <v>1.05</v>
      </c>
      <c r="M39" s="68">
        <f t="shared" si="2"/>
        <v>5.3549999999999995</v>
      </c>
    </row>
    <row r="40" spans="1:13" x14ac:dyDescent="0.25">
      <c r="A40" t="s">
        <v>83</v>
      </c>
      <c r="B40" s="2">
        <v>8</v>
      </c>
      <c r="C40" s="2">
        <v>350</v>
      </c>
      <c r="D40" s="49">
        <v>90</v>
      </c>
      <c r="E40" s="2">
        <f t="shared" si="0"/>
        <v>440</v>
      </c>
      <c r="F40" s="27">
        <f>M40</f>
        <v>7.665</v>
      </c>
      <c r="G40" s="22">
        <f t="shared" si="1"/>
        <v>7.665</v>
      </c>
      <c r="I40" s="62" t="s">
        <v>524</v>
      </c>
      <c r="J40" s="40" t="s">
        <v>523</v>
      </c>
      <c r="K40" s="40">
        <v>7.3</v>
      </c>
      <c r="L40" s="106">
        <v>1.05</v>
      </c>
      <c r="M40" s="68">
        <f t="shared" si="2"/>
        <v>7.665</v>
      </c>
    </row>
    <row r="41" spans="1:13" x14ac:dyDescent="0.25">
      <c r="A41" t="s">
        <v>85</v>
      </c>
      <c r="B41" s="2">
        <v>8</v>
      </c>
      <c r="C41" s="2">
        <v>400</v>
      </c>
      <c r="D41" s="49">
        <v>90</v>
      </c>
      <c r="E41" s="2">
        <f t="shared" si="0"/>
        <v>490</v>
      </c>
      <c r="F41" s="27">
        <f>M40</f>
        <v>7.665</v>
      </c>
      <c r="G41" s="22">
        <f t="shared" si="1"/>
        <v>7.665</v>
      </c>
      <c r="I41" s="62" t="s">
        <v>525</v>
      </c>
      <c r="J41" s="40" t="s">
        <v>526</v>
      </c>
      <c r="K41" s="40">
        <v>2.2999999999999998</v>
      </c>
      <c r="L41" s="106">
        <v>1.05</v>
      </c>
      <c r="M41" s="68">
        <f t="shared" si="2"/>
        <v>2.415</v>
      </c>
    </row>
    <row r="42" spans="1:13" x14ac:dyDescent="0.25">
      <c r="A42" t="s">
        <v>87</v>
      </c>
      <c r="B42" s="2">
        <v>8</v>
      </c>
      <c r="C42" s="2">
        <v>500</v>
      </c>
      <c r="D42" s="49">
        <v>90</v>
      </c>
      <c r="E42" s="2">
        <f t="shared" si="0"/>
        <v>590</v>
      </c>
      <c r="F42" s="27">
        <f>M40</f>
        <v>7.665</v>
      </c>
      <c r="G42" s="22">
        <f t="shared" si="1"/>
        <v>7.665</v>
      </c>
      <c r="I42" s="62" t="s">
        <v>527</v>
      </c>
      <c r="J42" s="40" t="s">
        <v>522</v>
      </c>
      <c r="K42" s="40">
        <v>6.5</v>
      </c>
      <c r="L42" s="106">
        <v>1.05</v>
      </c>
      <c r="M42" s="68">
        <f t="shared" si="2"/>
        <v>6.8250000000000002</v>
      </c>
    </row>
    <row r="43" spans="1:13" ht="17.25" thickBot="1" x14ac:dyDescent="0.3">
      <c r="A43" t="s">
        <v>167</v>
      </c>
      <c r="B43" s="2">
        <v>10</v>
      </c>
      <c r="C43" s="2">
        <v>200</v>
      </c>
      <c r="D43" s="49">
        <v>90</v>
      </c>
      <c r="E43" s="2">
        <f t="shared" si="0"/>
        <v>290</v>
      </c>
      <c r="F43" s="27">
        <f>M41</f>
        <v>2.415</v>
      </c>
      <c r="G43" s="22">
        <f t="shared" si="1"/>
        <v>2.415</v>
      </c>
      <c r="I43" s="65" t="s">
        <v>527</v>
      </c>
      <c r="J43" s="43" t="s">
        <v>528</v>
      </c>
      <c r="K43" s="43">
        <v>7.3</v>
      </c>
      <c r="L43" s="106">
        <v>1.05</v>
      </c>
      <c r="M43" s="69">
        <f t="shared" si="2"/>
        <v>7.665</v>
      </c>
    </row>
    <row r="44" spans="1:13" x14ac:dyDescent="0.25">
      <c r="A44" t="s">
        <v>169</v>
      </c>
      <c r="B44" s="2">
        <v>10</v>
      </c>
      <c r="C44" s="2">
        <v>250</v>
      </c>
      <c r="D44" s="49">
        <v>90</v>
      </c>
      <c r="E44" s="2">
        <f t="shared" si="0"/>
        <v>340</v>
      </c>
      <c r="F44" s="27">
        <f>M42</f>
        <v>6.8250000000000002</v>
      </c>
      <c r="G44" s="22">
        <f t="shared" si="1"/>
        <v>6.8250000000000002</v>
      </c>
    </row>
    <row r="45" spans="1:13" x14ac:dyDescent="0.25">
      <c r="A45" t="s">
        <v>171</v>
      </c>
      <c r="B45" s="2">
        <v>10</v>
      </c>
      <c r="C45" s="2">
        <v>300</v>
      </c>
      <c r="D45" s="49">
        <v>90</v>
      </c>
      <c r="E45" s="2">
        <f t="shared" si="0"/>
        <v>390</v>
      </c>
      <c r="F45" s="27">
        <f>M42</f>
        <v>6.8250000000000002</v>
      </c>
      <c r="G45" s="22">
        <f t="shared" si="1"/>
        <v>6.8250000000000002</v>
      </c>
    </row>
    <row r="46" spans="1:13" x14ac:dyDescent="0.25">
      <c r="A46" t="s">
        <v>173</v>
      </c>
      <c r="B46" s="2">
        <v>10</v>
      </c>
      <c r="C46" s="2">
        <v>400</v>
      </c>
      <c r="D46" s="49">
        <v>90</v>
      </c>
      <c r="E46" s="2">
        <f t="shared" si="0"/>
        <v>490</v>
      </c>
      <c r="F46" s="27">
        <f>M43</f>
        <v>7.665</v>
      </c>
      <c r="G46" s="22">
        <f t="shared" si="1"/>
        <v>7.665</v>
      </c>
    </row>
    <row r="47" spans="1:13" x14ac:dyDescent="0.25">
      <c r="A47" t="s">
        <v>175</v>
      </c>
      <c r="B47" s="2">
        <v>10</v>
      </c>
      <c r="C47" s="2">
        <v>500</v>
      </c>
      <c r="D47" s="49">
        <v>90</v>
      </c>
      <c r="E47" s="2">
        <f t="shared" si="0"/>
        <v>590</v>
      </c>
      <c r="F47" s="27">
        <f>M43</f>
        <v>7.665</v>
      </c>
      <c r="G47" s="22">
        <f t="shared" si="1"/>
        <v>7.665</v>
      </c>
    </row>
    <row r="48" spans="1:13" x14ac:dyDescent="0.25">
      <c r="A48" t="s">
        <v>89</v>
      </c>
      <c r="B48" s="2">
        <v>3</v>
      </c>
      <c r="C48" s="2">
        <v>60</v>
      </c>
      <c r="D48" s="49">
        <v>60</v>
      </c>
      <c r="E48" s="2">
        <f t="shared" si="0"/>
        <v>120</v>
      </c>
      <c r="F48" s="27">
        <f>M5</f>
        <v>1.1445000000000001</v>
      </c>
      <c r="G48" s="22">
        <f t="shared" si="1"/>
        <v>1.1445000000000001</v>
      </c>
    </row>
    <row r="49" spans="1:7" x14ac:dyDescent="0.25">
      <c r="A49" t="s">
        <v>91</v>
      </c>
      <c r="B49" s="2">
        <v>3</v>
      </c>
      <c r="C49" s="2">
        <v>80</v>
      </c>
      <c r="D49" s="49">
        <v>60</v>
      </c>
      <c r="E49" s="2">
        <f t="shared" si="0"/>
        <v>140</v>
      </c>
      <c r="F49" s="27">
        <f>M5</f>
        <v>1.1445000000000001</v>
      </c>
      <c r="G49" s="22">
        <f t="shared" si="1"/>
        <v>1.1445000000000001</v>
      </c>
    </row>
    <row r="50" spans="1:7" x14ac:dyDescent="0.25">
      <c r="A50" t="s">
        <v>93</v>
      </c>
      <c r="B50" s="2">
        <v>3</v>
      </c>
      <c r="C50" s="2">
        <v>100</v>
      </c>
      <c r="D50" s="49">
        <v>60</v>
      </c>
      <c r="E50" s="2">
        <f t="shared" si="0"/>
        <v>160</v>
      </c>
      <c r="F50" s="27">
        <f>M6</f>
        <v>1.827</v>
      </c>
      <c r="G50" s="22">
        <f t="shared" si="1"/>
        <v>1.827</v>
      </c>
    </row>
    <row r="51" spans="1:7" x14ac:dyDescent="0.25">
      <c r="A51" t="s">
        <v>95</v>
      </c>
      <c r="B51" s="2">
        <v>3</v>
      </c>
      <c r="C51" s="2">
        <v>125</v>
      </c>
      <c r="D51" s="49">
        <v>60</v>
      </c>
      <c r="E51" s="2">
        <f t="shared" si="0"/>
        <v>185</v>
      </c>
      <c r="F51" s="27">
        <f>M6</f>
        <v>1.827</v>
      </c>
      <c r="G51" s="22">
        <f t="shared" si="1"/>
        <v>1.827</v>
      </c>
    </row>
    <row r="52" spans="1:7" x14ac:dyDescent="0.25">
      <c r="A52" t="s">
        <v>97</v>
      </c>
      <c r="B52" s="2">
        <v>3</v>
      </c>
      <c r="C52" s="2">
        <v>150</v>
      </c>
      <c r="D52" s="49">
        <v>60</v>
      </c>
      <c r="E52" s="2">
        <f t="shared" si="0"/>
        <v>210</v>
      </c>
      <c r="F52" s="27">
        <f>M7</f>
        <v>3.8115000000000001</v>
      </c>
      <c r="G52" s="22">
        <f t="shared" si="1"/>
        <v>3.8115000000000001</v>
      </c>
    </row>
    <row r="53" spans="1:7" x14ac:dyDescent="0.25">
      <c r="A53" t="s">
        <v>99</v>
      </c>
      <c r="B53" s="2">
        <v>3</v>
      </c>
      <c r="C53" s="2">
        <v>200</v>
      </c>
      <c r="D53" s="49">
        <v>60</v>
      </c>
      <c r="E53" s="2">
        <f t="shared" si="0"/>
        <v>260</v>
      </c>
      <c r="F53" s="27">
        <f>M7</f>
        <v>3.8115000000000001</v>
      </c>
      <c r="G53" s="22">
        <f t="shared" si="1"/>
        <v>3.8115000000000001</v>
      </c>
    </row>
    <row r="54" spans="1:7" x14ac:dyDescent="0.25">
      <c r="A54" t="s">
        <v>101</v>
      </c>
      <c r="B54" s="2">
        <v>3</v>
      </c>
      <c r="C54" s="2">
        <v>250</v>
      </c>
      <c r="D54" s="49">
        <v>60</v>
      </c>
      <c r="E54" s="2">
        <f t="shared" si="0"/>
        <v>310</v>
      </c>
      <c r="F54" s="27">
        <f>M7</f>
        <v>3.8115000000000001</v>
      </c>
      <c r="G54" s="22">
        <f t="shared" si="1"/>
        <v>3.8115000000000001</v>
      </c>
    </row>
    <row r="55" spans="1:7" x14ac:dyDescent="0.25">
      <c r="A55" t="s">
        <v>103</v>
      </c>
      <c r="B55" s="2">
        <v>3</v>
      </c>
      <c r="C55" s="2">
        <v>300</v>
      </c>
      <c r="D55" s="49">
        <v>60</v>
      </c>
      <c r="E55" s="2">
        <f t="shared" si="0"/>
        <v>360</v>
      </c>
      <c r="F55" s="27">
        <f>M7</f>
        <v>3.8115000000000001</v>
      </c>
      <c r="G55" s="22">
        <f t="shared" si="1"/>
        <v>3.8115000000000001</v>
      </c>
    </row>
    <row r="56" spans="1:7" x14ac:dyDescent="0.25">
      <c r="A56" t="s">
        <v>105</v>
      </c>
      <c r="B56" s="2">
        <v>5</v>
      </c>
      <c r="C56" s="2">
        <v>38</v>
      </c>
      <c r="D56" s="49">
        <v>45</v>
      </c>
      <c r="E56" s="2">
        <f t="shared" si="0"/>
        <v>83</v>
      </c>
      <c r="F56" s="27">
        <f>M15</f>
        <v>0.91349999999999998</v>
      </c>
      <c r="G56" s="22">
        <f t="shared" si="1"/>
        <v>0.91349999999999998</v>
      </c>
    </row>
    <row r="57" spans="1:7" x14ac:dyDescent="0.25">
      <c r="A57" t="s">
        <v>107</v>
      </c>
      <c r="B57" s="2">
        <v>5</v>
      </c>
      <c r="C57" s="2">
        <v>80</v>
      </c>
      <c r="D57" s="49">
        <v>60</v>
      </c>
      <c r="E57" s="2">
        <f t="shared" si="0"/>
        <v>140</v>
      </c>
      <c r="F57" s="27">
        <f>M16</f>
        <v>1.1550000000000002</v>
      </c>
      <c r="G57" s="22">
        <f t="shared" si="1"/>
        <v>1.1550000000000002</v>
      </c>
    </row>
    <row r="58" spans="1:7" x14ac:dyDescent="0.25">
      <c r="A58" t="s">
        <v>109</v>
      </c>
      <c r="B58" s="2">
        <v>5</v>
      </c>
      <c r="C58" s="2">
        <v>100</v>
      </c>
      <c r="D58" s="49">
        <v>60</v>
      </c>
      <c r="E58" s="2">
        <f t="shared" si="0"/>
        <v>160</v>
      </c>
      <c r="F58" s="27">
        <f>M17</f>
        <v>1.47</v>
      </c>
      <c r="G58" s="22">
        <f t="shared" si="1"/>
        <v>1.47</v>
      </c>
    </row>
    <row r="59" spans="1:7" x14ac:dyDescent="0.25">
      <c r="A59" t="s">
        <v>111</v>
      </c>
      <c r="B59" s="2">
        <v>5</v>
      </c>
      <c r="C59" s="2">
        <v>125</v>
      </c>
      <c r="D59" s="49">
        <v>60</v>
      </c>
      <c r="E59" s="2">
        <f t="shared" si="0"/>
        <v>185</v>
      </c>
      <c r="F59" s="27">
        <f>M17</f>
        <v>1.47</v>
      </c>
      <c r="G59" s="22">
        <f t="shared" si="1"/>
        <v>1.47</v>
      </c>
    </row>
    <row r="60" spans="1:7" x14ac:dyDescent="0.25">
      <c r="A60" t="s">
        <v>113</v>
      </c>
      <c r="B60" s="2">
        <v>5</v>
      </c>
      <c r="C60" s="2">
        <v>150</v>
      </c>
      <c r="D60" s="49">
        <v>60</v>
      </c>
      <c r="E60" s="2">
        <f t="shared" si="0"/>
        <v>210</v>
      </c>
      <c r="F60" s="27">
        <f>M18</f>
        <v>1.8900000000000001</v>
      </c>
      <c r="G60" s="22">
        <f t="shared" si="1"/>
        <v>1.8900000000000001</v>
      </c>
    </row>
    <row r="61" spans="1:7" x14ac:dyDescent="0.25">
      <c r="A61" t="s">
        <v>115</v>
      </c>
      <c r="B61" s="2">
        <v>5</v>
      </c>
      <c r="C61" s="2">
        <v>200</v>
      </c>
      <c r="D61" s="49">
        <v>60</v>
      </c>
      <c r="E61" s="2">
        <f t="shared" si="0"/>
        <v>260</v>
      </c>
      <c r="F61" s="27">
        <f>M19</f>
        <v>2.625</v>
      </c>
      <c r="G61" s="22">
        <f t="shared" si="1"/>
        <v>2.625</v>
      </c>
    </row>
    <row r="62" spans="1:7" x14ac:dyDescent="0.25">
      <c r="A62" t="s">
        <v>117</v>
      </c>
      <c r="B62" s="2">
        <v>5</v>
      </c>
      <c r="C62" s="2">
        <v>250</v>
      </c>
      <c r="D62" s="49">
        <v>60</v>
      </c>
      <c r="E62" s="2">
        <f t="shared" si="0"/>
        <v>310</v>
      </c>
      <c r="F62" s="27">
        <f>M21</f>
        <v>3.8115000000000001</v>
      </c>
      <c r="G62" s="22">
        <f t="shared" si="1"/>
        <v>3.8115000000000001</v>
      </c>
    </row>
    <row r="63" spans="1:7" x14ac:dyDescent="0.25">
      <c r="A63" t="s">
        <v>119</v>
      </c>
      <c r="B63" s="2">
        <v>5</v>
      </c>
      <c r="C63" s="2">
        <v>300</v>
      </c>
      <c r="D63" s="49">
        <v>60</v>
      </c>
      <c r="E63" s="2">
        <f t="shared" si="0"/>
        <v>360</v>
      </c>
      <c r="F63" s="27">
        <f>M21</f>
        <v>3.8115000000000001</v>
      </c>
      <c r="G63" s="22">
        <f t="shared" si="1"/>
        <v>3.8115000000000001</v>
      </c>
    </row>
    <row r="64" spans="1:7" x14ac:dyDescent="0.25">
      <c r="A64" t="s">
        <v>121</v>
      </c>
      <c r="B64" s="2">
        <v>5</v>
      </c>
      <c r="C64" s="2">
        <v>350</v>
      </c>
      <c r="D64" s="49">
        <v>60</v>
      </c>
      <c r="E64" s="2">
        <f t="shared" si="0"/>
        <v>410</v>
      </c>
      <c r="F64" s="27">
        <f>M22</f>
        <v>4.8615000000000004</v>
      </c>
      <c r="G64" s="22">
        <f t="shared" si="1"/>
        <v>4.8615000000000004</v>
      </c>
    </row>
    <row r="65" spans="1:7" x14ac:dyDescent="0.25">
      <c r="A65" t="s">
        <v>123</v>
      </c>
      <c r="B65" s="2">
        <v>5</v>
      </c>
      <c r="C65" s="2">
        <v>400</v>
      </c>
      <c r="D65" s="49">
        <v>60</v>
      </c>
      <c r="E65" s="2">
        <f t="shared" si="0"/>
        <v>460</v>
      </c>
      <c r="F65" s="27">
        <f>M22</f>
        <v>4.8615000000000004</v>
      </c>
      <c r="G65" s="22">
        <f t="shared" si="1"/>
        <v>4.8615000000000004</v>
      </c>
    </row>
    <row r="66" spans="1:7" x14ac:dyDescent="0.25">
      <c r="A66" t="s">
        <v>125</v>
      </c>
      <c r="B66" s="2">
        <v>5</v>
      </c>
      <c r="C66" s="2">
        <v>500</v>
      </c>
      <c r="D66" s="49">
        <v>60</v>
      </c>
      <c r="E66" s="2">
        <f t="shared" si="0"/>
        <v>560</v>
      </c>
      <c r="F66" s="27">
        <f>M23</f>
        <v>6.8565000000000005</v>
      </c>
      <c r="G66" s="22">
        <f t="shared" si="1"/>
        <v>6.8565000000000005</v>
      </c>
    </row>
    <row r="67" spans="1:7" x14ac:dyDescent="0.25">
      <c r="A67" t="s">
        <v>127</v>
      </c>
      <c r="B67" s="2">
        <v>6</v>
      </c>
      <c r="C67" s="2">
        <v>38</v>
      </c>
      <c r="D67" s="49">
        <v>45</v>
      </c>
      <c r="E67" s="2">
        <f t="shared" si="0"/>
        <v>83</v>
      </c>
      <c r="F67" s="27">
        <f>M24</f>
        <v>0.91349999999999998</v>
      </c>
      <c r="G67" s="22">
        <f>F67</f>
        <v>0.91349999999999998</v>
      </c>
    </row>
    <row r="68" spans="1:7" x14ac:dyDescent="0.25">
      <c r="A68" t="s">
        <v>129</v>
      </c>
      <c r="B68" s="2">
        <v>6</v>
      </c>
      <c r="C68" s="2">
        <v>100</v>
      </c>
      <c r="D68" s="49">
        <v>80</v>
      </c>
      <c r="E68" s="2">
        <f t="shared" si="0"/>
        <v>180</v>
      </c>
      <c r="F68" s="27">
        <f>M26</f>
        <v>1.47</v>
      </c>
      <c r="G68" s="22">
        <f t="shared" si="1"/>
        <v>1.47</v>
      </c>
    </row>
    <row r="69" spans="1:7" x14ac:dyDescent="0.25">
      <c r="A69" t="s">
        <v>131</v>
      </c>
      <c r="B69" s="2">
        <v>6</v>
      </c>
      <c r="C69" s="2">
        <v>125</v>
      </c>
      <c r="D69" s="49">
        <v>80</v>
      </c>
      <c r="E69" s="2">
        <f t="shared" ref="E69:E132" si="3">D69+C69</f>
        <v>205</v>
      </c>
      <c r="F69" s="27">
        <f>M27</f>
        <v>1.8900000000000001</v>
      </c>
      <c r="G69" s="22">
        <f t="shared" ref="G69:G132" si="4">F69</f>
        <v>1.8900000000000001</v>
      </c>
    </row>
    <row r="70" spans="1:7" x14ac:dyDescent="0.25">
      <c r="A70" t="s">
        <v>133</v>
      </c>
      <c r="B70" s="2">
        <v>6</v>
      </c>
      <c r="C70" s="2">
        <v>150</v>
      </c>
      <c r="D70" s="49">
        <v>80</v>
      </c>
      <c r="E70" s="2">
        <f t="shared" si="3"/>
        <v>230</v>
      </c>
      <c r="F70" s="27">
        <f>M27</f>
        <v>1.8900000000000001</v>
      </c>
      <c r="G70" s="22">
        <f t="shared" si="4"/>
        <v>1.8900000000000001</v>
      </c>
    </row>
    <row r="71" spans="1:7" x14ac:dyDescent="0.25">
      <c r="A71" t="s">
        <v>135</v>
      </c>
      <c r="B71" s="2">
        <v>6</v>
      </c>
      <c r="C71" s="2">
        <v>200</v>
      </c>
      <c r="D71" s="49">
        <v>80</v>
      </c>
      <c r="E71" s="2">
        <f t="shared" si="3"/>
        <v>280</v>
      </c>
      <c r="F71" s="27">
        <f>M28</f>
        <v>3.8115000000000001</v>
      </c>
      <c r="G71" s="22">
        <f t="shared" si="4"/>
        <v>3.8115000000000001</v>
      </c>
    </row>
    <row r="72" spans="1:7" x14ac:dyDescent="0.25">
      <c r="A72" t="s">
        <v>137</v>
      </c>
      <c r="B72" s="2">
        <v>6</v>
      </c>
      <c r="C72" s="2">
        <v>250</v>
      </c>
      <c r="D72" s="49">
        <v>80</v>
      </c>
      <c r="E72" s="2">
        <f t="shared" si="3"/>
        <v>330</v>
      </c>
      <c r="F72" s="27">
        <f>M29</f>
        <v>3.7800000000000002</v>
      </c>
      <c r="G72" s="22">
        <f t="shared" si="4"/>
        <v>3.7800000000000002</v>
      </c>
    </row>
    <row r="73" spans="1:7" x14ac:dyDescent="0.25">
      <c r="A73" t="s">
        <v>139</v>
      </c>
      <c r="B73" s="2">
        <v>6</v>
      </c>
      <c r="C73" s="2">
        <v>300</v>
      </c>
      <c r="D73" s="49">
        <v>80</v>
      </c>
      <c r="E73" s="2">
        <f t="shared" si="3"/>
        <v>380</v>
      </c>
      <c r="F73" s="27">
        <f>M29</f>
        <v>3.7800000000000002</v>
      </c>
      <c r="G73" s="22">
        <f t="shared" si="4"/>
        <v>3.7800000000000002</v>
      </c>
    </row>
    <row r="74" spans="1:7" x14ac:dyDescent="0.25">
      <c r="A74" t="s">
        <v>141</v>
      </c>
      <c r="B74" s="2">
        <v>6</v>
      </c>
      <c r="C74" s="2">
        <v>350</v>
      </c>
      <c r="D74" s="49">
        <v>80</v>
      </c>
      <c r="E74" s="2">
        <f t="shared" si="3"/>
        <v>430</v>
      </c>
      <c r="F74" s="27">
        <f>M30</f>
        <v>4.5780000000000003</v>
      </c>
      <c r="G74" s="22">
        <f t="shared" si="4"/>
        <v>4.5780000000000003</v>
      </c>
    </row>
    <row r="75" spans="1:7" x14ac:dyDescent="0.25">
      <c r="A75" t="s">
        <v>143</v>
      </c>
      <c r="B75" s="2">
        <v>6</v>
      </c>
      <c r="C75" s="2">
        <v>400</v>
      </c>
      <c r="D75" s="49">
        <v>80</v>
      </c>
      <c r="E75" s="2">
        <f t="shared" si="3"/>
        <v>480</v>
      </c>
      <c r="F75" s="27">
        <f>M30</f>
        <v>4.5780000000000003</v>
      </c>
      <c r="G75" s="22">
        <f t="shared" si="4"/>
        <v>4.5780000000000003</v>
      </c>
    </row>
    <row r="76" spans="1:7" x14ac:dyDescent="0.25">
      <c r="A76" t="s">
        <v>145</v>
      </c>
      <c r="B76" s="2">
        <v>6</v>
      </c>
      <c r="C76" s="2">
        <v>500</v>
      </c>
      <c r="D76" s="49">
        <v>80</v>
      </c>
      <c r="E76" s="2">
        <f t="shared" si="3"/>
        <v>580</v>
      </c>
      <c r="F76" s="27">
        <f>M31</f>
        <v>6.8565000000000005</v>
      </c>
      <c r="G76" s="22">
        <f t="shared" si="4"/>
        <v>6.8565000000000005</v>
      </c>
    </row>
    <row r="77" spans="1:7" x14ac:dyDescent="0.25">
      <c r="A77" t="s">
        <v>147</v>
      </c>
      <c r="B77" s="2">
        <v>8</v>
      </c>
      <c r="C77" s="2">
        <v>100</v>
      </c>
      <c r="D77" s="49">
        <v>90</v>
      </c>
      <c r="E77" s="2">
        <f t="shared" si="3"/>
        <v>190</v>
      </c>
      <c r="F77" s="27">
        <f>M37</f>
        <v>1.9949999999999999</v>
      </c>
      <c r="G77" s="22">
        <f t="shared" si="4"/>
        <v>1.9949999999999999</v>
      </c>
    </row>
    <row r="78" spans="1:7" x14ac:dyDescent="0.25">
      <c r="A78" t="s">
        <v>149</v>
      </c>
      <c r="B78" s="2">
        <v>8</v>
      </c>
      <c r="C78" s="2">
        <v>125</v>
      </c>
      <c r="D78" s="49">
        <v>90</v>
      </c>
      <c r="E78" s="2">
        <f t="shared" si="3"/>
        <v>215</v>
      </c>
      <c r="F78" s="27">
        <f>M38</f>
        <v>3.0870000000000002</v>
      </c>
      <c r="G78" s="22">
        <f t="shared" si="4"/>
        <v>3.0870000000000002</v>
      </c>
    </row>
    <row r="79" spans="1:7" x14ac:dyDescent="0.25">
      <c r="A79" t="s">
        <v>151</v>
      </c>
      <c r="B79" s="2">
        <v>8</v>
      </c>
      <c r="C79" s="2">
        <v>150</v>
      </c>
      <c r="D79" s="49">
        <v>90</v>
      </c>
      <c r="E79" s="2">
        <f t="shared" si="3"/>
        <v>240</v>
      </c>
      <c r="F79" s="27">
        <f>M38</f>
        <v>3.0870000000000002</v>
      </c>
      <c r="G79" s="22">
        <f t="shared" si="4"/>
        <v>3.0870000000000002</v>
      </c>
    </row>
    <row r="80" spans="1:7" x14ac:dyDescent="0.25">
      <c r="A80" t="s">
        <v>153</v>
      </c>
      <c r="B80" s="2">
        <v>8</v>
      </c>
      <c r="C80" s="2">
        <v>175</v>
      </c>
      <c r="D80" s="49">
        <v>90</v>
      </c>
      <c r="E80" s="2">
        <f t="shared" si="3"/>
        <v>265</v>
      </c>
      <c r="F80" s="27">
        <f>M38</f>
        <v>3.0870000000000002</v>
      </c>
      <c r="G80" s="22">
        <f t="shared" si="4"/>
        <v>3.0870000000000002</v>
      </c>
    </row>
    <row r="81" spans="1:7" x14ac:dyDescent="0.25">
      <c r="A81" t="s">
        <v>155</v>
      </c>
      <c r="B81" s="2">
        <v>8</v>
      </c>
      <c r="C81" s="2">
        <v>200</v>
      </c>
      <c r="D81" s="49">
        <v>90</v>
      </c>
      <c r="E81" s="2">
        <f t="shared" si="3"/>
        <v>290</v>
      </c>
      <c r="F81" s="27">
        <f>M38</f>
        <v>3.0870000000000002</v>
      </c>
      <c r="G81" s="22">
        <f t="shared" si="4"/>
        <v>3.0870000000000002</v>
      </c>
    </row>
    <row r="82" spans="1:7" x14ac:dyDescent="0.25">
      <c r="A82" t="s">
        <v>157</v>
      </c>
      <c r="B82" s="2">
        <v>8</v>
      </c>
      <c r="C82" s="2">
        <v>250</v>
      </c>
      <c r="D82" s="49">
        <v>90</v>
      </c>
      <c r="E82" s="2">
        <f t="shared" si="3"/>
        <v>340</v>
      </c>
      <c r="F82" s="27">
        <f>M39</f>
        <v>5.3549999999999995</v>
      </c>
      <c r="G82" s="22">
        <f t="shared" si="4"/>
        <v>5.3549999999999995</v>
      </c>
    </row>
    <row r="83" spans="1:7" x14ac:dyDescent="0.25">
      <c r="A83" t="s">
        <v>159</v>
      </c>
      <c r="B83" s="2">
        <v>8</v>
      </c>
      <c r="C83" s="2">
        <v>300</v>
      </c>
      <c r="D83" s="49">
        <v>90</v>
      </c>
      <c r="E83" s="2">
        <f t="shared" si="3"/>
        <v>390</v>
      </c>
      <c r="F83" s="27">
        <f>M40</f>
        <v>7.665</v>
      </c>
      <c r="G83" s="22">
        <f t="shared" si="4"/>
        <v>7.665</v>
      </c>
    </row>
    <row r="84" spans="1:7" x14ac:dyDescent="0.25">
      <c r="A84" t="s">
        <v>161</v>
      </c>
      <c r="B84" s="2">
        <v>8</v>
      </c>
      <c r="C84" s="2">
        <v>350</v>
      </c>
      <c r="D84" s="49">
        <v>90</v>
      </c>
      <c r="E84" s="2">
        <f t="shared" si="3"/>
        <v>440</v>
      </c>
      <c r="F84" s="27">
        <f>M40</f>
        <v>7.665</v>
      </c>
      <c r="G84" s="22">
        <f t="shared" si="4"/>
        <v>7.665</v>
      </c>
    </row>
    <row r="85" spans="1:7" x14ac:dyDescent="0.25">
      <c r="A85" t="s">
        <v>163</v>
      </c>
      <c r="B85" s="2">
        <v>8</v>
      </c>
      <c r="C85" s="2">
        <v>400</v>
      </c>
      <c r="D85" s="49">
        <v>90</v>
      </c>
      <c r="E85" s="2">
        <f t="shared" si="3"/>
        <v>490</v>
      </c>
      <c r="F85" s="27">
        <f>M40</f>
        <v>7.665</v>
      </c>
      <c r="G85" s="22">
        <f t="shared" si="4"/>
        <v>7.665</v>
      </c>
    </row>
    <row r="86" spans="1:7" x14ac:dyDescent="0.25">
      <c r="A86" t="s">
        <v>165</v>
      </c>
      <c r="B86" s="2">
        <v>8</v>
      </c>
      <c r="C86" s="2">
        <v>500</v>
      </c>
      <c r="D86" s="49">
        <v>90</v>
      </c>
      <c r="E86" s="2">
        <f t="shared" si="3"/>
        <v>590</v>
      </c>
      <c r="F86" s="27">
        <f>M40</f>
        <v>7.665</v>
      </c>
      <c r="G86" s="22">
        <f t="shared" si="4"/>
        <v>7.665</v>
      </c>
    </row>
    <row r="87" spans="1:7" x14ac:dyDescent="0.25">
      <c r="A87" t="s">
        <v>177</v>
      </c>
      <c r="B87" s="2">
        <v>10</v>
      </c>
      <c r="C87" s="2">
        <v>200</v>
      </c>
      <c r="D87" s="49">
        <v>90</v>
      </c>
      <c r="E87" s="2">
        <f t="shared" si="3"/>
        <v>290</v>
      </c>
      <c r="F87" s="27">
        <f>M41</f>
        <v>2.415</v>
      </c>
      <c r="G87" s="22">
        <f t="shared" si="4"/>
        <v>2.415</v>
      </c>
    </row>
    <row r="88" spans="1:7" x14ac:dyDescent="0.25">
      <c r="A88" t="s">
        <v>179</v>
      </c>
      <c r="B88" s="2">
        <v>10</v>
      </c>
      <c r="C88" s="2">
        <v>250</v>
      </c>
      <c r="D88" s="49">
        <v>90</v>
      </c>
      <c r="E88" s="2">
        <f t="shared" si="3"/>
        <v>340</v>
      </c>
      <c r="F88" s="27">
        <f>M42</f>
        <v>6.8250000000000002</v>
      </c>
      <c r="G88" s="22">
        <f t="shared" si="4"/>
        <v>6.8250000000000002</v>
      </c>
    </row>
    <row r="89" spans="1:7" x14ac:dyDescent="0.25">
      <c r="A89" t="s">
        <v>181</v>
      </c>
      <c r="B89" s="2">
        <v>10</v>
      </c>
      <c r="C89" s="2">
        <v>300</v>
      </c>
      <c r="D89" s="49">
        <v>90</v>
      </c>
      <c r="E89" s="2">
        <f t="shared" si="3"/>
        <v>390</v>
      </c>
      <c r="F89" s="27">
        <f>M42</f>
        <v>6.8250000000000002</v>
      </c>
      <c r="G89" s="22">
        <f t="shared" si="4"/>
        <v>6.8250000000000002</v>
      </c>
    </row>
    <row r="90" spans="1:7" x14ac:dyDescent="0.25">
      <c r="A90" t="s">
        <v>183</v>
      </c>
      <c r="B90" s="2">
        <v>10</v>
      </c>
      <c r="C90" s="2">
        <v>400</v>
      </c>
      <c r="D90" s="49">
        <v>90</v>
      </c>
      <c r="E90" s="2">
        <f t="shared" si="3"/>
        <v>490</v>
      </c>
      <c r="F90" s="27">
        <f>M43</f>
        <v>7.665</v>
      </c>
      <c r="G90" s="22">
        <f t="shared" si="4"/>
        <v>7.665</v>
      </c>
    </row>
    <row r="91" spans="1:7" x14ac:dyDescent="0.25">
      <c r="A91" t="s">
        <v>185</v>
      </c>
      <c r="B91" s="2">
        <v>10</v>
      </c>
      <c r="C91" s="2">
        <v>500</v>
      </c>
      <c r="D91" s="49">
        <v>90</v>
      </c>
      <c r="E91" s="2">
        <f t="shared" si="3"/>
        <v>590</v>
      </c>
      <c r="F91" s="27">
        <f>M43</f>
        <v>7.665</v>
      </c>
      <c r="G91" s="22">
        <f t="shared" si="4"/>
        <v>7.665</v>
      </c>
    </row>
    <row r="92" spans="1:7" x14ac:dyDescent="0.25">
      <c r="A92" t="s">
        <v>299</v>
      </c>
      <c r="B92" s="2">
        <v>3</v>
      </c>
      <c r="C92" s="2">
        <v>60</v>
      </c>
      <c r="D92" s="49">
        <v>60</v>
      </c>
      <c r="E92" s="2">
        <f t="shared" si="3"/>
        <v>120</v>
      </c>
      <c r="F92" s="27">
        <f>M5</f>
        <v>1.1445000000000001</v>
      </c>
      <c r="G92" s="22">
        <f t="shared" si="4"/>
        <v>1.1445000000000001</v>
      </c>
    </row>
    <row r="93" spans="1:7" x14ac:dyDescent="0.25">
      <c r="A93" t="s">
        <v>187</v>
      </c>
      <c r="B93" s="2">
        <v>3</v>
      </c>
      <c r="C93" s="2">
        <v>75</v>
      </c>
      <c r="D93" s="49">
        <v>60</v>
      </c>
      <c r="E93" s="2">
        <f t="shared" si="3"/>
        <v>135</v>
      </c>
      <c r="F93" s="27">
        <f>M5</f>
        <v>1.1445000000000001</v>
      </c>
      <c r="G93" s="22">
        <f t="shared" si="4"/>
        <v>1.1445000000000001</v>
      </c>
    </row>
    <row r="94" spans="1:7" x14ac:dyDescent="0.25">
      <c r="A94" t="s">
        <v>189</v>
      </c>
      <c r="B94" s="2">
        <v>3</v>
      </c>
      <c r="C94" s="2">
        <v>100</v>
      </c>
      <c r="D94" s="49">
        <v>60</v>
      </c>
      <c r="E94" s="2">
        <f t="shared" si="3"/>
        <v>160</v>
      </c>
      <c r="F94" s="27">
        <f>M6</f>
        <v>1.827</v>
      </c>
      <c r="G94" s="22">
        <f t="shared" si="4"/>
        <v>1.827</v>
      </c>
    </row>
    <row r="95" spans="1:7" x14ac:dyDescent="0.25">
      <c r="A95" t="s">
        <v>191</v>
      </c>
      <c r="B95" s="2">
        <v>3</v>
      </c>
      <c r="C95" s="2">
        <v>125</v>
      </c>
      <c r="D95" s="49">
        <v>60</v>
      </c>
      <c r="E95" s="2">
        <f t="shared" si="3"/>
        <v>185</v>
      </c>
      <c r="F95" s="27">
        <f>M6</f>
        <v>1.827</v>
      </c>
      <c r="G95" s="22">
        <f t="shared" si="4"/>
        <v>1.827</v>
      </c>
    </row>
    <row r="96" spans="1:7" x14ac:dyDescent="0.25">
      <c r="A96" t="s">
        <v>193</v>
      </c>
      <c r="B96" s="2">
        <v>3</v>
      </c>
      <c r="C96" s="2">
        <v>150</v>
      </c>
      <c r="D96" s="49">
        <v>60</v>
      </c>
      <c r="E96" s="2">
        <f t="shared" si="3"/>
        <v>210</v>
      </c>
      <c r="F96" s="27">
        <f>M7</f>
        <v>3.8115000000000001</v>
      </c>
      <c r="G96" s="22">
        <f t="shared" si="4"/>
        <v>3.8115000000000001</v>
      </c>
    </row>
    <row r="97" spans="1:7" x14ac:dyDescent="0.25">
      <c r="A97" t="s">
        <v>195</v>
      </c>
      <c r="B97" s="2">
        <v>3</v>
      </c>
      <c r="C97" s="2">
        <v>200</v>
      </c>
      <c r="D97" s="49">
        <v>60</v>
      </c>
      <c r="E97" s="2">
        <f t="shared" si="3"/>
        <v>260</v>
      </c>
      <c r="F97" s="27">
        <f>M7</f>
        <v>3.8115000000000001</v>
      </c>
      <c r="G97" s="22">
        <f t="shared" si="4"/>
        <v>3.8115000000000001</v>
      </c>
    </row>
    <row r="98" spans="1:7" x14ac:dyDescent="0.25">
      <c r="A98" t="s">
        <v>199</v>
      </c>
      <c r="B98" s="2">
        <v>3</v>
      </c>
      <c r="C98" s="2">
        <v>250</v>
      </c>
      <c r="D98" s="49">
        <v>60</v>
      </c>
      <c r="E98" s="2">
        <f t="shared" si="3"/>
        <v>310</v>
      </c>
      <c r="F98" s="27">
        <f>M7</f>
        <v>3.8115000000000001</v>
      </c>
      <c r="G98" s="22">
        <f t="shared" si="4"/>
        <v>3.8115000000000001</v>
      </c>
    </row>
    <row r="99" spans="1:7" x14ac:dyDescent="0.25">
      <c r="A99" t="s">
        <v>197</v>
      </c>
      <c r="B99" s="2">
        <v>3</v>
      </c>
      <c r="C99" s="2">
        <v>300</v>
      </c>
      <c r="D99" s="49">
        <v>60</v>
      </c>
      <c r="E99" s="2">
        <f t="shared" si="3"/>
        <v>360</v>
      </c>
      <c r="F99" s="27">
        <f>M7</f>
        <v>3.8115000000000001</v>
      </c>
      <c r="G99" s="22">
        <f t="shared" si="4"/>
        <v>3.8115000000000001</v>
      </c>
    </row>
    <row r="100" spans="1:7" x14ac:dyDescent="0.25">
      <c r="A100" t="s">
        <v>201</v>
      </c>
      <c r="B100" s="2">
        <v>4</v>
      </c>
      <c r="C100" s="2">
        <v>80</v>
      </c>
      <c r="D100" s="49">
        <v>60</v>
      </c>
      <c r="E100" s="2">
        <f t="shared" si="3"/>
        <v>140</v>
      </c>
      <c r="F100" s="27">
        <f>M9</f>
        <v>1.1550000000000002</v>
      </c>
      <c r="G100" s="22">
        <f t="shared" si="4"/>
        <v>1.1550000000000002</v>
      </c>
    </row>
    <row r="101" spans="1:7" x14ac:dyDescent="0.25">
      <c r="A101" t="s">
        <v>203</v>
      </c>
      <c r="B101" s="2">
        <v>4</v>
      </c>
      <c r="C101" s="2">
        <v>100</v>
      </c>
      <c r="D101" s="49">
        <v>60</v>
      </c>
      <c r="E101" s="2">
        <f t="shared" si="3"/>
        <v>160</v>
      </c>
      <c r="F101" s="27">
        <f>M10</f>
        <v>1.47</v>
      </c>
      <c r="G101" s="22">
        <f t="shared" si="4"/>
        <v>1.47</v>
      </c>
    </row>
    <row r="102" spans="1:7" x14ac:dyDescent="0.25">
      <c r="A102" t="s">
        <v>205</v>
      </c>
      <c r="B102" s="2">
        <v>4</v>
      </c>
      <c r="C102" s="2">
        <v>125</v>
      </c>
      <c r="D102" s="49">
        <v>60</v>
      </c>
      <c r="E102" s="2">
        <f t="shared" si="3"/>
        <v>185</v>
      </c>
      <c r="F102" s="27">
        <f>M10</f>
        <v>1.47</v>
      </c>
      <c r="G102" s="22">
        <f t="shared" si="4"/>
        <v>1.47</v>
      </c>
    </row>
    <row r="103" spans="1:7" x14ac:dyDescent="0.25">
      <c r="A103" t="s">
        <v>207</v>
      </c>
      <c r="B103" s="2">
        <v>4</v>
      </c>
      <c r="C103" s="2">
        <v>150</v>
      </c>
      <c r="D103" s="49">
        <v>60</v>
      </c>
      <c r="E103" s="2">
        <f t="shared" si="3"/>
        <v>210</v>
      </c>
      <c r="F103" s="27">
        <f>M11</f>
        <v>1.8900000000000001</v>
      </c>
      <c r="G103" s="22">
        <f t="shared" si="4"/>
        <v>1.8900000000000001</v>
      </c>
    </row>
    <row r="104" spans="1:7" x14ac:dyDescent="0.25">
      <c r="A104" t="s">
        <v>209</v>
      </c>
      <c r="B104" s="2">
        <v>4</v>
      </c>
      <c r="C104" s="2">
        <v>200</v>
      </c>
      <c r="D104" s="49">
        <v>60</v>
      </c>
      <c r="E104" s="2">
        <f t="shared" si="3"/>
        <v>260</v>
      </c>
      <c r="F104" s="27">
        <f>M12</f>
        <v>2.2890000000000001</v>
      </c>
      <c r="G104" s="22">
        <f t="shared" si="4"/>
        <v>2.2890000000000001</v>
      </c>
    </row>
    <row r="105" spans="1:7" x14ac:dyDescent="0.25">
      <c r="A105" t="s">
        <v>217</v>
      </c>
      <c r="B105" s="2">
        <v>4</v>
      </c>
      <c r="C105" s="2">
        <v>250</v>
      </c>
      <c r="D105" s="49">
        <v>60</v>
      </c>
      <c r="E105" s="2">
        <f t="shared" si="3"/>
        <v>310</v>
      </c>
      <c r="F105" s="27">
        <f>M13</f>
        <v>3.8115000000000001</v>
      </c>
      <c r="G105" s="22">
        <f t="shared" si="4"/>
        <v>3.8115000000000001</v>
      </c>
    </row>
    <row r="106" spans="1:7" x14ac:dyDescent="0.25">
      <c r="A106" t="s">
        <v>211</v>
      </c>
      <c r="B106" s="2">
        <v>4</v>
      </c>
      <c r="C106" s="2">
        <v>300</v>
      </c>
      <c r="D106" s="49">
        <v>60</v>
      </c>
      <c r="E106" s="2">
        <f t="shared" si="3"/>
        <v>360</v>
      </c>
      <c r="F106" s="27">
        <f>M13</f>
        <v>3.8115000000000001</v>
      </c>
      <c r="G106" s="22">
        <f t="shared" si="4"/>
        <v>3.8115000000000001</v>
      </c>
    </row>
    <row r="107" spans="1:7" x14ac:dyDescent="0.25">
      <c r="A107" t="s">
        <v>213</v>
      </c>
      <c r="B107" s="2">
        <v>4</v>
      </c>
      <c r="C107" s="2">
        <v>350</v>
      </c>
      <c r="D107" s="49">
        <v>60</v>
      </c>
      <c r="E107" s="2">
        <f t="shared" si="3"/>
        <v>410</v>
      </c>
      <c r="F107" s="27">
        <f>M14</f>
        <v>4.5780000000000003</v>
      </c>
      <c r="G107" s="22">
        <f t="shared" si="4"/>
        <v>4.5780000000000003</v>
      </c>
    </row>
    <row r="108" spans="1:7" x14ac:dyDescent="0.25">
      <c r="A108" t="s">
        <v>215</v>
      </c>
      <c r="B108" s="2">
        <v>4</v>
      </c>
      <c r="C108" s="2">
        <v>400</v>
      </c>
      <c r="D108" s="49">
        <v>60</v>
      </c>
      <c r="E108" s="2">
        <f t="shared" si="3"/>
        <v>460</v>
      </c>
      <c r="F108" s="27">
        <f>M14</f>
        <v>4.5780000000000003</v>
      </c>
      <c r="G108" s="22">
        <f t="shared" si="4"/>
        <v>4.5780000000000003</v>
      </c>
    </row>
    <row r="109" spans="1:7" x14ac:dyDescent="0.25">
      <c r="A109" t="s">
        <v>219</v>
      </c>
      <c r="B109" s="2">
        <v>4</v>
      </c>
      <c r="C109" s="2">
        <v>500</v>
      </c>
      <c r="D109" s="49">
        <v>60</v>
      </c>
      <c r="E109" s="2">
        <f t="shared" si="3"/>
        <v>560</v>
      </c>
      <c r="F109" s="27">
        <f>M14</f>
        <v>4.5780000000000003</v>
      </c>
      <c r="G109" s="22">
        <f t="shared" si="4"/>
        <v>4.5780000000000003</v>
      </c>
    </row>
    <row r="110" spans="1:7" x14ac:dyDescent="0.25">
      <c r="A110" t="s">
        <v>295</v>
      </c>
      <c r="B110" s="2">
        <v>5</v>
      </c>
      <c r="C110" s="2">
        <v>38</v>
      </c>
      <c r="D110" s="49">
        <v>45</v>
      </c>
      <c r="E110" s="2">
        <f t="shared" si="3"/>
        <v>83</v>
      </c>
      <c r="F110" s="27">
        <f>M15</f>
        <v>0.91349999999999998</v>
      </c>
      <c r="G110" s="22">
        <f t="shared" si="4"/>
        <v>0.91349999999999998</v>
      </c>
    </row>
    <row r="111" spans="1:7" x14ac:dyDescent="0.25">
      <c r="A111" t="s">
        <v>221</v>
      </c>
      <c r="B111" s="2">
        <v>5</v>
      </c>
      <c r="C111" s="2">
        <v>80</v>
      </c>
      <c r="D111" s="49">
        <v>60</v>
      </c>
      <c r="E111" s="2">
        <f t="shared" si="3"/>
        <v>140</v>
      </c>
      <c r="F111" s="27">
        <f>M16</f>
        <v>1.1550000000000002</v>
      </c>
      <c r="G111" s="22">
        <f t="shared" si="4"/>
        <v>1.1550000000000002</v>
      </c>
    </row>
    <row r="112" spans="1:7" x14ac:dyDescent="0.25">
      <c r="A112" t="s">
        <v>223</v>
      </c>
      <c r="B112" s="2">
        <v>5</v>
      </c>
      <c r="C112" s="2">
        <v>100</v>
      </c>
      <c r="D112" s="49">
        <v>60</v>
      </c>
      <c r="E112" s="2">
        <f t="shared" si="3"/>
        <v>160</v>
      </c>
      <c r="F112" s="27">
        <f>M17</f>
        <v>1.47</v>
      </c>
      <c r="G112" s="22">
        <f t="shared" si="4"/>
        <v>1.47</v>
      </c>
    </row>
    <row r="113" spans="1:7" x14ac:dyDescent="0.25">
      <c r="A113" t="s">
        <v>225</v>
      </c>
      <c r="B113" s="2">
        <v>5</v>
      </c>
      <c r="C113" s="2">
        <v>125</v>
      </c>
      <c r="D113" s="49">
        <v>60</v>
      </c>
      <c r="E113" s="2">
        <f t="shared" si="3"/>
        <v>185</v>
      </c>
      <c r="F113" s="27">
        <f>M17</f>
        <v>1.47</v>
      </c>
      <c r="G113" s="22">
        <f t="shared" si="4"/>
        <v>1.47</v>
      </c>
    </row>
    <row r="114" spans="1:7" x14ac:dyDescent="0.25">
      <c r="A114" t="s">
        <v>227</v>
      </c>
      <c r="B114" s="2">
        <v>5</v>
      </c>
      <c r="C114" s="2">
        <v>150</v>
      </c>
      <c r="D114" s="49">
        <v>60</v>
      </c>
      <c r="E114" s="2">
        <f t="shared" si="3"/>
        <v>210</v>
      </c>
      <c r="F114" s="27">
        <f>M18</f>
        <v>1.8900000000000001</v>
      </c>
      <c r="G114" s="22">
        <f t="shared" si="4"/>
        <v>1.8900000000000001</v>
      </c>
    </row>
    <row r="115" spans="1:7" x14ac:dyDescent="0.25">
      <c r="A115" t="s">
        <v>229</v>
      </c>
      <c r="B115" s="2">
        <v>5</v>
      </c>
      <c r="C115" s="2">
        <v>200</v>
      </c>
      <c r="D115" s="49">
        <v>60</v>
      </c>
      <c r="E115" s="2">
        <f t="shared" si="3"/>
        <v>260</v>
      </c>
      <c r="F115" s="27">
        <f>M19</f>
        <v>2.625</v>
      </c>
      <c r="G115" s="22">
        <f t="shared" si="4"/>
        <v>2.625</v>
      </c>
    </row>
    <row r="116" spans="1:7" x14ac:dyDescent="0.25">
      <c r="A116" t="s">
        <v>231</v>
      </c>
      <c r="B116" s="2">
        <v>5</v>
      </c>
      <c r="C116" s="2">
        <v>250</v>
      </c>
      <c r="D116" s="49">
        <v>60</v>
      </c>
      <c r="E116" s="2">
        <f t="shared" si="3"/>
        <v>310</v>
      </c>
      <c r="F116" s="27">
        <f>M21</f>
        <v>3.8115000000000001</v>
      </c>
      <c r="G116" s="22">
        <f t="shared" si="4"/>
        <v>3.8115000000000001</v>
      </c>
    </row>
    <row r="117" spans="1:7" x14ac:dyDescent="0.25">
      <c r="A117" t="s">
        <v>233</v>
      </c>
      <c r="B117" s="2">
        <v>5</v>
      </c>
      <c r="C117" s="2">
        <v>300</v>
      </c>
      <c r="D117" s="49">
        <v>60</v>
      </c>
      <c r="E117" s="2">
        <f t="shared" si="3"/>
        <v>360</v>
      </c>
      <c r="F117" s="27">
        <f>M21</f>
        <v>3.8115000000000001</v>
      </c>
      <c r="G117" s="22">
        <f t="shared" si="4"/>
        <v>3.8115000000000001</v>
      </c>
    </row>
    <row r="118" spans="1:7" x14ac:dyDescent="0.25">
      <c r="A118" t="s">
        <v>235</v>
      </c>
      <c r="B118" s="2">
        <v>5</v>
      </c>
      <c r="C118" s="2">
        <v>350</v>
      </c>
      <c r="D118" s="49">
        <v>60</v>
      </c>
      <c r="E118" s="2">
        <f t="shared" si="3"/>
        <v>410</v>
      </c>
      <c r="F118" s="27">
        <f>M22</f>
        <v>4.8615000000000004</v>
      </c>
      <c r="G118" s="22">
        <f t="shared" si="4"/>
        <v>4.8615000000000004</v>
      </c>
    </row>
    <row r="119" spans="1:7" x14ac:dyDescent="0.25">
      <c r="A119" t="s">
        <v>237</v>
      </c>
      <c r="B119" s="2">
        <v>5</v>
      </c>
      <c r="C119" s="2">
        <v>400</v>
      </c>
      <c r="D119" s="49">
        <v>60</v>
      </c>
      <c r="E119" s="2">
        <f t="shared" si="3"/>
        <v>460</v>
      </c>
      <c r="F119" s="27">
        <f>M22</f>
        <v>4.8615000000000004</v>
      </c>
      <c r="G119" s="22">
        <f t="shared" si="4"/>
        <v>4.8615000000000004</v>
      </c>
    </row>
    <row r="120" spans="1:7" x14ac:dyDescent="0.25">
      <c r="A120" t="s">
        <v>239</v>
      </c>
      <c r="B120" s="2">
        <v>5</v>
      </c>
      <c r="C120" s="2">
        <v>500</v>
      </c>
      <c r="D120" s="49">
        <v>60</v>
      </c>
      <c r="E120" s="2">
        <f t="shared" si="3"/>
        <v>560</v>
      </c>
      <c r="F120" s="27">
        <f>M23</f>
        <v>6.8565000000000005</v>
      </c>
      <c r="G120" s="22">
        <f t="shared" si="4"/>
        <v>6.8565000000000005</v>
      </c>
    </row>
    <row r="121" spans="1:7" x14ac:dyDescent="0.25">
      <c r="A121" t="s">
        <v>297</v>
      </c>
      <c r="B121" s="2">
        <v>6</v>
      </c>
      <c r="C121" s="2">
        <v>38</v>
      </c>
      <c r="D121" s="49">
        <v>45</v>
      </c>
      <c r="E121" s="2">
        <f t="shared" si="3"/>
        <v>83</v>
      </c>
      <c r="F121" s="27">
        <f>M24</f>
        <v>0.91349999999999998</v>
      </c>
      <c r="G121" s="22">
        <f t="shared" si="4"/>
        <v>0.91349999999999998</v>
      </c>
    </row>
    <row r="122" spans="1:7" x14ac:dyDescent="0.25">
      <c r="A122" t="s">
        <v>241</v>
      </c>
      <c r="B122" s="2">
        <v>6</v>
      </c>
      <c r="C122" s="2">
        <v>100</v>
      </c>
      <c r="D122" s="49">
        <v>80</v>
      </c>
      <c r="E122" s="2">
        <f t="shared" si="3"/>
        <v>180</v>
      </c>
      <c r="F122" s="27">
        <f>M26</f>
        <v>1.47</v>
      </c>
      <c r="G122" s="22">
        <f t="shared" si="4"/>
        <v>1.47</v>
      </c>
    </row>
    <row r="123" spans="1:7" x14ac:dyDescent="0.25">
      <c r="A123" t="s">
        <v>243</v>
      </c>
      <c r="B123" s="2">
        <v>6</v>
      </c>
      <c r="C123" s="2">
        <v>125</v>
      </c>
      <c r="D123" s="49">
        <v>80</v>
      </c>
      <c r="E123" s="2">
        <f t="shared" si="3"/>
        <v>205</v>
      </c>
      <c r="F123" s="27">
        <f>M27</f>
        <v>1.8900000000000001</v>
      </c>
      <c r="G123" s="22">
        <f t="shared" si="4"/>
        <v>1.8900000000000001</v>
      </c>
    </row>
    <row r="124" spans="1:7" x14ac:dyDescent="0.25">
      <c r="A124" t="s">
        <v>245</v>
      </c>
      <c r="B124" s="2">
        <v>6</v>
      </c>
      <c r="C124" s="2">
        <v>150</v>
      </c>
      <c r="D124" s="49">
        <v>80</v>
      </c>
      <c r="E124" s="2">
        <f t="shared" si="3"/>
        <v>230</v>
      </c>
      <c r="F124" s="27">
        <f>M27</f>
        <v>1.8900000000000001</v>
      </c>
      <c r="G124" s="22">
        <f t="shared" si="4"/>
        <v>1.8900000000000001</v>
      </c>
    </row>
    <row r="125" spans="1:7" x14ac:dyDescent="0.25">
      <c r="A125" t="s">
        <v>247</v>
      </c>
      <c r="B125" s="2">
        <v>6</v>
      </c>
      <c r="C125" s="2">
        <v>200</v>
      </c>
      <c r="D125" s="49">
        <v>80</v>
      </c>
      <c r="E125" s="2">
        <f t="shared" si="3"/>
        <v>280</v>
      </c>
      <c r="F125" s="27">
        <f>M28</f>
        <v>3.8115000000000001</v>
      </c>
      <c r="G125" s="22">
        <f t="shared" si="4"/>
        <v>3.8115000000000001</v>
      </c>
    </row>
    <row r="126" spans="1:7" x14ac:dyDescent="0.25">
      <c r="A126" t="s">
        <v>249</v>
      </c>
      <c r="B126" s="2">
        <v>6</v>
      </c>
      <c r="C126" s="2">
        <v>250</v>
      </c>
      <c r="D126" s="49">
        <v>80</v>
      </c>
      <c r="E126" s="2">
        <f t="shared" si="3"/>
        <v>330</v>
      </c>
      <c r="F126" s="27">
        <f>M29</f>
        <v>3.7800000000000002</v>
      </c>
      <c r="G126" s="22">
        <f t="shared" si="4"/>
        <v>3.7800000000000002</v>
      </c>
    </row>
    <row r="127" spans="1:7" x14ac:dyDescent="0.25">
      <c r="A127" t="s">
        <v>251</v>
      </c>
      <c r="B127" s="2">
        <v>6</v>
      </c>
      <c r="C127" s="2">
        <v>300</v>
      </c>
      <c r="D127" s="49">
        <v>80</v>
      </c>
      <c r="E127" s="2">
        <f t="shared" si="3"/>
        <v>380</v>
      </c>
      <c r="F127" s="27">
        <f>M29</f>
        <v>3.7800000000000002</v>
      </c>
      <c r="G127" s="22">
        <f t="shared" si="4"/>
        <v>3.7800000000000002</v>
      </c>
    </row>
    <row r="128" spans="1:7" x14ac:dyDescent="0.25">
      <c r="A128" t="s">
        <v>253</v>
      </c>
      <c r="B128" s="2">
        <v>6</v>
      </c>
      <c r="C128" s="2">
        <v>350</v>
      </c>
      <c r="D128" s="49">
        <v>80</v>
      </c>
      <c r="E128" s="2">
        <f t="shared" si="3"/>
        <v>430</v>
      </c>
      <c r="F128" s="27">
        <f>M30</f>
        <v>4.5780000000000003</v>
      </c>
      <c r="G128" s="22">
        <f t="shared" si="4"/>
        <v>4.5780000000000003</v>
      </c>
    </row>
    <row r="129" spans="1:7" x14ac:dyDescent="0.25">
      <c r="A129" t="s">
        <v>255</v>
      </c>
      <c r="B129" s="2">
        <v>6</v>
      </c>
      <c r="C129" s="2">
        <v>400</v>
      </c>
      <c r="D129" s="49">
        <v>80</v>
      </c>
      <c r="E129" s="2">
        <f t="shared" si="3"/>
        <v>480</v>
      </c>
      <c r="F129" s="27">
        <f>M30</f>
        <v>4.5780000000000003</v>
      </c>
      <c r="G129" s="22">
        <f t="shared" si="4"/>
        <v>4.5780000000000003</v>
      </c>
    </row>
    <row r="130" spans="1:7" x14ac:dyDescent="0.25">
      <c r="A130" t="s">
        <v>257</v>
      </c>
      <c r="B130" s="2">
        <v>6</v>
      </c>
      <c r="C130" s="2">
        <v>450</v>
      </c>
      <c r="D130" s="49">
        <v>80</v>
      </c>
      <c r="E130" s="2">
        <f t="shared" si="3"/>
        <v>530</v>
      </c>
      <c r="F130" s="27">
        <f>M31</f>
        <v>6.8565000000000005</v>
      </c>
      <c r="G130" s="22">
        <f t="shared" si="4"/>
        <v>6.8565000000000005</v>
      </c>
    </row>
    <row r="131" spans="1:7" x14ac:dyDescent="0.25">
      <c r="A131" t="s">
        <v>259</v>
      </c>
      <c r="B131" s="2">
        <v>6</v>
      </c>
      <c r="C131" s="2">
        <v>500</v>
      </c>
      <c r="D131" s="49">
        <v>80</v>
      </c>
      <c r="E131" s="2">
        <f t="shared" si="3"/>
        <v>580</v>
      </c>
      <c r="F131" s="27">
        <f>M31</f>
        <v>6.8565000000000005</v>
      </c>
      <c r="G131" s="22">
        <f t="shared" si="4"/>
        <v>6.8565000000000005</v>
      </c>
    </row>
    <row r="132" spans="1:7" x14ac:dyDescent="0.25">
      <c r="A132" t="s">
        <v>261</v>
      </c>
      <c r="B132" s="2">
        <v>7</v>
      </c>
      <c r="C132" s="2">
        <v>150</v>
      </c>
      <c r="D132" s="49">
        <v>90</v>
      </c>
      <c r="E132" s="2">
        <f t="shared" si="3"/>
        <v>240</v>
      </c>
      <c r="F132" s="27">
        <f>M33</f>
        <v>3.0870000000000002</v>
      </c>
      <c r="G132" s="22">
        <f t="shared" si="4"/>
        <v>3.0870000000000002</v>
      </c>
    </row>
    <row r="133" spans="1:7" x14ac:dyDescent="0.25">
      <c r="A133" t="s">
        <v>263</v>
      </c>
      <c r="B133" s="2">
        <v>7</v>
      </c>
      <c r="C133" s="2">
        <v>175</v>
      </c>
      <c r="D133" s="49">
        <v>90</v>
      </c>
      <c r="E133" s="2">
        <f t="shared" ref="E133:E196" si="5">D133+C133</f>
        <v>265</v>
      </c>
      <c r="F133" s="27">
        <f>M34</f>
        <v>3.0870000000000002</v>
      </c>
      <c r="G133" s="22">
        <f t="shared" ref="G133:G196" si="6">F133</f>
        <v>3.0870000000000002</v>
      </c>
    </row>
    <row r="134" spans="1:7" x14ac:dyDescent="0.25">
      <c r="A134" t="s">
        <v>265</v>
      </c>
      <c r="B134" s="2">
        <v>7</v>
      </c>
      <c r="C134" s="2">
        <v>200</v>
      </c>
      <c r="D134" s="49">
        <v>90</v>
      </c>
      <c r="E134" s="2">
        <f t="shared" si="5"/>
        <v>290</v>
      </c>
      <c r="F134" s="27">
        <f>M34</f>
        <v>3.0870000000000002</v>
      </c>
      <c r="G134" s="22">
        <f t="shared" si="6"/>
        <v>3.0870000000000002</v>
      </c>
    </row>
    <row r="135" spans="1:7" x14ac:dyDescent="0.25">
      <c r="A135" t="s">
        <v>267</v>
      </c>
      <c r="B135" s="2">
        <v>7</v>
      </c>
      <c r="C135" s="2">
        <v>250</v>
      </c>
      <c r="D135" s="49">
        <v>90</v>
      </c>
      <c r="E135" s="2">
        <f t="shared" si="5"/>
        <v>340</v>
      </c>
      <c r="F135" s="27">
        <f>M35</f>
        <v>5.3549999999999995</v>
      </c>
      <c r="G135" s="22">
        <f t="shared" si="6"/>
        <v>5.3549999999999995</v>
      </c>
    </row>
    <row r="136" spans="1:7" x14ac:dyDescent="0.25">
      <c r="A136" t="s">
        <v>269</v>
      </c>
      <c r="B136" s="2">
        <v>7</v>
      </c>
      <c r="C136" s="2">
        <v>300</v>
      </c>
      <c r="D136" s="49">
        <v>90</v>
      </c>
      <c r="E136" s="2">
        <f t="shared" si="5"/>
        <v>390</v>
      </c>
      <c r="F136" s="27">
        <f>M35</f>
        <v>5.3549999999999995</v>
      </c>
      <c r="G136" s="22">
        <f t="shared" si="6"/>
        <v>5.3549999999999995</v>
      </c>
    </row>
    <row r="137" spans="1:7" x14ac:dyDescent="0.25">
      <c r="A137" t="s">
        <v>271</v>
      </c>
      <c r="B137" s="2">
        <v>7</v>
      </c>
      <c r="C137" s="2">
        <v>350</v>
      </c>
      <c r="D137" s="49">
        <v>90</v>
      </c>
      <c r="E137" s="2">
        <f t="shared" si="5"/>
        <v>440</v>
      </c>
      <c r="F137" s="27">
        <f>M36</f>
        <v>7.665</v>
      </c>
      <c r="G137" s="22">
        <f t="shared" si="6"/>
        <v>7.665</v>
      </c>
    </row>
    <row r="138" spans="1:7" x14ac:dyDescent="0.25">
      <c r="A138" t="s">
        <v>273</v>
      </c>
      <c r="B138" s="2">
        <v>7</v>
      </c>
      <c r="C138" s="2">
        <v>400</v>
      </c>
      <c r="D138" s="49">
        <v>90</v>
      </c>
      <c r="E138" s="2">
        <f t="shared" si="5"/>
        <v>490</v>
      </c>
      <c r="F138" s="27">
        <f>M36</f>
        <v>7.665</v>
      </c>
      <c r="G138" s="22">
        <f t="shared" si="6"/>
        <v>7.665</v>
      </c>
    </row>
    <row r="139" spans="1:7" x14ac:dyDescent="0.25">
      <c r="A139" t="s">
        <v>275</v>
      </c>
      <c r="B139" s="2">
        <v>7</v>
      </c>
      <c r="C139" s="2">
        <v>450</v>
      </c>
      <c r="D139" s="49">
        <v>90</v>
      </c>
      <c r="E139" s="2">
        <f t="shared" si="5"/>
        <v>540</v>
      </c>
      <c r="F139" s="27">
        <f>M36</f>
        <v>7.665</v>
      </c>
      <c r="G139" s="22">
        <f t="shared" si="6"/>
        <v>7.665</v>
      </c>
    </row>
    <row r="140" spans="1:7" x14ac:dyDescent="0.25">
      <c r="A140" t="s">
        <v>277</v>
      </c>
      <c r="B140" s="2">
        <v>7</v>
      </c>
      <c r="C140" s="2">
        <v>500</v>
      </c>
      <c r="D140" s="49">
        <v>90</v>
      </c>
      <c r="E140" s="2">
        <f t="shared" si="5"/>
        <v>590</v>
      </c>
      <c r="F140" s="27">
        <f>M36</f>
        <v>7.665</v>
      </c>
      <c r="G140" s="22">
        <f t="shared" si="6"/>
        <v>7.665</v>
      </c>
    </row>
    <row r="141" spans="1:7" x14ac:dyDescent="0.25">
      <c r="A141" t="s">
        <v>279</v>
      </c>
      <c r="B141" s="2">
        <v>8</v>
      </c>
      <c r="C141" s="2">
        <v>175</v>
      </c>
      <c r="D141" s="49">
        <v>90</v>
      </c>
      <c r="E141" s="2">
        <f t="shared" si="5"/>
        <v>265</v>
      </c>
      <c r="F141" s="27">
        <f>M38</f>
        <v>3.0870000000000002</v>
      </c>
      <c r="G141" s="22">
        <f t="shared" si="6"/>
        <v>3.0870000000000002</v>
      </c>
    </row>
    <row r="142" spans="1:7" x14ac:dyDescent="0.25">
      <c r="A142" t="s">
        <v>281</v>
      </c>
      <c r="B142" s="2">
        <v>8</v>
      </c>
      <c r="C142" s="2">
        <v>200</v>
      </c>
      <c r="D142" s="49">
        <v>90</v>
      </c>
      <c r="E142" s="2">
        <f t="shared" si="5"/>
        <v>290</v>
      </c>
      <c r="F142" s="27">
        <f>M38</f>
        <v>3.0870000000000002</v>
      </c>
      <c r="G142" s="22">
        <f t="shared" si="6"/>
        <v>3.0870000000000002</v>
      </c>
    </row>
    <row r="143" spans="1:7" x14ac:dyDescent="0.25">
      <c r="A143" t="s">
        <v>283</v>
      </c>
      <c r="B143" s="2">
        <v>8</v>
      </c>
      <c r="C143" s="2">
        <v>250</v>
      </c>
      <c r="D143" s="49">
        <v>90</v>
      </c>
      <c r="E143" s="2">
        <f t="shared" si="5"/>
        <v>340</v>
      </c>
      <c r="F143" s="27">
        <f>M39</f>
        <v>5.3549999999999995</v>
      </c>
      <c r="G143" s="22">
        <f t="shared" si="6"/>
        <v>5.3549999999999995</v>
      </c>
    </row>
    <row r="144" spans="1:7" x14ac:dyDescent="0.25">
      <c r="A144" t="s">
        <v>285</v>
      </c>
      <c r="B144" s="2">
        <v>8</v>
      </c>
      <c r="C144" s="2">
        <v>300</v>
      </c>
      <c r="D144" s="49">
        <v>90</v>
      </c>
      <c r="E144" s="2">
        <f t="shared" si="5"/>
        <v>390</v>
      </c>
      <c r="F144" s="27">
        <f>M39</f>
        <v>5.3549999999999995</v>
      </c>
      <c r="G144" s="22">
        <f t="shared" si="6"/>
        <v>5.3549999999999995</v>
      </c>
    </row>
    <row r="145" spans="1:7" x14ac:dyDescent="0.25">
      <c r="A145" t="s">
        <v>287</v>
      </c>
      <c r="B145" s="2">
        <v>8</v>
      </c>
      <c r="C145" s="2">
        <v>350</v>
      </c>
      <c r="D145" s="49">
        <v>90</v>
      </c>
      <c r="E145" s="2">
        <f t="shared" si="5"/>
        <v>440</v>
      </c>
      <c r="F145" s="27">
        <f>M40</f>
        <v>7.665</v>
      </c>
      <c r="G145" s="22">
        <f t="shared" si="6"/>
        <v>7.665</v>
      </c>
    </row>
    <row r="146" spans="1:7" x14ac:dyDescent="0.25">
      <c r="A146" t="s">
        <v>289</v>
      </c>
      <c r="B146" s="2">
        <v>8</v>
      </c>
      <c r="C146" s="2">
        <v>400</v>
      </c>
      <c r="D146" s="49">
        <v>90</v>
      </c>
      <c r="E146" s="2">
        <f t="shared" si="5"/>
        <v>490</v>
      </c>
      <c r="F146" s="27">
        <f>M40</f>
        <v>7.665</v>
      </c>
      <c r="G146" s="22">
        <f t="shared" si="6"/>
        <v>7.665</v>
      </c>
    </row>
    <row r="147" spans="1:7" x14ac:dyDescent="0.25">
      <c r="A147" t="s">
        <v>291</v>
      </c>
      <c r="B147" s="2">
        <v>8</v>
      </c>
      <c r="C147" s="2">
        <v>450</v>
      </c>
      <c r="D147" s="49">
        <v>90</v>
      </c>
      <c r="E147" s="2">
        <f t="shared" si="5"/>
        <v>540</v>
      </c>
      <c r="F147" s="27">
        <f>M40</f>
        <v>7.665</v>
      </c>
      <c r="G147" s="22">
        <f t="shared" si="6"/>
        <v>7.665</v>
      </c>
    </row>
    <row r="148" spans="1:7" x14ac:dyDescent="0.25">
      <c r="A148" t="s">
        <v>293</v>
      </c>
      <c r="B148" s="2">
        <v>8</v>
      </c>
      <c r="C148" s="2">
        <v>500</v>
      </c>
      <c r="D148" s="49">
        <v>90</v>
      </c>
      <c r="E148" s="2">
        <f t="shared" si="5"/>
        <v>590</v>
      </c>
      <c r="F148" s="27">
        <f>M40</f>
        <v>7.665</v>
      </c>
      <c r="G148" s="22">
        <f t="shared" si="6"/>
        <v>7.665</v>
      </c>
    </row>
    <row r="149" spans="1:7" x14ac:dyDescent="0.25">
      <c r="A149" t="s">
        <v>349</v>
      </c>
      <c r="B149" s="2">
        <v>3</v>
      </c>
      <c r="C149" s="2">
        <v>60</v>
      </c>
      <c r="D149" s="49">
        <v>60</v>
      </c>
      <c r="E149" s="2">
        <f t="shared" si="5"/>
        <v>120</v>
      </c>
      <c r="F149" s="27">
        <f>M5</f>
        <v>1.1445000000000001</v>
      </c>
      <c r="G149" s="22">
        <f t="shared" si="6"/>
        <v>1.1445000000000001</v>
      </c>
    </row>
    <row r="150" spans="1:7" x14ac:dyDescent="0.25">
      <c r="A150" t="s">
        <v>351</v>
      </c>
      <c r="B150" s="2">
        <v>3</v>
      </c>
      <c r="C150" s="2">
        <v>75</v>
      </c>
      <c r="D150" s="49">
        <v>60</v>
      </c>
      <c r="E150" s="2">
        <f t="shared" si="5"/>
        <v>135</v>
      </c>
      <c r="F150" s="27">
        <f>M5</f>
        <v>1.1445000000000001</v>
      </c>
      <c r="G150" s="22">
        <f t="shared" si="6"/>
        <v>1.1445000000000001</v>
      </c>
    </row>
    <row r="151" spans="1:7" x14ac:dyDescent="0.25">
      <c r="A151" t="s">
        <v>353</v>
      </c>
      <c r="B151" s="2">
        <v>3</v>
      </c>
      <c r="C151" s="2">
        <v>100</v>
      </c>
      <c r="D151" s="49">
        <v>60</v>
      </c>
      <c r="E151" s="2">
        <f t="shared" si="5"/>
        <v>160</v>
      </c>
      <c r="F151" s="27">
        <f>M6</f>
        <v>1.827</v>
      </c>
      <c r="G151" s="22">
        <f t="shared" si="6"/>
        <v>1.827</v>
      </c>
    </row>
    <row r="152" spans="1:7" x14ac:dyDescent="0.25">
      <c r="A152" t="s">
        <v>355</v>
      </c>
      <c r="B152" s="2">
        <v>3</v>
      </c>
      <c r="C152" s="2">
        <v>125</v>
      </c>
      <c r="D152" s="49">
        <v>60</v>
      </c>
      <c r="E152" s="2">
        <f t="shared" si="5"/>
        <v>185</v>
      </c>
      <c r="F152" s="27">
        <f>M6</f>
        <v>1.827</v>
      </c>
      <c r="G152" s="22">
        <f t="shared" si="6"/>
        <v>1.827</v>
      </c>
    </row>
    <row r="153" spans="1:7" x14ac:dyDescent="0.25">
      <c r="A153" t="s">
        <v>357</v>
      </c>
      <c r="B153" s="2">
        <v>3</v>
      </c>
      <c r="C153" s="2">
        <v>150</v>
      </c>
      <c r="D153" s="49">
        <v>60</v>
      </c>
      <c r="E153" s="2">
        <f t="shared" si="5"/>
        <v>210</v>
      </c>
      <c r="F153" s="27">
        <f>M6</f>
        <v>1.827</v>
      </c>
      <c r="G153" s="22">
        <f t="shared" si="6"/>
        <v>1.827</v>
      </c>
    </row>
    <row r="154" spans="1:7" x14ac:dyDescent="0.25">
      <c r="A154" t="s">
        <v>359</v>
      </c>
      <c r="B154" s="2">
        <v>3</v>
      </c>
      <c r="C154" s="2">
        <v>200</v>
      </c>
      <c r="D154" s="49">
        <v>60</v>
      </c>
      <c r="E154" s="2">
        <f t="shared" si="5"/>
        <v>260</v>
      </c>
      <c r="F154" s="27">
        <f>M7</f>
        <v>3.8115000000000001</v>
      </c>
      <c r="G154" s="22">
        <f t="shared" si="6"/>
        <v>3.8115000000000001</v>
      </c>
    </row>
    <row r="155" spans="1:7" x14ac:dyDescent="0.25">
      <c r="A155" t="s">
        <v>361</v>
      </c>
      <c r="B155" s="2">
        <v>3</v>
      </c>
      <c r="C155" s="2">
        <v>250</v>
      </c>
      <c r="D155" s="49">
        <v>60</v>
      </c>
      <c r="E155" s="2">
        <f t="shared" si="5"/>
        <v>310</v>
      </c>
      <c r="F155" s="27">
        <f>M7</f>
        <v>3.8115000000000001</v>
      </c>
      <c r="G155" s="22">
        <f t="shared" si="6"/>
        <v>3.8115000000000001</v>
      </c>
    </row>
    <row r="156" spans="1:7" x14ac:dyDescent="0.25">
      <c r="A156" t="s">
        <v>363</v>
      </c>
      <c r="B156" s="2">
        <v>3</v>
      </c>
      <c r="C156" s="2">
        <v>300</v>
      </c>
      <c r="D156" s="49">
        <v>60</v>
      </c>
      <c r="E156" s="2">
        <f t="shared" si="5"/>
        <v>360</v>
      </c>
      <c r="F156" s="27">
        <f>M7</f>
        <v>3.8115000000000001</v>
      </c>
      <c r="G156" s="22">
        <f t="shared" si="6"/>
        <v>3.8115000000000001</v>
      </c>
    </row>
    <row r="157" spans="1:7" x14ac:dyDescent="0.25">
      <c r="A157" t="s">
        <v>365</v>
      </c>
      <c r="B157" s="2">
        <v>4</v>
      </c>
      <c r="C157" s="2">
        <v>80</v>
      </c>
      <c r="D157" s="49">
        <v>60</v>
      </c>
      <c r="E157" s="2">
        <f t="shared" si="5"/>
        <v>140</v>
      </c>
      <c r="F157" s="27">
        <f>M9</f>
        <v>1.1550000000000002</v>
      </c>
      <c r="G157" s="22">
        <f t="shared" si="6"/>
        <v>1.1550000000000002</v>
      </c>
    </row>
    <row r="158" spans="1:7" x14ac:dyDescent="0.25">
      <c r="A158" t="s">
        <v>367</v>
      </c>
      <c r="B158" s="2">
        <v>4</v>
      </c>
      <c r="C158" s="2">
        <v>100</v>
      </c>
      <c r="D158" s="49">
        <v>60</v>
      </c>
      <c r="E158" s="2">
        <f t="shared" si="5"/>
        <v>160</v>
      </c>
      <c r="F158" s="27">
        <f>M10</f>
        <v>1.47</v>
      </c>
      <c r="G158" s="22">
        <f t="shared" si="6"/>
        <v>1.47</v>
      </c>
    </row>
    <row r="159" spans="1:7" x14ac:dyDescent="0.25">
      <c r="A159" t="s">
        <v>369</v>
      </c>
      <c r="B159" s="2">
        <v>4</v>
      </c>
      <c r="C159" s="2">
        <v>125</v>
      </c>
      <c r="D159" s="49">
        <v>60</v>
      </c>
      <c r="E159" s="2">
        <f t="shared" si="5"/>
        <v>185</v>
      </c>
      <c r="F159" s="27">
        <f>M10</f>
        <v>1.47</v>
      </c>
      <c r="G159" s="22">
        <f t="shared" si="6"/>
        <v>1.47</v>
      </c>
    </row>
    <row r="160" spans="1:7" x14ac:dyDescent="0.25">
      <c r="A160" t="s">
        <v>371</v>
      </c>
      <c r="B160" s="2">
        <v>4</v>
      </c>
      <c r="C160" s="2">
        <v>150</v>
      </c>
      <c r="D160" s="49">
        <v>60</v>
      </c>
      <c r="E160" s="2">
        <f t="shared" si="5"/>
        <v>210</v>
      </c>
      <c r="F160" s="27">
        <f>M11</f>
        <v>1.8900000000000001</v>
      </c>
      <c r="G160" s="22">
        <f t="shared" si="6"/>
        <v>1.8900000000000001</v>
      </c>
    </row>
    <row r="161" spans="1:7" x14ac:dyDescent="0.25">
      <c r="A161" t="s">
        <v>373</v>
      </c>
      <c r="B161" s="2">
        <v>4</v>
      </c>
      <c r="C161" s="2">
        <v>200</v>
      </c>
      <c r="D161" s="49">
        <v>60</v>
      </c>
      <c r="E161" s="2">
        <f t="shared" si="5"/>
        <v>260</v>
      </c>
      <c r="F161" s="27">
        <f>M12</f>
        <v>2.2890000000000001</v>
      </c>
      <c r="G161" s="22">
        <f t="shared" si="6"/>
        <v>2.2890000000000001</v>
      </c>
    </row>
    <row r="162" spans="1:7" x14ac:dyDescent="0.25">
      <c r="A162" t="s">
        <v>375</v>
      </c>
      <c r="B162" s="2">
        <v>4</v>
      </c>
      <c r="C162" s="2">
        <v>250</v>
      </c>
      <c r="D162" s="49">
        <v>60</v>
      </c>
      <c r="E162" s="2">
        <f t="shared" si="5"/>
        <v>310</v>
      </c>
      <c r="F162" s="27">
        <f>M13</f>
        <v>3.8115000000000001</v>
      </c>
      <c r="G162" s="22">
        <f t="shared" si="6"/>
        <v>3.8115000000000001</v>
      </c>
    </row>
    <row r="163" spans="1:7" x14ac:dyDescent="0.25">
      <c r="A163" t="s">
        <v>377</v>
      </c>
      <c r="B163" s="2">
        <v>4</v>
      </c>
      <c r="C163" s="2">
        <v>300</v>
      </c>
      <c r="D163" s="49">
        <v>60</v>
      </c>
      <c r="E163" s="2">
        <f t="shared" si="5"/>
        <v>360</v>
      </c>
      <c r="F163" s="27">
        <f>M13</f>
        <v>3.8115000000000001</v>
      </c>
      <c r="G163" s="22">
        <f t="shared" si="6"/>
        <v>3.8115000000000001</v>
      </c>
    </row>
    <row r="164" spans="1:7" x14ac:dyDescent="0.25">
      <c r="A164" t="s">
        <v>379</v>
      </c>
      <c r="B164" s="2">
        <v>4</v>
      </c>
      <c r="C164" s="2">
        <v>350</v>
      </c>
      <c r="D164" s="49">
        <v>60</v>
      </c>
      <c r="E164" s="2">
        <f t="shared" si="5"/>
        <v>410</v>
      </c>
      <c r="F164" s="27">
        <f>M14</f>
        <v>4.5780000000000003</v>
      </c>
      <c r="G164" s="22">
        <f t="shared" si="6"/>
        <v>4.5780000000000003</v>
      </c>
    </row>
    <row r="165" spans="1:7" x14ac:dyDescent="0.25">
      <c r="A165" t="s">
        <v>381</v>
      </c>
      <c r="B165" s="2">
        <v>4</v>
      </c>
      <c r="C165" s="2">
        <v>400</v>
      </c>
      <c r="D165" s="49">
        <v>60</v>
      </c>
      <c r="E165" s="2">
        <f t="shared" si="5"/>
        <v>460</v>
      </c>
      <c r="F165" s="27">
        <f>M14</f>
        <v>4.5780000000000003</v>
      </c>
      <c r="G165" s="22">
        <f t="shared" si="6"/>
        <v>4.5780000000000003</v>
      </c>
    </row>
    <row r="166" spans="1:7" x14ac:dyDescent="0.25">
      <c r="A166" t="s">
        <v>383</v>
      </c>
      <c r="B166" s="2">
        <v>4</v>
      </c>
      <c r="C166" s="2">
        <v>500</v>
      </c>
      <c r="D166" s="49">
        <v>60</v>
      </c>
      <c r="E166" s="2">
        <f t="shared" si="5"/>
        <v>560</v>
      </c>
      <c r="F166" s="27">
        <f>M14</f>
        <v>4.5780000000000003</v>
      </c>
      <c r="G166" s="22">
        <f t="shared" si="6"/>
        <v>4.5780000000000003</v>
      </c>
    </row>
    <row r="167" spans="1:7" x14ac:dyDescent="0.25">
      <c r="A167" t="s">
        <v>385</v>
      </c>
      <c r="B167" s="2">
        <v>5</v>
      </c>
      <c r="C167" s="2">
        <v>38</v>
      </c>
      <c r="D167" s="49">
        <v>45</v>
      </c>
      <c r="E167" s="2">
        <f t="shared" si="5"/>
        <v>83</v>
      </c>
      <c r="F167" s="27">
        <f>M15</f>
        <v>0.91349999999999998</v>
      </c>
      <c r="G167" s="22">
        <f t="shared" si="6"/>
        <v>0.91349999999999998</v>
      </c>
    </row>
    <row r="168" spans="1:7" x14ac:dyDescent="0.25">
      <c r="A168" t="s">
        <v>387</v>
      </c>
      <c r="B168" s="2">
        <v>5</v>
      </c>
      <c r="C168" s="2">
        <v>80</v>
      </c>
      <c r="D168" s="49">
        <v>60</v>
      </c>
      <c r="E168" s="2">
        <f t="shared" si="5"/>
        <v>140</v>
      </c>
      <c r="F168" s="27">
        <f>M16</f>
        <v>1.1550000000000002</v>
      </c>
      <c r="G168" s="22">
        <f t="shared" si="6"/>
        <v>1.1550000000000002</v>
      </c>
    </row>
    <row r="169" spans="1:7" x14ac:dyDescent="0.25">
      <c r="A169" t="s">
        <v>389</v>
      </c>
      <c r="B169" s="2">
        <v>5</v>
      </c>
      <c r="C169" s="2">
        <v>100</v>
      </c>
      <c r="D169" s="49">
        <v>60</v>
      </c>
      <c r="E169" s="2">
        <f t="shared" si="5"/>
        <v>160</v>
      </c>
      <c r="F169" s="27">
        <f>M17</f>
        <v>1.47</v>
      </c>
      <c r="G169" s="22">
        <f t="shared" si="6"/>
        <v>1.47</v>
      </c>
    </row>
    <row r="170" spans="1:7" x14ac:dyDescent="0.25">
      <c r="A170" t="s">
        <v>391</v>
      </c>
      <c r="B170" s="2">
        <v>5</v>
      </c>
      <c r="C170" s="2">
        <v>125</v>
      </c>
      <c r="D170" s="49">
        <v>60</v>
      </c>
      <c r="E170" s="2">
        <f t="shared" si="5"/>
        <v>185</v>
      </c>
      <c r="F170" s="27">
        <f>M17</f>
        <v>1.47</v>
      </c>
      <c r="G170" s="22">
        <f t="shared" si="6"/>
        <v>1.47</v>
      </c>
    </row>
    <row r="171" spans="1:7" x14ac:dyDescent="0.25">
      <c r="A171" t="s">
        <v>393</v>
      </c>
      <c r="B171" s="2">
        <v>5</v>
      </c>
      <c r="C171" s="2">
        <v>150</v>
      </c>
      <c r="D171" s="49">
        <v>60</v>
      </c>
      <c r="E171" s="2">
        <f t="shared" si="5"/>
        <v>210</v>
      </c>
      <c r="F171" s="27">
        <f>M18</f>
        <v>1.8900000000000001</v>
      </c>
      <c r="G171" s="22">
        <f t="shared" si="6"/>
        <v>1.8900000000000001</v>
      </c>
    </row>
    <row r="172" spans="1:7" x14ac:dyDescent="0.25">
      <c r="A172" t="s">
        <v>395</v>
      </c>
      <c r="B172" s="2">
        <v>5</v>
      </c>
      <c r="C172" s="2">
        <v>200</v>
      </c>
      <c r="D172" s="49">
        <v>60</v>
      </c>
      <c r="E172" s="2">
        <f t="shared" si="5"/>
        <v>260</v>
      </c>
      <c r="F172" s="27">
        <f>M19</f>
        <v>2.625</v>
      </c>
      <c r="G172" s="22">
        <f t="shared" si="6"/>
        <v>2.625</v>
      </c>
    </row>
    <row r="173" spans="1:7" x14ac:dyDescent="0.25">
      <c r="A173" t="s">
        <v>397</v>
      </c>
      <c r="B173" s="2">
        <v>5</v>
      </c>
      <c r="C173" s="2">
        <v>250</v>
      </c>
      <c r="D173" s="49">
        <v>60</v>
      </c>
      <c r="E173" s="2">
        <f t="shared" si="5"/>
        <v>310</v>
      </c>
      <c r="F173" s="27">
        <f>M21</f>
        <v>3.8115000000000001</v>
      </c>
      <c r="G173" s="22">
        <f t="shared" si="6"/>
        <v>3.8115000000000001</v>
      </c>
    </row>
    <row r="174" spans="1:7" x14ac:dyDescent="0.25">
      <c r="A174" t="s">
        <v>399</v>
      </c>
      <c r="B174" s="2">
        <v>5</v>
      </c>
      <c r="C174" s="2">
        <v>300</v>
      </c>
      <c r="D174" s="49">
        <v>60</v>
      </c>
      <c r="E174" s="2">
        <f t="shared" si="5"/>
        <v>360</v>
      </c>
      <c r="F174" s="27">
        <f>M21</f>
        <v>3.8115000000000001</v>
      </c>
      <c r="G174" s="22">
        <f t="shared" si="6"/>
        <v>3.8115000000000001</v>
      </c>
    </row>
    <row r="175" spans="1:7" x14ac:dyDescent="0.25">
      <c r="A175" t="s">
        <v>401</v>
      </c>
      <c r="B175" s="2">
        <v>5</v>
      </c>
      <c r="C175" s="2">
        <v>350</v>
      </c>
      <c r="D175" s="49">
        <v>60</v>
      </c>
      <c r="E175" s="2">
        <f t="shared" si="5"/>
        <v>410</v>
      </c>
      <c r="F175" s="27">
        <f>M22</f>
        <v>4.8615000000000004</v>
      </c>
      <c r="G175" s="22">
        <f t="shared" si="6"/>
        <v>4.8615000000000004</v>
      </c>
    </row>
    <row r="176" spans="1:7" x14ac:dyDescent="0.25">
      <c r="A176" t="s">
        <v>403</v>
      </c>
      <c r="B176" s="2">
        <v>5</v>
      </c>
      <c r="C176" s="2">
        <v>400</v>
      </c>
      <c r="D176" s="49">
        <v>60</v>
      </c>
      <c r="E176" s="2">
        <f t="shared" si="5"/>
        <v>460</v>
      </c>
      <c r="F176" s="27">
        <f>M22</f>
        <v>4.8615000000000004</v>
      </c>
      <c r="G176" s="22">
        <f t="shared" si="6"/>
        <v>4.8615000000000004</v>
      </c>
    </row>
    <row r="177" spans="1:10" x14ac:dyDescent="0.25">
      <c r="A177" t="s">
        <v>405</v>
      </c>
      <c r="B177" s="2">
        <v>5</v>
      </c>
      <c r="C177" s="2">
        <v>500</v>
      </c>
      <c r="D177" s="49">
        <v>60</v>
      </c>
      <c r="E177" s="2">
        <f t="shared" si="5"/>
        <v>560</v>
      </c>
      <c r="F177" s="27">
        <f>M23</f>
        <v>6.8565000000000005</v>
      </c>
      <c r="G177" s="22">
        <f t="shared" si="6"/>
        <v>6.8565000000000005</v>
      </c>
    </row>
    <row r="178" spans="1:10" x14ac:dyDescent="0.25">
      <c r="A178" t="s">
        <v>456</v>
      </c>
      <c r="B178" s="2">
        <v>6</v>
      </c>
      <c r="C178" s="2">
        <v>38</v>
      </c>
      <c r="D178" s="49">
        <v>45</v>
      </c>
      <c r="E178" s="2">
        <f t="shared" si="5"/>
        <v>83</v>
      </c>
      <c r="F178" s="27">
        <f>M24</f>
        <v>0.91349999999999998</v>
      </c>
      <c r="G178" s="22">
        <f t="shared" si="6"/>
        <v>0.91349999999999998</v>
      </c>
    </row>
    <row r="179" spans="1:10" x14ac:dyDescent="0.25">
      <c r="A179" t="s">
        <v>458</v>
      </c>
      <c r="B179" s="2">
        <v>6</v>
      </c>
      <c r="C179" s="2">
        <v>100</v>
      </c>
      <c r="D179" s="49">
        <v>80</v>
      </c>
      <c r="E179" s="2">
        <f t="shared" si="5"/>
        <v>180</v>
      </c>
      <c r="F179" s="27">
        <f>M26</f>
        <v>1.47</v>
      </c>
      <c r="G179" s="22">
        <f t="shared" si="6"/>
        <v>1.47</v>
      </c>
    </row>
    <row r="180" spans="1:10" x14ac:dyDescent="0.25">
      <c r="A180" t="s">
        <v>460</v>
      </c>
      <c r="B180" s="2">
        <v>6</v>
      </c>
      <c r="C180" s="2">
        <v>125</v>
      </c>
      <c r="D180" s="49">
        <v>80</v>
      </c>
      <c r="E180" s="2">
        <f t="shared" si="5"/>
        <v>205</v>
      </c>
      <c r="F180" s="27">
        <f>M27</f>
        <v>1.8900000000000001</v>
      </c>
      <c r="G180" s="22">
        <f t="shared" si="6"/>
        <v>1.8900000000000001</v>
      </c>
    </row>
    <row r="181" spans="1:10" x14ac:dyDescent="0.25">
      <c r="A181" t="s">
        <v>462</v>
      </c>
      <c r="B181" s="2">
        <v>6</v>
      </c>
      <c r="C181" s="2">
        <v>150</v>
      </c>
      <c r="D181" s="49">
        <v>80</v>
      </c>
      <c r="E181" s="2">
        <f t="shared" si="5"/>
        <v>230</v>
      </c>
      <c r="F181" s="27">
        <f>M27</f>
        <v>1.8900000000000001</v>
      </c>
      <c r="G181" s="22">
        <f t="shared" si="6"/>
        <v>1.8900000000000001</v>
      </c>
    </row>
    <row r="182" spans="1:10" x14ac:dyDescent="0.25">
      <c r="A182" t="s">
        <v>464</v>
      </c>
      <c r="B182" s="2">
        <v>6</v>
      </c>
      <c r="C182" s="2">
        <v>200</v>
      </c>
      <c r="D182" s="49">
        <v>80</v>
      </c>
      <c r="E182" s="2">
        <f t="shared" si="5"/>
        <v>280</v>
      </c>
      <c r="F182" s="27">
        <f>M28</f>
        <v>3.8115000000000001</v>
      </c>
      <c r="G182" s="22">
        <f t="shared" si="6"/>
        <v>3.8115000000000001</v>
      </c>
    </row>
    <row r="183" spans="1:10" x14ac:dyDescent="0.25">
      <c r="A183" t="s">
        <v>466</v>
      </c>
      <c r="B183" s="2">
        <v>6</v>
      </c>
      <c r="C183" s="2">
        <v>250</v>
      </c>
      <c r="D183" s="49">
        <v>80</v>
      </c>
      <c r="E183" s="2">
        <f t="shared" si="5"/>
        <v>330</v>
      </c>
      <c r="F183" s="27">
        <f>M29</f>
        <v>3.7800000000000002</v>
      </c>
      <c r="G183" s="22">
        <f t="shared" si="6"/>
        <v>3.7800000000000002</v>
      </c>
    </row>
    <row r="184" spans="1:10" x14ac:dyDescent="0.25">
      <c r="A184" t="s">
        <v>468</v>
      </c>
      <c r="B184" s="2">
        <v>6</v>
      </c>
      <c r="C184" s="2">
        <v>300</v>
      </c>
      <c r="D184" s="49">
        <v>80</v>
      </c>
      <c r="E184" s="2">
        <f t="shared" si="5"/>
        <v>380</v>
      </c>
      <c r="F184" s="27">
        <f>M29</f>
        <v>3.7800000000000002</v>
      </c>
      <c r="G184" s="22">
        <f t="shared" si="6"/>
        <v>3.7800000000000002</v>
      </c>
    </row>
    <row r="185" spans="1:10" x14ac:dyDescent="0.25">
      <c r="A185" t="s">
        <v>470</v>
      </c>
      <c r="B185" s="2">
        <v>6</v>
      </c>
      <c r="C185" s="2">
        <v>350</v>
      </c>
      <c r="D185" s="49">
        <v>80</v>
      </c>
      <c r="E185" s="2">
        <f t="shared" si="5"/>
        <v>430</v>
      </c>
      <c r="F185" s="27">
        <f>M30</f>
        <v>4.5780000000000003</v>
      </c>
      <c r="G185" s="22">
        <f t="shared" si="6"/>
        <v>4.5780000000000003</v>
      </c>
      <c r="J185" s="2" t="s">
        <v>498</v>
      </c>
    </row>
    <row r="186" spans="1:10" x14ac:dyDescent="0.25">
      <c r="A186" t="s">
        <v>472</v>
      </c>
      <c r="B186" s="2">
        <v>6</v>
      </c>
      <c r="C186" s="2">
        <v>400</v>
      </c>
      <c r="D186" s="49">
        <v>80</v>
      </c>
      <c r="E186" s="2">
        <f t="shared" si="5"/>
        <v>480</v>
      </c>
      <c r="F186" s="27">
        <f>M30</f>
        <v>4.5780000000000003</v>
      </c>
      <c r="G186" s="22">
        <f t="shared" si="6"/>
        <v>4.5780000000000003</v>
      </c>
    </row>
    <row r="187" spans="1:10" x14ac:dyDescent="0.25">
      <c r="A187" t="s">
        <v>474</v>
      </c>
      <c r="B187" s="2">
        <v>6</v>
      </c>
      <c r="C187" s="2">
        <v>450</v>
      </c>
      <c r="D187" s="49">
        <v>80</v>
      </c>
      <c r="E187" s="2">
        <f t="shared" si="5"/>
        <v>530</v>
      </c>
      <c r="F187" s="27">
        <f>M31</f>
        <v>6.8565000000000005</v>
      </c>
      <c r="G187" s="22">
        <f t="shared" si="6"/>
        <v>6.8565000000000005</v>
      </c>
    </row>
    <row r="188" spans="1:10" x14ac:dyDescent="0.25">
      <c r="A188" t="s">
        <v>476</v>
      </c>
      <c r="B188" s="2">
        <v>6</v>
      </c>
      <c r="C188" s="2">
        <v>500</v>
      </c>
      <c r="D188" s="49">
        <v>80</v>
      </c>
      <c r="E188" s="2">
        <f t="shared" si="5"/>
        <v>580</v>
      </c>
      <c r="F188" s="27">
        <f>M31</f>
        <v>6.8565000000000005</v>
      </c>
      <c r="G188" s="22">
        <f t="shared" si="6"/>
        <v>6.8565000000000005</v>
      </c>
    </row>
    <row r="189" spans="1:10" x14ac:dyDescent="0.25">
      <c r="A189" t="s">
        <v>407</v>
      </c>
      <c r="B189" s="2">
        <v>8</v>
      </c>
      <c r="C189" s="2">
        <v>150</v>
      </c>
      <c r="D189" s="49">
        <v>90</v>
      </c>
      <c r="E189" s="2">
        <f t="shared" si="5"/>
        <v>240</v>
      </c>
      <c r="F189" s="27">
        <f>M38</f>
        <v>3.0870000000000002</v>
      </c>
      <c r="G189" s="22">
        <f t="shared" si="6"/>
        <v>3.0870000000000002</v>
      </c>
    </row>
    <row r="190" spans="1:10" x14ac:dyDescent="0.25">
      <c r="A190" t="s">
        <v>409</v>
      </c>
      <c r="B190" s="2">
        <v>8</v>
      </c>
      <c r="C190" s="2">
        <v>175</v>
      </c>
      <c r="D190" s="49">
        <v>90</v>
      </c>
      <c r="E190" s="2">
        <f t="shared" si="5"/>
        <v>265</v>
      </c>
      <c r="F190" s="27">
        <f>M38</f>
        <v>3.0870000000000002</v>
      </c>
      <c r="G190" s="22">
        <f t="shared" si="6"/>
        <v>3.0870000000000002</v>
      </c>
    </row>
    <row r="191" spans="1:10" x14ac:dyDescent="0.25">
      <c r="A191" t="s">
        <v>411</v>
      </c>
      <c r="B191" s="2">
        <v>8</v>
      </c>
      <c r="C191" s="2">
        <v>200</v>
      </c>
      <c r="D191" s="49">
        <v>90</v>
      </c>
      <c r="E191" s="2">
        <f t="shared" si="5"/>
        <v>290</v>
      </c>
      <c r="F191" s="27">
        <f>M38</f>
        <v>3.0870000000000002</v>
      </c>
      <c r="G191" s="22">
        <f t="shared" si="6"/>
        <v>3.0870000000000002</v>
      </c>
    </row>
    <row r="192" spans="1:10" x14ac:dyDescent="0.25">
      <c r="A192" t="s">
        <v>413</v>
      </c>
      <c r="B192" s="2">
        <v>8</v>
      </c>
      <c r="C192" s="2">
        <v>250</v>
      </c>
      <c r="D192" s="49">
        <v>90</v>
      </c>
      <c r="E192" s="2">
        <f t="shared" si="5"/>
        <v>340</v>
      </c>
      <c r="F192" s="27">
        <f>M39</f>
        <v>5.3549999999999995</v>
      </c>
      <c r="G192" s="22">
        <f t="shared" si="6"/>
        <v>5.3549999999999995</v>
      </c>
    </row>
    <row r="193" spans="1:7" x14ac:dyDescent="0.25">
      <c r="A193" t="s">
        <v>415</v>
      </c>
      <c r="B193" s="2">
        <v>8</v>
      </c>
      <c r="C193" s="2">
        <v>300</v>
      </c>
      <c r="D193" s="49">
        <v>90</v>
      </c>
      <c r="E193" s="2">
        <f t="shared" si="5"/>
        <v>390</v>
      </c>
      <c r="F193" s="27">
        <f>M39</f>
        <v>5.3549999999999995</v>
      </c>
      <c r="G193" s="22">
        <f t="shared" si="6"/>
        <v>5.3549999999999995</v>
      </c>
    </row>
    <row r="194" spans="1:7" x14ac:dyDescent="0.25">
      <c r="A194" t="s">
        <v>417</v>
      </c>
      <c r="B194" s="2">
        <v>8</v>
      </c>
      <c r="C194" s="2">
        <v>350</v>
      </c>
      <c r="D194" s="49">
        <v>90</v>
      </c>
      <c r="E194" s="2">
        <f t="shared" si="5"/>
        <v>440</v>
      </c>
      <c r="F194" s="27">
        <f>M40</f>
        <v>7.665</v>
      </c>
      <c r="G194" s="22">
        <f t="shared" si="6"/>
        <v>7.665</v>
      </c>
    </row>
    <row r="195" spans="1:7" x14ac:dyDescent="0.25">
      <c r="A195" t="s">
        <v>419</v>
      </c>
      <c r="B195" s="2">
        <v>8</v>
      </c>
      <c r="C195" s="2">
        <v>400</v>
      </c>
      <c r="D195" s="49">
        <v>90</v>
      </c>
      <c r="E195" s="2">
        <f t="shared" si="5"/>
        <v>490</v>
      </c>
      <c r="F195" s="27">
        <f>M40</f>
        <v>7.665</v>
      </c>
      <c r="G195" s="22">
        <f t="shared" si="6"/>
        <v>7.665</v>
      </c>
    </row>
    <row r="196" spans="1:7" x14ac:dyDescent="0.25">
      <c r="A196" t="s">
        <v>421</v>
      </c>
      <c r="B196" s="2">
        <v>8</v>
      </c>
      <c r="C196" s="2">
        <v>450</v>
      </c>
      <c r="D196" s="49">
        <v>90</v>
      </c>
      <c r="E196" s="2">
        <f t="shared" si="5"/>
        <v>540</v>
      </c>
      <c r="F196" s="27">
        <f>M40</f>
        <v>7.665</v>
      </c>
      <c r="G196" s="22">
        <f t="shared" si="6"/>
        <v>7.665</v>
      </c>
    </row>
    <row r="197" spans="1:7" x14ac:dyDescent="0.25">
      <c r="A197" t="s">
        <v>423</v>
      </c>
      <c r="B197" s="2">
        <v>8</v>
      </c>
      <c r="C197" s="2">
        <v>500</v>
      </c>
      <c r="D197" s="49">
        <v>90</v>
      </c>
      <c r="E197" s="2">
        <f t="shared" ref="E197:E229" si="7">D197+C197</f>
        <v>590</v>
      </c>
      <c r="F197" s="27">
        <f>M40</f>
        <v>7.665</v>
      </c>
      <c r="G197" s="22">
        <f t="shared" ref="G197:G229" si="8">F197</f>
        <v>7.665</v>
      </c>
    </row>
    <row r="198" spans="1:7" x14ac:dyDescent="0.25">
      <c r="A198" t="s">
        <v>425</v>
      </c>
      <c r="B198" s="2">
        <v>10</v>
      </c>
      <c r="C198" s="2">
        <v>175</v>
      </c>
      <c r="D198" s="49">
        <v>90</v>
      </c>
      <c r="E198" s="2">
        <f t="shared" si="7"/>
        <v>265</v>
      </c>
      <c r="F198" s="27">
        <f>M41</f>
        <v>2.415</v>
      </c>
      <c r="G198" s="22">
        <f t="shared" si="8"/>
        <v>2.415</v>
      </c>
    </row>
    <row r="199" spans="1:7" x14ac:dyDescent="0.25">
      <c r="A199" t="s">
        <v>427</v>
      </c>
      <c r="B199" s="2">
        <v>10</v>
      </c>
      <c r="C199" s="2">
        <v>200</v>
      </c>
      <c r="D199" s="49">
        <v>90</v>
      </c>
      <c r="E199" s="2">
        <f t="shared" si="7"/>
        <v>290</v>
      </c>
      <c r="F199" s="27">
        <f>M41</f>
        <v>2.415</v>
      </c>
      <c r="G199" s="22">
        <f t="shared" si="8"/>
        <v>2.415</v>
      </c>
    </row>
    <row r="200" spans="1:7" x14ac:dyDescent="0.25">
      <c r="A200" t="s">
        <v>429</v>
      </c>
      <c r="B200" s="2">
        <v>10</v>
      </c>
      <c r="C200" s="2">
        <v>250</v>
      </c>
      <c r="D200" s="49">
        <v>90</v>
      </c>
      <c r="E200" s="2">
        <f t="shared" si="7"/>
        <v>340</v>
      </c>
      <c r="F200" s="27">
        <f>M42</f>
        <v>6.8250000000000002</v>
      </c>
      <c r="G200" s="22">
        <f t="shared" si="8"/>
        <v>6.8250000000000002</v>
      </c>
    </row>
    <row r="201" spans="1:7" x14ac:dyDescent="0.25">
      <c r="A201" t="s">
        <v>431</v>
      </c>
      <c r="B201" s="2">
        <v>10</v>
      </c>
      <c r="C201" s="2">
        <v>300</v>
      </c>
      <c r="D201" s="49">
        <v>90</v>
      </c>
      <c r="E201" s="2">
        <f t="shared" si="7"/>
        <v>390</v>
      </c>
      <c r="F201" s="27">
        <f>M42</f>
        <v>6.8250000000000002</v>
      </c>
      <c r="G201" s="22">
        <f t="shared" si="8"/>
        <v>6.8250000000000002</v>
      </c>
    </row>
    <row r="202" spans="1:7" x14ac:dyDescent="0.25">
      <c r="A202" t="s">
        <v>433</v>
      </c>
      <c r="B202" s="2">
        <v>10</v>
      </c>
      <c r="C202" s="2">
        <v>350</v>
      </c>
      <c r="D202" s="49">
        <v>90</v>
      </c>
      <c r="E202" s="2">
        <f t="shared" si="7"/>
        <v>440</v>
      </c>
      <c r="F202" s="27">
        <f>M43</f>
        <v>7.665</v>
      </c>
      <c r="G202" s="22">
        <f t="shared" si="8"/>
        <v>7.665</v>
      </c>
    </row>
    <row r="203" spans="1:7" x14ac:dyDescent="0.25">
      <c r="A203" t="s">
        <v>435</v>
      </c>
      <c r="B203" s="2">
        <v>10</v>
      </c>
      <c r="C203" s="2">
        <v>400</v>
      </c>
      <c r="D203" s="49">
        <v>90</v>
      </c>
      <c r="E203" s="2">
        <f t="shared" si="7"/>
        <v>490</v>
      </c>
      <c r="F203" s="27">
        <f>M43</f>
        <v>7.665</v>
      </c>
      <c r="G203" s="22">
        <f t="shared" si="8"/>
        <v>7.665</v>
      </c>
    </row>
    <row r="204" spans="1:7" x14ac:dyDescent="0.25">
      <c r="A204" t="s">
        <v>437</v>
      </c>
      <c r="B204" s="2">
        <v>10</v>
      </c>
      <c r="C204" s="2">
        <v>450</v>
      </c>
      <c r="D204" s="49">
        <v>90</v>
      </c>
      <c r="E204" s="2">
        <f t="shared" si="7"/>
        <v>540</v>
      </c>
      <c r="F204" s="27">
        <f>M43</f>
        <v>7.665</v>
      </c>
      <c r="G204" s="22">
        <f t="shared" si="8"/>
        <v>7.665</v>
      </c>
    </row>
    <row r="205" spans="1:7" x14ac:dyDescent="0.25">
      <c r="A205" t="s">
        <v>439</v>
      </c>
      <c r="B205" s="2">
        <v>10</v>
      </c>
      <c r="C205" s="2">
        <v>500</v>
      </c>
      <c r="D205" s="49">
        <v>90</v>
      </c>
      <c r="E205" s="2">
        <f t="shared" si="7"/>
        <v>590</v>
      </c>
      <c r="F205" s="27">
        <f>M43</f>
        <v>7.665</v>
      </c>
      <c r="G205" s="22">
        <f t="shared" si="8"/>
        <v>7.665</v>
      </c>
    </row>
    <row r="206" spans="1:7" x14ac:dyDescent="0.25">
      <c r="A206" t="s">
        <v>301</v>
      </c>
      <c r="B206" s="2">
        <v>3</v>
      </c>
      <c r="C206" s="2">
        <v>60</v>
      </c>
      <c r="D206" s="49">
        <v>60</v>
      </c>
      <c r="E206" s="2">
        <f t="shared" si="7"/>
        <v>120</v>
      </c>
      <c r="F206" s="27">
        <f>M5</f>
        <v>1.1445000000000001</v>
      </c>
      <c r="G206" s="22">
        <f t="shared" si="8"/>
        <v>1.1445000000000001</v>
      </c>
    </row>
    <row r="207" spans="1:7" x14ac:dyDescent="0.25">
      <c r="A207" t="s">
        <v>303</v>
      </c>
      <c r="B207" s="2">
        <v>3</v>
      </c>
      <c r="C207" s="2">
        <v>60</v>
      </c>
      <c r="D207" s="49">
        <v>60</v>
      </c>
      <c r="E207" s="2">
        <f t="shared" si="7"/>
        <v>120</v>
      </c>
      <c r="F207" s="27">
        <f>M5</f>
        <v>1.1445000000000001</v>
      </c>
      <c r="G207" s="22">
        <f t="shared" si="8"/>
        <v>1.1445000000000001</v>
      </c>
    </row>
    <row r="208" spans="1:7" x14ac:dyDescent="0.25">
      <c r="A208" t="s">
        <v>305</v>
      </c>
      <c r="B208" s="2">
        <v>3</v>
      </c>
      <c r="C208" s="2">
        <v>60</v>
      </c>
      <c r="D208" s="49">
        <v>60</v>
      </c>
      <c r="E208" s="2">
        <f t="shared" si="7"/>
        <v>120</v>
      </c>
      <c r="F208" s="27">
        <f>M5</f>
        <v>1.1445000000000001</v>
      </c>
      <c r="G208" s="22">
        <f t="shared" si="8"/>
        <v>1.1445000000000001</v>
      </c>
    </row>
    <row r="209" spans="1:7" x14ac:dyDescent="0.25">
      <c r="A209" t="s">
        <v>307</v>
      </c>
      <c r="B209" s="2">
        <v>3</v>
      </c>
      <c r="C209" s="2">
        <v>60</v>
      </c>
      <c r="D209" s="49">
        <v>60</v>
      </c>
      <c r="E209" s="2">
        <f t="shared" si="7"/>
        <v>120</v>
      </c>
      <c r="F209" s="27">
        <f>M5</f>
        <v>1.1445000000000001</v>
      </c>
      <c r="G209" s="22">
        <f t="shared" si="8"/>
        <v>1.1445000000000001</v>
      </c>
    </row>
    <row r="210" spans="1:7" x14ac:dyDescent="0.25">
      <c r="A210" t="s">
        <v>309</v>
      </c>
      <c r="B210" s="2">
        <v>4</v>
      </c>
      <c r="C210" s="2">
        <v>80</v>
      </c>
      <c r="D210" s="49">
        <v>60</v>
      </c>
      <c r="E210" s="2">
        <f t="shared" si="7"/>
        <v>140</v>
      </c>
      <c r="F210" s="27">
        <f>M9</f>
        <v>1.1550000000000002</v>
      </c>
      <c r="G210" s="22">
        <f t="shared" si="8"/>
        <v>1.1550000000000002</v>
      </c>
    </row>
    <row r="211" spans="1:7" x14ac:dyDescent="0.25">
      <c r="A211" t="s">
        <v>311</v>
      </c>
      <c r="B211" s="2">
        <v>4</v>
      </c>
      <c r="C211" s="2">
        <v>80</v>
      </c>
      <c r="D211" s="49">
        <v>60</v>
      </c>
      <c r="E211" s="2">
        <f t="shared" si="7"/>
        <v>140</v>
      </c>
      <c r="F211" s="27">
        <f>M9</f>
        <v>1.1550000000000002</v>
      </c>
      <c r="G211" s="22">
        <f t="shared" si="8"/>
        <v>1.1550000000000002</v>
      </c>
    </row>
    <row r="212" spans="1:7" x14ac:dyDescent="0.25">
      <c r="A212" t="s">
        <v>313</v>
      </c>
      <c r="B212" s="2">
        <v>5</v>
      </c>
      <c r="C212" s="2">
        <v>100</v>
      </c>
      <c r="D212" s="49">
        <v>60</v>
      </c>
      <c r="E212" s="2">
        <f t="shared" si="7"/>
        <v>160</v>
      </c>
      <c r="F212" s="27">
        <f>M17</f>
        <v>1.47</v>
      </c>
      <c r="G212" s="22">
        <f t="shared" si="8"/>
        <v>1.47</v>
      </c>
    </row>
    <row r="213" spans="1:7" x14ac:dyDescent="0.25">
      <c r="A213" t="s">
        <v>315</v>
      </c>
      <c r="B213" s="2">
        <v>5</v>
      </c>
      <c r="C213" s="2">
        <v>100</v>
      </c>
      <c r="D213" s="49">
        <v>60</v>
      </c>
      <c r="E213" s="2">
        <f t="shared" si="7"/>
        <v>160</v>
      </c>
      <c r="F213" s="27">
        <f>M17</f>
        <v>1.47</v>
      </c>
      <c r="G213" s="22">
        <f t="shared" si="8"/>
        <v>1.47</v>
      </c>
    </row>
    <row r="214" spans="1:7" x14ac:dyDescent="0.25">
      <c r="A214" t="s">
        <v>317</v>
      </c>
      <c r="B214" s="2">
        <v>6</v>
      </c>
      <c r="C214" s="2">
        <v>100</v>
      </c>
      <c r="D214" s="49">
        <v>80</v>
      </c>
      <c r="E214" s="2">
        <f t="shared" si="7"/>
        <v>180</v>
      </c>
      <c r="F214" s="27">
        <f>M26</f>
        <v>1.47</v>
      </c>
      <c r="G214" s="22">
        <f t="shared" si="8"/>
        <v>1.47</v>
      </c>
    </row>
    <row r="215" spans="1:7" x14ac:dyDescent="0.25">
      <c r="A215" t="s">
        <v>319</v>
      </c>
      <c r="B215" s="2">
        <v>7</v>
      </c>
      <c r="C215" s="2">
        <v>125</v>
      </c>
      <c r="D215" s="49">
        <v>80</v>
      </c>
      <c r="E215" s="2">
        <f t="shared" si="7"/>
        <v>205</v>
      </c>
      <c r="F215" s="27">
        <f>M33</f>
        <v>3.0870000000000002</v>
      </c>
      <c r="G215" s="22">
        <f t="shared" si="8"/>
        <v>3.0870000000000002</v>
      </c>
    </row>
    <row r="216" spans="1:7" x14ac:dyDescent="0.25">
      <c r="A216" t="s">
        <v>321</v>
      </c>
      <c r="B216" s="2">
        <v>8</v>
      </c>
      <c r="C216" s="2">
        <v>150</v>
      </c>
      <c r="D216" s="49">
        <v>90</v>
      </c>
      <c r="E216" s="2">
        <f t="shared" si="7"/>
        <v>240</v>
      </c>
      <c r="F216" s="27">
        <f>M38</f>
        <v>3.0870000000000002</v>
      </c>
      <c r="G216" s="22">
        <f t="shared" si="8"/>
        <v>3.0870000000000002</v>
      </c>
    </row>
    <row r="217" spans="1:7" x14ac:dyDescent="0.25">
      <c r="A217" t="s">
        <v>323</v>
      </c>
      <c r="B217" s="2">
        <v>8</v>
      </c>
      <c r="C217" s="2">
        <v>200</v>
      </c>
      <c r="D217" s="49">
        <v>90</v>
      </c>
      <c r="E217" s="2">
        <f t="shared" si="7"/>
        <v>290</v>
      </c>
      <c r="F217" s="27">
        <f>M38</f>
        <v>3.0870000000000002</v>
      </c>
      <c r="G217" s="22">
        <f t="shared" si="8"/>
        <v>3.0870000000000002</v>
      </c>
    </row>
    <row r="218" spans="1:7" x14ac:dyDescent="0.25">
      <c r="A218" t="s">
        <v>325</v>
      </c>
      <c r="B218" s="2">
        <v>3</v>
      </c>
      <c r="C218" s="2">
        <v>60</v>
      </c>
      <c r="D218" s="49">
        <v>60</v>
      </c>
      <c r="E218" s="2">
        <f t="shared" si="7"/>
        <v>120</v>
      </c>
      <c r="F218" s="27">
        <f>M5</f>
        <v>1.1445000000000001</v>
      </c>
      <c r="G218" s="22">
        <f t="shared" si="8"/>
        <v>1.1445000000000001</v>
      </c>
    </row>
    <row r="219" spans="1:7" x14ac:dyDescent="0.25">
      <c r="A219" t="s">
        <v>327</v>
      </c>
      <c r="B219" s="2">
        <v>3</v>
      </c>
      <c r="C219" s="2">
        <v>60</v>
      </c>
      <c r="D219" s="49">
        <v>60</v>
      </c>
      <c r="E219" s="2">
        <f t="shared" si="7"/>
        <v>120</v>
      </c>
      <c r="F219" s="27">
        <f>M5</f>
        <v>1.1445000000000001</v>
      </c>
      <c r="G219" s="22">
        <f t="shared" si="8"/>
        <v>1.1445000000000001</v>
      </c>
    </row>
    <row r="220" spans="1:7" x14ac:dyDescent="0.25">
      <c r="A220" t="s">
        <v>329</v>
      </c>
      <c r="B220" s="2">
        <v>3</v>
      </c>
      <c r="C220" s="2">
        <v>60</v>
      </c>
      <c r="D220" s="49">
        <v>60</v>
      </c>
      <c r="E220" s="2">
        <f t="shared" si="7"/>
        <v>120</v>
      </c>
      <c r="F220" s="27">
        <f>M5</f>
        <v>1.1445000000000001</v>
      </c>
      <c r="G220" s="22">
        <f t="shared" si="8"/>
        <v>1.1445000000000001</v>
      </c>
    </row>
    <row r="221" spans="1:7" x14ac:dyDescent="0.25">
      <c r="A221" t="s">
        <v>331</v>
      </c>
      <c r="B221" s="2">
        <v>3</v>
      </c>
      <c r="C221" s="2">
        <v>60</v>
      </c>
      <c r="D221" s="49">
        <v>60</v>
      </c>
      <c r="E221" s="2">
        <f t="shared" si="7"/>
        <v>120</v>
      </c>
      <c r="F221" s="27">
        <f>M5</f>
        <v>1.1445000000000001</v>
      </c>
      <c r="G221" s="22">
        <f t="shared" si="8"/>
        <v>1.1445000000000001</v>
      </c>
    </row>
    <row r="222" spans="1:7" x14ac:dyDescent="0.25">
      <c r="A222" t="s">
        <v>333</v>
      </c>
      <c r="B222" s="2">
        <v>4</v>
      </c>
      <c r="C222" s="2">
        <v>80</v>
      </c>
      <c r="D222" s="49">
        <v>60</v>
      </c>
      <c r="E222" s="2">
        <f t="shared" si="7"/>
        <v>140</v>
      </c>
      <c r="F222" s="27">
        <f>M9</f>
        <v>1.1550000000000002</v>
      </c>
      <c r="G222" s="22">
        <f t="shared" si="8"/>
        <v>1.1550000000000002</v>
      </c>
    </row>
    <row r="223" spans="1:7" x14ac:dyDescent="0.25">
      <c r="A223" t="s">
        <v>335</v>
      </c>
      <c r="B223" s="2">
        <v>4</v>
      </c>
      <c r="C223" s="2">
        <v>80</v>
      </c>
      <c r="D223" s="49">
        <v>60</v>
      </c>
      <c r="E223" s="2">
        <f t="shared" si="7"/>
        <v>140</v>
      </c>
      <c r="F223" s="27">
        <f>M9</f>
        <v>1.1550000000000002</v>
      </c>
      <c r="G223" s="22">
        <f t="shared" si="8"/>
        <v>1.1550000000000002</v>
      </c>
    </row>
    <row r="224" spans="1:7" x14ac:dyDescent="0.25">
      <c r="A224" t="s">
        <v>337</v>
      </c>
      <c r="B224" s="2">
        <v>5</v>
      </c>
      <c r="C224" s="2">
        <v>100</v>
      </c>
      <c r="D224" s="49">
        <v>60</v>
      </c>
      <c r="E224" s="2">
        <f t="shared" si="7"/>
        <v>160</v>
      </c>
      <c r="F224" s="27">
        <f>M17</f>
        <v>1.47</v>
      </c>
      <c r="G224" s="22">
        <f t="shared" si="8"/>
        <v>1.47</v>
      </c>
    </row>
    <row r="225" spans="1:17" x14ac:dyDescent="0.25">
      <c r="A225" t="s">
        <v>339</v>
      </c>
      <c r="B225" s="2">
        <v>5</v>
      </c>
      <c r="C225" s="2">
        <v>100</v>
      </c>
      <c r="D225" s="49">
        <v>60</v>
      </c>
      <c r="E225" s="2">
        <f t="shared" si="7"/>
        <v>160</v>
      </c>
      <c r="F225" s="27">
        <f>M17</f>
        <v>1.47</v>
      </c>
      <c r="G225" s="22">
        <f t="shared" si="8"/>
        <v>1.47</v>
      </c>
    </row>
    <row r="226" spans="1:17" x14ac:dyDescent="0.25">
      <c r="A226" t="s">
        <v>341</v>
      </c>
      <c r="B226" s="2">
        <v>6</v>
      </c>
      <c r="C226" s="2">
        <v>100</v>
      </c>
      <c r="D226" s="49">
        <v>80</v>
      </c>
      <c r="E226" s="2">
        <f t="shared" si="7"/>
        <v>180</v>
      </c>
      <c r="F226" s="27">
        <f>M26</f>
        <v>1.47</v>
      </c>
      <c r="G226" s="22">
        <f t="shared" si="8"/>
        <v>1.47</v>
      </c>
    </row>
    <row r="227" spans="1:17" x14ac:dyDescent="0.25">
      <c r="A227" t="s">
        <v>343</v>
      </c>
      <c r="B227" s="2">
        <v>7</v>
      </c>
      <c r="C227" s="2">
        <v>125</v>
      </c>
      <c r="D227" s="49">
        <v>80</v>
      </c>
      <c r="E227" s="2">
        <f t="shared" si="7"/>
        <v>205</v>
      </c>
      <c r="F227" s="27">
        <f>M33</f>
        <v>3.0870000000000002</v>
      </c>
      <c r="G227" s="22">
        <f t="shared" si="8"/>
        <v>3.0870000000000002</v>
      </c>
    </row>
    <row r="228" spans="1:17" x14ac:dyDescent="0.25">
      <c r="A228" t="s">
        <v>345</v>
      </c>
      <c r="B228" s="2">
        <v>8</v>
      </c>
      <c r="C228" s="2">
        <v>150</v>
      </c>
      <c r="D228" s="49">
        <v>90</v>
      </c>
      <c r="E228" s="2">
        <f t="shared" si="7"/>
        <v>240</v>
      </c>
      <c r="F228" s="27">
        <f>M38</f>
        <v>3.0870000000000002</v>
      </c>
      <c r="G228" s="22">
        <f t="shared" si="8"/>
        <v>3.0870000000000002</v>
      </c>
    </row>
    <row r="229" spans="1:17" x14ac:dyDescent="0.25">
      <c r="A229" t="s">
        <v>347</v>
      </c>
      <c r="B229" s="2">
        <v>8</v>
      </c>
      <c r="C229" s="2">
        <v>200</v>
      </c>
      <c r="D229" s="49">
        <v>90</v>
      </c>
      <c r="E229" s="2">
        <f t="shared" si="7"/>
        <v>290</v>
      </c>
      <c r="F229" s="27">
        <f>M38</f>
        <v>3.0870000000000002</v>
      </c>
      <c r="G229" s="22">
        <f t="shared" si="8"/>
        <v>3.0870000000000002</v>
      </c>
    </row>
    <row r="230" spans="1:17" s="103" customFormat="1" x14ac:dyDescent="0.25">
      <c r="B230" s="113"/>
      <c r="C230" s="113"/>
      <c r="D230" s="47"/>
      <c r="E230" s="113"/>
      <c r="F230" s="27"/>
      <c r="G230" s="22"/>
      <c r="I230" s="113"/>
      <c r="J230" s="113"/>
      <c r="K230" s="113"/>
      <c r="L230" s="113"/>
      <c r="M230" s="113"/>
      <c r="N230" s="113"/>
      <c r="O230" s="113"/>
      <c r="P230" s="113"/>
      <c r="Q230" s="113"/>
    </row>
    <row r="231" spans="1:17" s="103" customFormat="1" x14ac:dyDescent="0.25">
      <c r="B231" s="113"/>
      <c r="C231" s="113"/>
      <c r="D231" s="47"/>
      <c r="E231" s="113"/>
      <c r="F231" s="27"/>
      <c r="G231" s="22"/>
      <c r="I231" s="113"/>
      <c r="J231" s="113"/>
      <c r="K231" s="113"/>
      <c r="L231" s="113"/>
      <c r="M231" s="113"/>
      <c r="N231" s="113"/>
      <c r="O231" s="113"/>
      <c r="P231" s="113"/>
      <c r="Q231" s="113"/>
    </row>
    <row r="232" spans="1:17" x14ac:dyDescent="0.25">
      <c r="A232" t="s">
        <v>808</v>
      </c>
      <c r="B232" s="2">
        <v>2</v>
      </c>
      <c r="C232" s="2">
        <f>E232-D232</f>
        <v>50</v>
      </c>
      <c r="D232" s="2">
        <v>75</v>
      </c>
      <c r="E232" s="2">
        <v>125</v>
      </c>
      <c r="F232" s="27">
        <f>M5</f>
        <v>1.1445000000000001</v>
      </c>
      <c r="G232" s="22">
        <f t="shared" ref="G232:G258" si="9">F232</f>
        <v>1.1445000000000001</v>
      </c>
    </row>
    <row r="233" spans="1:17" ht="18" customHeight="1" x14ac:dyDescent="0.25">
      <c r="A233" t="s">
        <v>816</v>
      </c>
      <c r="B233" s="2">
        <v>2.5</v>
      </c>
      <c r="C233" s="2">
        <f t="shared" ref="C233:C258" si="10">E233-D233</f>
        <v>50</v>
      </c>
      <c r="D233" s="2">
        <v>100</v>
      </c>
      <c r="E233" s="2">
        <v>150</v>
      </c>
      <c r="F233" s="27">
        <f>M5</f>
        <v>1.1445000000000001</v>
      </c>
      <c r="G233" s="22">
        <f t="shared" si="9"/>
        <v>1.1445000000000001</v>
      </c>
    </row>
    <row r="234" spans="1:17" x14ac:dyDescent="0.25">
      <c r="A234" t="s">
        <v>809</v>
      </c>
      <c r="B234" s="2">
        <v>3</v>
      </c>
      <c r="C234" s="2">
        <f t="shared" si="10"/>
        <v>50</v>
      </c>
      <c r="D234" s="2">
        <v>100</v>
      </c>
      <c r="E234" s="2">
        <v>150</v>
      </c>
      <c r="F234" s="27">
        <f>M5</f>
        <v>1.1445000000000001</v>
      </c>
      <c r="G234" s="22">
        <f t="shared" si="9"/>
        <v>1.1445000000000001</v>
      </c>
    </row>
    <row r="235" spans="1:17" x14ac:dyDescent="0.25">
      <c r="A235" t="s">
        <v>810</v>
      </c>
      <c r="B235" s="2">
        <v>4</v>
      </c>
      <c r="C235" s="2">
        <f t="shared" si="10"/>
        <v>60</v>
      </c>
      <c r="D235" s="2">
        <v>100</v>
      </c>
      <c r="E235" s="2">
        <v>160</v>
      </c>
      <c r="F235" s="27">
        <f>M10</f>
        <v>1.47</v>
      </c>
      <c r="G235" s="22">
        <f t="shared" si="9"/>
        <v>1.47</v>
      </c>
    </row>
    <row r="236" spans="1:17" x14ac:dyDescent="0.25">
      <c r="A236" t="s">
        <v>811</v>
      </c>
      <c r="B236" s="2">
        <v>5</v>
      </c>
      <c r="C236" s="2">
        <f t="shared" si="10"/>
        <v>60</v>
      </c>
      <c r="D236" s="2">
        <v>100</v>
      </c>
      <c r="E236" s="2">
        <v>160</v>
      </c>
      <c r="F236" s="27">
        <f>M17</f>
        <v>1.47</v>
      </c>
      <c r="G236" s="22">
        <f t="shared" si="9"/>
        <v>1.47</v>
      </c>
    </row>
    <row r="237" spans="1:17" x14ac:dyDescent="0.25">
      <c r="A237" t="s">
        <v>812</v>
      </c>
      <c r="B237" s="2">
        <v>6</v>
      </c>
      <c r="C237" s="2">
        <f t="shared" si="10"/>
        <v>80</v>
      </c>
      <c r="D237" s="2">
        <v>125</v>
      </c>
      <c r="E237" s="2">
        <v>205</v>
      </c>
      <c r="F237" s="27">
        <f>M27</f>
        <v>1.8900000000000001</v>
      </c>
      <c r="G237" s="22">
        <f t="shared" si="9"/>
        <v>1.8900000000000001</v>
      </c>
    </row>
    <row r="238" spans="1:17" x14ac:dyDescent="0.25">
      <c r="A238" t="s">
        <v>813</v>
      </c>
      <c r="B238" s="2">
        <v>6</v>
      </c>
      <c r="C238" s="2">
        <f t="shared" si="10"/>
        <v>80</v>
      </c>
      <c r="D238" s="2">
        <v>150</v>
      </c>
      <c r="E238" s="2">
        <v>230</v>
      </c>
      <c r="F238" s="27">
        <f>M27</f>
        <v>1.8900000000000001</v>
      </c>
      <c r="G238" s="22">
        <f t="shared" si="9"/>
        <v>1.8900000000000001</v>
      </c>
    </row>
    <row r="239" spans="1:17" x14ac:dyDescent="0.25">
      <c r="A239" t="s">
        <v>814</v>
      </c>
      <c r="B239" s="2">
        <v>8</v>
      </c>
      <c r="C239" s="2">
        <f t="shared" si="10"/>
        <v>95</v>
      </c>
      <c r="D239" s="2">
        <v>150</v>
      </c>
      <c r="E239" s="2">
        <v>245</v>
      </c>
      <c r="F239" s="27">
        <f>M38</f>
        <v>3.0870000000000002</v>
      </c>
      <c r="G239" s="22">
        <f t="shared" si="9"/>
        <v>3.0870000000000002</v>
      </c>
    </row>
    <row r="240" spans="1:17" x14ac:dyDescent="0.25">
      <c r="A240" t="s">
        <v>815</v>
      </c>
      <c r="B240" s="2">
        <v>10</v>
      </c>
      <c r="C240" s="2">
        <f t="shared" si="10"/>
        <v>84</v>
      </c>
      <c r="D240" s="2">
        <v>200</v>
      </c>
      <c r="E240" s="2">
        <v>284</v>
      </c>
      <c r="F240" s="27">
        <f>M41</f>
        <v>2.415</v>
      </c>
      <c r="G240" s="22">
        <f t="shared" si="9"/>
        <v>2.415</v>
      </c>
    </row>
    <row r="241" spans="1:7" x14ac:dyDescent="0.25">
      <c r="A241" t="s">
        <v>799</v>
      </c>
      <c r="B241" s="2">
        <v>2</v>
      </c>
      <c r="C241" s="2">
        <f t="shared" si="10"/>
        <v>50</v>
      </c>
      <c r="D241" s="2">
        <v>75</v>
      </c>
      <c r="E241" s="2">
        <v>125</v>
      </c>
      <c r="F241" s="27">
        <f>M5</f>
        <v>1.1445000000000001</v>
      </c>
      <c r="G241" s="22">
        <f t="shared" si="9"/>
        <v>1.1445000000000001</v>
      </c>
    </row>
    <row r="242" spans="1:7" x14ac:dyDescent="0.25">
      <c r="A242" t="s">
        <v>800</v>
      </c>
      <c r="B242" s="2">
        <v>2.5</v>
      </c>
      <c r="C242" s="2">
        <f t="shared" si="10"/>
        <v>50</v>
      </c>
      <c r="D242" s="2">
        <v>100</v>
      </c>
      <c r="E242" s="2">
        <v>150</v>
      </c>
      <c r="F242" s="27">
        <f>M5</f>
        <v>1.1445000000000001</v>
      </c>
      <c r="G242" s="22">
        <f t="shared" si="9"/>
        <v>1.1445000000000001</v>
      </c>
    </row>
    <row r="243" spans="1:7" x14ac:dyDescent="0.25">
      <c r="A243" t="s">
        <v>801</v>
      </c>
      <c r="B243" s="2">
        <v>3</v>
      </c>
      <c r="C243" s="2">
        <f t="shared" si="10"/>
        <v>50</v>
      </c>
      <c r="D243" s="2">
        <v>100</v>
      </c>
      <c r="E243" s="2">
        <v>150</v>
      </c>
      <c r="F243" s="27">
        <f>M5</f>
        <v>1.1445000000000001</v>
      </c>
      <c r="G243" s="22">
        <f t="shared" si="9"/>
        <v>1.1445000000000001</v>
      </c>
    </row>
    <row r="244" spans="1:7" x14ac:dyDescent="0.25">
      <c r="A244" t="s">
        <v>802</v>
      </c>
      <c r="B244" s="2">
        <v>4</v>
      </c>
      <c r="C244" s="2">
        <f t="shared" si="10"/>
        <v>60</v>
      </c>
      <c r="D244" s="2">
        <v>100</v>
      </c>
      <c r="E244" s="2">
        <v>160</v>
      </c>
      <c r="F244" s="27">
        <f>M10</f>
        <v>1.47</v>
      </c>
      <c r="G244" s="22">
        <f t="shared" si="9"/>
        <v>1.47</v>
      </c>
    </row>
    <row r="245" spans="1:7" x14ac:dyDescent="0.25">
      <c r="A245" t="s">
        <v>803</v>
      </c>
      <c r="B245" s="2">
        <v>5</v>
      </c>
      <c r="C245" s="2">
        <f t="shared" si="10"/>
        <v>60</v>
      </c>
      <c r="D245" s="2">
        <v>100</v>
      </c>
      <c r="E245" s="2">
        <v>160</v>
      </c>
      <c r="F245" s="27">
        <f>M17</f>
        <v>1.47</v>
      </c>
      <c r="G245" s="22">
        <f t="shared" si="9"/>
        <v>1.47</v>
      </c>
    </row>
    <row r="246" spans="1:7" x14ac:dyDescent="0.25">
      <c r="A246" t="s">
        <v>804</v>
      </c>
      <c r="B246" s="2">
        <v>6</v>
      </c>
      <c r="C246" s="2">
        <f t="shared" si="10"/>
        <v>80</v>
      </c>
      <c r="D246" s="2">
        <v>125</v>
      </c>
      <c r="E246" s="2">
        <v>205</v>
      </c>
      <c r="F246" s="27">
        <f>M27</f>
        <v>1.8900000000000001</v>
      </c>
      <c r="G246" s="22">
        <f t="shared" si="9"/>
        <v>1.8900000000000001</v>
      </c>
    </row>
    <row r="247" spans="1:7" x14ac:dyDescent="0.25">
      <c r="A247" t="s">
        <v>805</v>
      </c>
      <c r="B247" s="2">
        <v>6</v>
      </c>
      <c r="C247" s="2">
        <f t="shared" si="10"/>
        <v>80</v>
      </c>
      <c r="D247" s="2">
        <v>150</v>
      </c>
      <c r="E247" s="2">
        <v>230</v>
      </c>
      <c r="F247" s="27">
        <f>M28</f>
        <v>3.8115000000000001</v>
      </c>
      <c r="G247" s="22">
        <f t="shared" si="9"/>
        <v>3.8115000000000001</v>
      </c>
    </row>
    <row r="248" spans="1:7" x14ac:dyDescent="0.25">
      <c r="A248" t="s">
        <v>806</v>
      </c>
      <c r="B248" s="2">
        <v>8</v>
      </c>
      <c r="C248" s="2">
        <f t="shared" si="10"/>
        <v>95</v>
      </c>
      <c r="D248" s="2">
        <v>150</v>
      </c>
      <c r="E248" s="2">
        <v>245</v>
      </c>
      <c r="F248" s="27">
        <f>M38</f>
        <v>3.0870000000000002</v>
      </c>
      <c r="G248" s="22">
        <f t="shared" si="9"/>
        <v>3.0870000000000002</v>
      </c>
    </row>
    <row r="249" spans="1:7" x14ac:dyDescent="0.25">
      <c r="A249" t="s">
        <v>807</v>
      </c>
      <c r="B249" s="2">
        <v>10</v>
      </c>
      <c r="C249" s="2">
        <f t="shared" si="10"/>
        <v>84</v>
      </c>
      <c r="D249" s="2">
        <v>200</v>
      </c>
      <c r="E249" s="2">
        <v>284</v>
      </c>
      <c r="F249" s="27">
        <f>M41</f>
        <v>2.415</v>
      </c>
      <c r="G249" s="22">
        <f t="shared" si="9"/>
        <v>2.415</v>
      </c>
    </row>
    <row r="250" spans="1:7" x14ac:dyDescent="0.25">
      <c r="A250" t="s">
        <v>799</v>
      </c>
      <c r="B250" s="2">
        <v>2</v>
      </c>
      <c r="C250" s="2">
        <f t="shared" si="10"/>
        <v>50</v>
      </c>
      <c r="D250" s="2">
        <v>75</v>
      </c>
      <c r="E250" s="2">
        <v>125</v>
      </c>
      <c r="F250" s="27">
        <f>M5</f>
        <v>1.1445000000000001</v>
      </c>
      <c r="G250" s="22">
        <f t="shared" si="9"/>
        <v>1.1445000000000001</v>
      </c>
    </row>
    <row r="251" spans="1:7" x14ac:dyDescent="0.25">
      <c r="A251" t="s">
        <v>817</v>
      </c>
      <c r="B251" s="2">
        <v>2.5</v>
      </c>
      <c r="C251" s="2">
        <f t="shared" si="10"/>
        <v>50</v>
      </c>
      <c r="D251" s="2">
        <v>100</v>
      </c>
      <c r="E251" s="2">
        <v>150</v>
      </c>
      <c r="F251" s="27">
        <f>M5</f>
        <v>1.1445000000000001</v>
      </c>
      <c r="G251" s="22">
        <f t="shared" si="9"/>
        <v>1.1445000000000001</v>
      </c>
    </row>
    <row r="252" spans="1:7" x14ac:dyDescent="0.25">
      <c r="A252" t="s">
        <v>818</v>
      </c>
      <c r="B252" s="2">
        <v>3</v>
      </c>
      <c r="C252" s="2">
        <f t="shared" si="10"/>
        <v>50</v>
      </c>
      <c r="D252" s="2">
        <v>100</v>
      </c>
      <c r="E252" s="2">
        <v>150</v>
      </c>
      <c r="F252" s="27">
        <f>M5</f>
        <v>1.1445000000000001</v>
      </c>
      <c r="G252" s="22">
        <f t="shared" si="9"/>
        <v>1.1445000000000001</v>
      </c>
    </row>
    <row r="253" spans="1:7" x14ac:dyDescent="0.25">
      <c r="A253" t="s">
        <v>819</v>
      </c>
      <c r="B253" s="2">
        <v>4</v>
      </c>
      <c r="C253" s="2">
        <f t="shared" si="10"/>
        <v>60</v>
      </c>
      <c r="D253" s="2">
        <v>100</v>
      </c>
      <c r="E253" s="2">
        <v>160</v>
      </c>
      <c r="F253" s="27">
        <f>M10</f>
        <v>1.47</v>
      </c>
      <c r="G253" s="22">
        <f t="shared" si="9"/>
        <v>1.47</v>
      </c>
    </row>
    <row r="254" spans="1:7" x14ac:dyDescent="0.25">
      <c r="A254" t="s">
        <v>820</v>
      </c>
      <c r="B254" s="2">
        <v>5</v>
      </c>
      <c r="C254" s="2">
        <f t="shared" si="10"/>
        <v>60</v>
      </c>
      <c r="D254" s="2">
        <v>100</v>
      </c>
      <c r="E254" s="2">
        <v>160</v>
      </c>
      <c r="F254" s="27">
        <f>M17</f>
        <v>1.47</v>
      </c>
      <c r="G254" s="22">
        <f t="shared" si="9"/>
        <v>1.47</v>
      </c>
    </row>
    <row r="255" spans="1:7" x14ac:dyDescent="0.25">
      <c r="A255" t="s">
        <v>821</v>
      </c>
      <c r="B255" s="2">
        <v>6</v>
      </c>
      <c r="C255" s="2">
        <f t="shared" si="10"/>
        <v>80</v>
      </c>
      <c r="D255" s="2">
        <v>125</v>
      </c>
      <c r="E255" s="2">
        <v>205</v>
      </c>
      <c r="F255" s="27">
        <f>M27</f>
        <v>1.8900000000000001</v>
      </c>
      <c r="G255" s="22">
        <f t="shared" si="9"/>
        <v>1.8900000000000001</v>
      </c>
    </row>
    <row r="256" spans="1:7" x14ac:dyDescent="0.25">
      <c r="A256" t="s">
        <v>822</v>
      </c>
      <c r="B256" s="2">
        <v>6</v>
      </c>
      <c r="C256" s="2">
        <f t="shared" si="10"/>
        <v>80</v>
      </c>
      <c r="D256" s="2">
        <v>150</v>
      </c>
      <c r="E256" s="2">
        <v>230</v>
      </c>
      <c r="F256" s="27">
        <f>M27</f>
        <v>1.8900000000000001</v>
      </c>
      <c r="G256" s="22">
        <f t="shared" si="9"/>
        <v>1.8900000000000001</v>
      </c>
    </row>
    <row r="257" spans="1:13" x14ac:dyDescent="0.25">
      <c r="A257" t="s">
        <v>823</v>
      </c>
      <c r="B257" s="2">
        <v>8</v>
      </c>
      <c r="C257" s="2">
        <f t="shared" si="10"/>
        <v>95</v>
      </c>
      <c r="D257" s="2">
        <v>150</v>
      </c>
      <c r="E257" s="2">
        <v>245</v>
      </c>
      <c r="F257" s="27">
        <f>M38</f>
        <v>3.0870000000000002</v>
      </c>
      <c r="G257" s="22">
        <f t="shared" si="9"/>
        <v>3.0870000000000002</v>
      </c>
    </row>
    <row r="258" spans="1:13" x14ac:dyDescent="0.25">
      <c r="A258" t="s">
        <v>824</v>
      </c>
      <c r="B258" s="2">
        <v>10</v>
      </c>
      <c r="C258" s="2">
        <f t="shared" si="10"/>
        <v>84</v>
      </c>
      <c r="D258" s="2">
        <v>200</v>
      </c>
      <c r="E258" s="2">
        <v>284</v>
      </c>
      <c r="F258" s="27">
        <f>M41</f>
        <v>2.415</v>
      </c>
      <c r="G258" s="22">
        <f t="shared" si="9"/>
        <v>2.415</v>
      </c>
    </row>
    <row r="263" spans="1:13" ht="19.5" x14ac:dyDescent="0.25">
      <c r="A263" s="80" t="s">
        <v>1088</v>
      </c>
      <c r="B263" s="2"/>
      <c r="C263" s="2"/>
      <c r="D263" s="2"/>
      <c r="E263" s="2"/>
    </row>
    <row r="264" spans="1:13" x14ac:dyDescent="0.25">
      <c r="A264" s="4" t="s">
        <v>0</v>
      </c>
      <c r="B264" s="28" t="s">
        <v>443</v>
      </c>
      <c r="C264" s="28" t="s">
        <v>452</v>
      </c>
      <c r="D264" s="28" t="s">
        <v>454</v>
      </c>
      <c r="E264" s="28" t="s">
        <v>945</v>
      </c>
      <c r="F264" s="19" t="s">
        <v>446</v>
      </c>
      <c r="G264" s="21" t="s">
        <v>448</v>
      </c>
    </row>
    <row r="265" spans="1:13" x14ac:dyDescent="0.25">
      <c r="A265" s="4" t="s">
        <v>834</v>
      </c>
      <c r="B265" s="28">
        <v>5</v>
      </c>
      <c r="C265" s="28">
        <v>75</v>
      </c>
      <c r="D265" s="28">
        <v>90</v>
      </c>
      <c r="E265" s="33">
        <f t="shared" ref="E265:E320" si="11">D265+C265</f>
        <v>165</v>
      </c>
      <c r="F265" s="87">
        <f>M275</f>
        <v>1.8900000000000001</v>
      </c>
      <c r="G265" s="87">
        <f>F265</f>
        <v>1.8900000000000001</v>
      </c>
    </row>
    <row r="266" spans="1:13" x14ac:dyDescent="0.25">
      <c r="A266" s="4" t="s">
        <v>836</v>
      </c>
      <c r="B266" s="28">
        <v>5</v>
      </c>
      <c r="C266" s="28">
        <v>100</v>
      </c>
      <c r="D266" s="28">
        <v>90</v>
      </c>
      <c r="E266" s="33">
        <f t="shared" si="11"/>
        <v>190</v>
      </c>
      <c r="F266" s="87">
        <f>M275</f>
        <v>1.8900000000000001</v>
      </c>
      <c r="G266">
        <f t="shared" ref="G266:G320" si="12">F266</f>
        <v>1.8900000000000001</v>
      </c>
    </row>
    <row r="267" spans="1:13" x14ac:dyDescent="0.25">
      <c r="A267" s="4" t="s">
        <v>838</v>
      </c>
      <c r="B267" s="28">
        <v>5</v>
      </c>
      <c r="C267" s="28">
        <v>150</v>
      </c>
      <c r="D267" s="28">
        <v>90</v>
      </c>
      <c r="E267" s="33">
        <f t="shared" si="11"/>
        <v>240</v>
      </c>
      <c r="F267" s="87">
        <f>M276</f>
        <v>2.2050000000000001</v>
      </c>
      <c r="G267">
        <f t="shared" si="12"/>
        <v>2.2050000000000001</v>
      </c>
    </row>
    <row r="268" spans="1:13" x14ac:dyDescent="0.25">
      <c r="A268" s="4" t="s">
        <v>840</v>
      </c>
      <c r="B268" s="28">
        <v>5</v>
      </c>
      <c r="C268" s="28">
        <v>200</v>
      </c>
      <c r="D268" s="28">
        <v>90</v>
      </c>
      <c r="E268" s="33">
        <f t="shared" si="11"/>
        <v>290</v>
      </c>
      <c r="F268" s="87">
        <f>M277</f>
        <v>3.6750000000000003</v>
      </c>
      <c r="G268">
        <f t="shared" si="12"/>
        <v>3.6750000000000003</v>
      </c>
    </row>
    <row r="269" spans="1:13" ht="17.25" thickBot="1" x14ac:dyDescent="0.3">
      <c r="A269" s="4" t="s">
        <v>842</v>
      </c>
      <c r="B269" s="28">
        <v>5</v>
      </c>
      <c r="C269" s="28">
        <v>250</v>
      </c>
      <c r="D269" s="28">
        <v>90</v>
      </c>
      <c r="E269" s="33">
        <f t="shared" si="11"/>
        <v>340</v>
      </c>
      <c r="F269" s="87">
        <f>M278</f>
        <v>5.04</v>
      </c>
      <c r="G269">
        <f t="shared" si="12"/>
        <v>5.04</v>
      </c>
      <c r="I269" s="2" t="s">
        <v>1006</v>
      </c>
    </row>
    <row r="270" spans="1:13" x14ac:dyDescent="0.25">
      <c r="A270" s="4" t="s">
        <v>844</v>
      </c>
      <c r="B270" s="28">
        <v>5</v>
      </c>
      <c r="C270" s="28">
        <v>300</v>
      </c>
      <c r="D270" s="28">
        <v>90</v>
      </c>
      <c r="E270" s="33">
        <f t="shared" si="11"/>
        <v>390</v>
      </c>
      <c r="F270" s="87">
        <f>M278</f>
        <v>5.04</v>
      </c>
      <c r="G270">
        <f t="shared" si="12"/>
        <v>5.04</v>
      </c>
      <c r="I270" s="61" t="s">
        <v>490</v>
      </c>
      <c r="J270" s="37" t="s">
        <v>442</v>
      </c>
      <c r="K270" s="37" t="s">
        <v>977</v>
      </c>
      <c r="L270" s="37" t="s">
        <v>529</v>
      </c>
      <c r="M270" s="67" t="s">
        <v>449</v>
      </c>
    </row>
    <row r="271" spans="1:13" x14ac:dyDescent="0.25">
      <c r="A271" s="4" t="s">
        <v>846</v>
      </c>
      <c r="B271" s="28">
        <v>6</v>
      </c>
      <c r="C271" s="28">
        <v>100</v>
      </c>
      <c r="D271" s="28">
        <v>110</v>
      </c>
      <c r="E271" s="33">
        <f t="shared" si="11"/>
        <v>210</v>
      </c>
      <c r="F271" s="87">
        <f>M282</f>
        <v>1.8900000000000001</v>
      </c>
      <c r="G271">
        <f t="shared" si="12"/>
        <v>1.8900000000000001</v>
      </c>
      <c r="I271" s="62" t="s">
        <v>489</v>
      </c>
      <c r="J271" s="40" t="s">
        <v>950</v>
      </c>
      <c r="K271" s="40">
        <v>1.4</v>
      </c>
      <c r="L271" s="40">
        <v>1.05</v>
      </c>
      <c r="M271" s="68">
        <f>L271*K271</f>
        <v>1.47</v>
      </c>
    </row>
    <row r="272" spans="1:13" x14ac:dyDescent="0.25">
      <c r="A272" s="4" t="s">
        <v>848</v>
      </c>
      <c r="B272" s="28">
        <v>6</v>
      </c>
      <c r="C272" s="28">
        <v>125</v>
      </c>
      <c r="D272" s="28">
        <v>110</v>
      </c>
      <c r="E272" s="33">
        <f t="shared" si="11"/>
        <v>235</v>
      </c>
      <c r="F272" s="87">
        <f>M283</f>
        <v>2.2050000000000001</v>
      </c>
      <c r="G272">
        <f t="shared" si="12"/>
        <v>2.2050000000000001</v>
      </c>
      <c r="I272" s="62" t="s">
        <v>489</v>
      </c>
      <c r="J272" s="40" t="s">
        <v>951</v>
      </c>
      <c r="K272" s="40">
        <v>1.8</v>
      </c>
      <c r="L272" s="106">
        <v>1.05</v>
      </c>
      <c r="M272" s="68">
        <f t="shared" ref="M272:M297" si="13">L272*K272</f>
        <v>1.8900000000000001</v>
      </c>
    </row>
    <row r="273" spans="1:13" x14ac:dyDescent="0.25">
      <c r="A273" s="4" t="s">
        <v>850</v>
      </c>
      <c r="B273" s="28">
        <v>6</v>
      </c>
      <c r="C273" s="28">
        <v>150</v>
      </c>
      <c r="D273" s="28">
        <v>110</v>
      </c>
      <c r="E273" s="33">
        <f t="shared" si="11"/>
        <v>260</v>
      </c>
      <c r="F273" s="87">
        <f>M284</f>
        <v>3.6750000000000003</v>
      </c>
      <c r="G273">
        <f t="shared" si="12"/>
        <v>3.6750000000000003</v>
      </c>
      <c r="I273" s="62" t="s">
        <v>980</v>
      </c>
      <c r="J273" s="40" t="s">
        <v>995</v>
      </c>
      <c r="K273" s="40">
        <v>1.1000000000000001</v>
      </c>
      <c r="L273" s="106">
        <v>1.05</v>
      </c>
      <c r="M273" s="68">
        <f t="shared" si="13"/>
        <v>1.1550000000000002</v>
      </c>
    </row>
    <row r="274" spans="1:13" x14ac:dyDescent="0.25">
      <c r="A274" s="4" t="s">
        <v>852</v>
      </c>
      <c r="B274" s="28">
        <v>6</v>
      </c>
      <c r="C274" s="28">
        <v>200</v>
      </c>
      <c r="D274" s="28">
        <v>110</v>
      </c>
      <c r="E274" s="33">
        <f t="shared" si="11"/>
        <v>310</v>
      </c>
      <c r="F274" s="87">
        <f>M285</f>
        <v>5.04</v>
      </c>
      <c r="G274">
        <f t="shared" si="12"/>
        <v>5.04</v>
      </c>
      <c r="I274" s="62" t="s">
        <v>491</v>
      </c>
      <c r="J274" s="40" t="s">
        <v>996</v>
      </c>
      <c r="K274" s="40">
        <v>1.4</v>
      </c>
      <c r="L274" s="106">
        <v>1.05</v>
      </c>
      <c r="M274" s="68">
        <f t="shared" si="13"/>
        <v>1.47</v>
      </c>
    </row>
    <row r="275" spans="1:13" x14ac:dyDescent="0.25">
      <c r="A275" s="4" t="s">
        <v>854</v>
      </c>
      <c r="B275" s="28">
        <v>6</v>
      </c>
      <c r="C275" s="28">
        <v>250</v>
      </c>
      <c r="D275" s="28">
        <v>110</v>
      </c>
      <c r="E275" s="33">
        <f t="shared" si="11"/>
        <v>360</v>
      </c>
      <c r="F275" s="87">
        <f>M285</f>
        <v>5.04</v>
      </c>
      <c r="G275">
        <f t="shared" si="12"/>
        <v>5.04</v>
      </c>
      <c r="I275" s="62" t="s">
        <v>491</v>
      </c>
      <c r="J275" s="40" t="s">
        <v>997</v>
      </c>
      <c r="K275" s="40">
        <v>1.8</v>
      </c>
      <c r="L275" s="106">
        <v>1.05</v>
      </c>
      <c r="M275" s="68">
        <f t="shared" si="13"/>
        <v>1.8900000000000001</v>
      </c>
    </row>
    <row r="276" spans="1:13" x14ac:dyDescent="0.25">
      <c r="A276" s="4" t="s">
        <v>856</v>
      </c>
      <c r="B276" s="28">
        <v>6</v>
      </c>
      <c r="C276" s="28">
        <v>300</v>
      </c>
      <c r="D276" s="28">
        <v>110</v>
      </c>
      <c r="E276" s="33">
        <f t="shared" si="11"/>
        <v>410</v>
      </c>
      <c r="F276" s="87">
        <f>M286</f>
        <v>6.7200000000000006</v>
      </c>
      <c r="G276">
        <f t="shared" si="12"/>
        <v>6.7200000000000006</v>
      </c>
      <c r="I276" s="62" t="s">
        <v>491</v>
      </c>
      <c r="J276" s="40" t="s">
        <v>998</v>
      </c>
      <c r="K276" s="40">
        <v>2.1</v>
      </c>
      <c r="L276" s="106">
        <v>1.05</v>
      </c>
      <c r="M276" s="68">
        <f t="shared" si="13"/>
        <v>2.2050000000000001</v>
      </c>
    </row>
    <row r="277" spans="1:13" x14ac:dyDescent="0.25">
      <c r="A277" s="4" t="s">
        <v>858</v>
      </c>
      <c r="B277" s="28">
        <v>6</v>
      </c>
      <c r="C277" s="28">
        <v>350</v>
      </c>
      <c r="D277" s="28">
        <v>110</v>
      </c>
      <c r="E277" s="33">
        <f t="shared" si="11"/>
        <v>460</v>
      </c>
      <c r="F277" s="87">
        <f>M286</f>
        <v>6.7200000000000006</v>
      </c>
      <c r="G277">
        <f t="shared" si="12"/>
        <v>6.7200000000000006</v>
      </c>
      <c r="I277" s="62" t="s">
        <v>491</v>
      </c>
      <c r="J277" s="40" t="s">
        <v>999</v>
      </c>
      <c r="K277" s="40">
        <v>3.5</v>
      </c>
      <c r="L277" s="106">
        <v>1.05</v>
      </c>
      <c r="M277" s="68">
        <f t="shared" si="13"/>
        <v>3.6750000000000003</v>
      </c>
    </row>
    <row r="278" spans="1:13" x14ac:dyDescent="0.25">
      <c r="A278" s="4" t="s">
        <v>860</v>
      </c>
      <c r="B278" s="28">
        <v>6</v>
      </c>
      <c r="C278" s="28">
        <v>400</v>
      </c>
      <c r="D278" s="28">
        <v>110</v>
      </c>
      <c r="E278" s="33">
        <f t="shared" si="11"/>
        <v>510</v>
      </c>
      <c r="F278" s="87">
        <f>M286</f>
        <v>6.7200000000000006</v>
      </c>
      <c r="G278">
        <f t="shared" si="12"/>
        <v>6.7200000000000006</v>
      </c>
      <c r="I278" s="62" t="s">
        <v>491</v>
      </c>
      <c r="J278" s="40" t="s">
        <v>1000</v>
      </c>
      <c r="K278" s="40">
        <v>4.8</v>
      </c>
      <c r="L278" s="106">
        <v>1.05</v>
      </c>
      <c r="M278" s="68">
        <f t="shared" si="13"/>
        <v>5.04</v>
      </c>
    </row>
    <row r="279" spans="1:13" x14ac:dyDescent="0.25">
      <c r="A279" s="4" t="s">
        <v>862</v>
      </c>
      <c r="B279" s="28">
        <v>8</v>
      </c>
      <c r="C279" s="28">
        <v>125</v>
      </c>
      <c r="D279" s="28">
        <v>125</v>
      </c>
      <c r="E279" s="33">
        <f t="shared" si="11"/>
        <v>250</v>
      </c>
      <c r="F279" s="87">
        <f>M292</f>
        <v>4.2</v>
      </c>
      <c r="G279">
        <f t="shared" si="12"/>
        <v>4.2</v>
      </c>
      <c r="I279" s="62" t="s">
        <v>491</v>
      </c>
      <c r="J279" s="40" t="s">
        <v>1001</v>
      </c>
      <c r="K279" s="40">
        <v>6.4</v>
      </c>
      <c r="L279" s="106">
        <v>1.05</v>
      </c>
      <c r="M279" s="68">
        <f t="shared" si="13"/>
        <v>6.7200000000000006</v>
      </c>
    </row>
    <row r="280" spans="1:13" x14ac:dyDescent="0.25">
      <c r="A280" s="4" t="s">
        <v>864</v>
      </c>
      <c r="B280" s="28">
        <v>8</v>
      </c>
      <c r="C280" s="28">
        <v>150</v>
      </c>
      <c r="D280" s="28">
        <v>125</v>
      </c>
      <c r="E280" s="33">
        <f t="shared" si="11"/>
        <v>275</v>
      </c>
      <c r="F280" s="87">
        <f>M292</f>
        <v>4.2</v>
      </c>
      <c r="G280">
        <f t="shared" si="12"/>
        <v>4.2</v>
      </c>
      <c r="I280" s="62" t="s">
        <v>492</v>
      </c>
      <c r="J280" s="40" t="s">
        <v>501</v>
      </c>
      <c r="K280" s="40">
        <v>1.1000000000000001</v>
      </c>
      <c r="L280" s="106">
        <v>1.05</v>
      </c>
      <c r="M280" s="68">
        <f t="shared" si="13"/>
        <v>1.1550000000000002</v>
      </c>
    </row>
    <row r="281" spans="1:13" x14ac:dyDescent="0.25">
      <c r="A281" s="4" t="s">
        <v>866</v>
      </c>
      <c r="B281" s="28">
        <v>8</v>
      </c>
      <c r="C281" s="28">
        <v>200</v>
      </c>
      <c r="D281" s="28">
        <v>125</v>
      </c>
      <c r="E281" s="33">
        <f t="shared" si="11"/>
        <v>325</v>
      </c>
      <c r="F281" s="87">
        <f>M293</f>
        <v>5.88</v>
      </c>
      <c r="G281">
        <f t="shared" si="12"/>
        <v>5.88</v>
      </c>
      <c r="I281" s="62" t="s">
        <v>492</v>
      </c>
      <c r="J281" s="40" t="s">
        <v>996</v>
      </c>
      <c r="K281" s="40">
        <v>1.4</v>
      </c>
      <c r="L281" s="106">
        <v>1.05</v>
      </c>
      <c r="M281" s="68">
        <f t="shared" si="13"/>
        <v>1.47</v>
      </c>
    </row>
    <row r="282" spans="1:13" x14ac:dyDescent="0.25">
      <c r="A282" s="4" t="s">
        <v>868</v>
      </c>
      <c r="B282" s="28">
        <v>8</v>
      </c>
      <c r="C282" s="28">
        <v>250</v>
      </c>
      <c r="D282" s="28">
        <v>125</v>
      </c>
      <c r="E282" s="33">
        <f t="shared" si="11"/>
        <v>375</v>
      </c>
      <c r="F282" s="87">
        <f>M293</f>
        <v>5.88</v>
      </c>
      <c r="G282">
        <f t="shared" si="12"/>
        <v>5.88</v>
      </c>
      <c r="I282" s="62" t="s">
        <v>492</v>
      </c>
      <c r="J282" s="40" t="s">
        <v>997</v>
      </c>
      <c r="K282" s="40">
        <v>1.8</v>
      </c>
      <c r="L282" s="106">
        <v>1.05</v>
      </c>
      <c r="M282" s="68">
        <f t="shared" si="13"/>
        <v>1.8900000000000001</v>
      </c>
    </row>
    <row r="283" spans="1:13" x14ac:dyDescent="0.25">
      <c r="A283" s="4" t="s">
        <v>870</v>
      </c>
      <c r="B283" s="28">
        <v>8</v>
      </c>
      <c r="C283" s="28">
        <v>300</v>
      </c>
      <c r="D283" s="28">
        <v>125</v>
      </c>
      <c r="E283" s="33">
        <f t="shared" si="11"/>
        <v>425</v>
      </c>
      <c r="F283" s="87">
        <f>M290</f>
        <v>8.4</v>
      </c>
      <c r="G283">
        <f t="shared" si="12"/>
        <v>8.4</v>
      </c>
      <c r="I283" s="62" t="s">
        <v>492</v>
      </c>
      <c r="J283" s="40" t="s">
        <v>998</v>
      </c>
      <c r="K283" s="40">
        <v>2.1</v>
      </c>
      <c r="L283" s="106">
        <v>1.05</v>
      </c>
      <c r="M283" s="68">
        <f t="shared" si="13"/>
        <v>2.2050000000000001</v>
      </c>
    </row>
    <row r="284" spans="1:13" x14ac:dyDescent="0.25">
      <c r="A284" s="4" t="s">
        <v>872</v>
      </c>
      <c r="B284" s="28">
        <v>8</v>
      </c>
      <c r="C284" s="28">
        <v>350</v>
      </c>
      <c r="D284" s="28">
        <v>125</v>
      </c>
      <c r="E284" s="33">
        <f t="shared" si="11"/>
        <v>475</v>
      </c>
      <c r="F284" s="87">
        <f>M290</f>
        <v>8.4</v>
      </c>
      <c r="G284">
        <f t="shared" si="12"/>
        <v>8.4</v>
      </c>
      <c r="I284" s="62" t="s">
        <v>492</v>
      </c>
      <c r="J284" s="40" t="s">
        <v>999</v>
      </c>
      <c r="K284" s="40">
        <v>3.5</v>
      </c>
      <c r="L284" s="106">
        <v>1.05</v>
      </c>
      <c r="M284" s="68">
        <f t="shared" si="13"/>
        <v>3.6750000000000003</v>
      </c>
    </row>
    <row r="285" spans="1:13" x14ac:dyDescent="0.25">
      <c r="A285" s="4" t="s">
        <v>874</v>
      </c>
      <c r="B285" s="28">
        <v>8</v>
      </c>
      <c r="C285" s="28">
        <v>400</v>
      </c>
      <c r="D285" s="28">
        <v>125</v>
      </c>
      <c r="E285" s="33">
        <f t="shared" si="11"/>
        <v>525</v>
      </c>
      <c r="F285" s="87">
        <f>M290</f>
        <v>8.4</v>
      </c>
      <c r="G285">
        <f t="shared" si="12"/>
        <v>8.4</v>
      </c>
      <c r="I285" s="62" t="s">
        <v>492</v>
      </c>
      <c r="J285" s="40" t="s">
        <v>1000</v>
      </c>
      <c r="K285" s="40">
        <v>4.8</v>
      </c>
      <c r="L285" s="106">
        <v>1.05</v>
      </c>
      <c r="M285" s="68">
        <f t="shared" si="13"/>
        <v>5.04</v>
      </c>
    </row>
    <row r="286" spans="1:13" x14ac:dyDescent="0.25">
      <c r="A286" s="4" t="s">
        <v>876</v>
      </c>
      <c r="B286" s="28">
        <v>8</v>
      </c>
      <c r="C286" s="28">
        <v>450</v>
      </c>
      <c r="D286" s="28">
        <v>125</v>
      </c>
      <c r="E286" s="33">
        <f t="shared" si="11"/>
        <v>575</v>
      </c>
      <c r="F286" s="87">
        <f>M290</f>
        <v>8.4</v>
      </c>
      <c r="G286">
        <f t="shared" si="12"/>
        <v>8.4</v>
      </c>
      <c r="I286" s="62" t="s">
        <v>492</v>
      </c>
      <c r="J286" s="40" t="s">
        <v>1001</v>
      </c>
      <c r="K286" s="40">
        <v>6.4</v>
      </c>
      <c r="L286" s="106">
        <v>1.05</v>
      </c>
      <c r="M286" s="68">
        <f t="shared" si="13"/>
        <v>6.7200000000000006</v>
      </c>
    </row>
    <row r="287" spans="1:13" x14ac:dyDescent="0.25">
      <c r="A287" s="4" t="s">
        <v>878</v>
      </c>
      <c r="B287" s="28">
        <v>8</v>
      </c>
      <c r="C287" s="28">
        <v>500</v>
      </c>
      <c r="D287" s="28">
        <v>125</v>
      </c>
      <c r="E287" s="33">
        <f t="shared" si="11"/>
        <v>625</v>
      </c>
      <c r="F287" s="87">
        <f>M290</f>
        <v>8.4</v>
      </c>
      <c r="G287">
        <f t="shared" si="12"/>
        <v>8.4</v>
      </c>
      <c r="I287" s="62" t="s">
        <v>519</v>
      </c>
      <c r="J287" s="40" t="s">
        <v>1002</v>
      </c>
      <c r="K287" s="40">
        <v>4</v>
      </c>
      <c r="L287" s="106">
        <v>1.05</v>
      </c>
      <c r="M287" s="68">
        <f t="shared" si="13"/>
        <v>4.2</v>
      </c>
    </row>
    <row r="288" spans="1:13" x14ac:dyDescent="0.25">
      <c r="A288" s="4" t="s">
        <v>880</v>
      </c>
      <c r="B288" s="28">
        <v>4</v>
      </c>
      <c r="C288" s="28">
        <v>75</v>
      </c>
      <c r="D288" s="28">
        <v>98</v>
      </c>
      <c r="E288" s="33">
        <f t="shared" si="11"/>
        <v>173</v>
      </c>
      <c r="F288" s="87">
        <f>M272</f>
        <v>1.8900000000000001</v>
      </c>
      <c r="G288">
        <f t="shared" si="12"/>
        <v>1.8900000000000001</v>
      </c>
      <c r="I288" s="62" t="s">
        <v>519</v>
      </c>
      <c r="J288" s="40" t="s">
        <v>1003</v>
      </c>
      <c r="K288" s="40">
        <v>4</v>
      </c>
      <c r="L288" s="106">
        <v>1.05</v>
      </c>
      <c r="M288" s="68">
        <f t="shared" si="13"/>
        <v>4.2</v>
      </c>
    </row>
    <row r="289" spans="1:13" x14ac:dyDescent="0.25">
      <c r="A289" s="4" t="s">
        <v>882</v>
      </c>
      <c r="B289" s="28">
        <v>4</v>
      </c>
      <c r="C289" s="28">
        <v>100</v>
      </c>
      <c r="D289" s="28">
        <v>98</v>
      </c>
      <c r="E289" s="33">
        <f t="shared" si="11"/>
        <v>198</v>
      </c>
      <c r="F289" s="87">
        <f>M272</f>
        <v>1.8900000000000001</v>
      </c>
      <c r="G289">
        <f t="shared" si="12"/>
        <v>1.8900000000000001</v>
      </c>
      <c r="I289" s="62" t="s">
        <v>519</v>
      </c>
      <c r="J289" s="40" t="s">
        <v>1004</v>
      </c>
      <c r="K289" s="40">
        <v>5.6</v>
      </c>
      <c r="L289" s="106">
        <v>1.05</v>
      </c>
      <c r="M289" s="68">
        <f t="shared" si="13"/>
        <v>5.88</v>
      </c>
    </row>
    <row r="290" spans="1:13" x14ac:dyDescent="0.25">
      <c r="A290" s="4" t="s">
        <v>884</v>
      </c>
      <c r="B290" s="28">
        <v>5</v>
      </c>
      <c r="C290" s="28">
        <v>100</v>
      </c>
      <c r="D290" s="28">
        <v>98</v>
      </c>
      <c r="E290" s="33">
        <f t="shared" si="11"/>
        <v>198</v>
      </c>
      <c r="F290" s="87">
        <f>M275</f>
        <v>1.8900000000000001</v>
      </c>
      <c r="G290">
        <f t="shared" si="12"/>
        <v>1.8900000000000001</v>
      </c>
      <c r="I290" s="62" t="s">
        <v>519</v>
      </c>
      <c r="J290" s="40" t="s">
        <v>1005</v>
      </c>
      <c r="K290" s="40">
        <v>8</v>
      </c>
      <c r="L290" s="106">
        <v>1.05</v>
      </c>
      <c r="M290" s="68">
        <f t="shared" si="13"/>
        <v>8.4</v>
      </c>
    </row>
    <row r="291" spans="1:13" x14ac:dyDescent="0.25">
      <c r="A291" s="4" t="s">
        <v>886</v>
      </c>
      <c r="B291" s="28">
        <v>5</v>
      </c>
      <c r="C291" s="28">
        <v>125</v>
      </c>
      <c r="D291" s="28">
        <v>98</v>
      </c>
      <c r="E291" s="33">
        <f t="shared" si="11"/>
        <v>223</v>
      </c>
      <c r="F291" s="87">
        <f>M275</f>
        <v>1.8900000000000001</v>
      </c>
      <c r="G291">
        <f t="shared" si="12"/>
        <v>1.8900000000000001</v>
      </c>
      <c r="I291" s="62" t="s">
        <v>524</v>
      </c>
      <c r="J291" s="40" t="s">
        <v>1002</v>
      </c>
      <c r="K291" s="40">
        <v>4</v>
      </c>
      <c r="L291" s="106">
        <v>1.05</v>
      </c>
      <c r="M291" s="68">
        <f t="shared" si="13"/>
        <v>4.2</v>
      </c>
    </row>
    <row r="292" spans="1:13" x14ac:dyDescent="0.25">
      <c r="A292" s="4" t="s">
        <v>888</v>
      </c>
      <c r="B292" s="28">
        <v>5</v>
      </c>
      <c r="C292" s="28">
        <v>150</v>
      </c>
      <c r="D292" s="28">
        <v>98</v>
      </c>
      <c r="E292" s="33">
        <f t="shared" si="11"/>
        <v>248</v>
      </c>
      <c r="F292" s="87">
        <f>M276</f>
        <v>2.2050000000000001</v>
      </c>
      <c r="G292">
        <f t="shared" si="12"/>
        <v>2.2050000000000001</v>
      </c>
      <c r="I292" s="62" t="s">
        <v>524</v>
      </c>
      <c r="J292" s="40" t="s">
        <v>1003</v>
      </c>
      <c r="K292" s="40">
        <v>4</v>
      </c>
      <c r="L292" s="106">
        <v>1.05</v>
      </c>
      <c r="M292" s="68">
        <f t="shared" si="13"/>
        <v>4.2</v>
      </c>
    </row>
    <row r="293" spans="1:13" x14ac:dyDescent="0.25">
      <c r="A293" s="4" t="s">
        <v>890</v>
      </c>
      <c r="B293" s="28">
        <v>5</v>
      </c>
      <c r="C293" s="28">
        <v>200</v>
      </c>
      <c r="D293" s="28">
        <v>98</v>
      </c>
      <c r="E293" s="33">
        <f t="shared" si="11"/>
        <v>298</v>
      </c>
      <c r="F293" s="87">
        <f>M277</f>
        <v>3.6750000000000003</v>
      </c>
      <c r="G293">
        <f t="shared" si="12"/>
        <v>3.6750000000000003</v>
      </c>
      <c r="I293" s="62" t="s">
        <v>524</v>
      </c>
      <c r="J293" s="40" t="s">
        <v>1004</v>
      </c>
      <c r="K293" s="40">
        <v>5.6</v>
      </c>
      <c r="L293" s="106">
        <v>1.05</v>
      </c>
      <c r="M293" s="68">
        <f t="shared" si="13"/>
        <v>5.88</v>
      </c>
    </row>
    <row r="294" spans="1:13" x14ac:dyDescent="0.25">
      <c r="A294" s="4" t="s">
        <v>892</v>
      </c>
      <c r="B294" s="28">
        <v>5</v>
      </c>
      <c r="C294" s="28">
        <v>250</v>
      </c>
      <c r="D294" s="28">
        <v>98</v>
      </c>
      <c r="E294" s="33">
        <f t="shared" si="11"/>
        <v>348</v>
      </c>
      <c r="F294" s="87">
        <f>M278</f>
        <v>5.04</v>
      </c>
      <c r="G294">
        <f t="shared" si="12"/>
        <v>5.04</v>
      </c>
      <c r="I294" s="62" t="s">
        <v>524</v>
      </c>
      <c r="J294" s="40" t="s">
        <v>1005</v>
      </c>
      <c r="K294" s="40">
        <v>8</v>
      </c>
      <c r="L294" s="106">
        <v>1.05</v>
      </c>
      <c r="M294" s="68">
        <f t="shared" si="13"/>
        <v>8.4</v>
      </c>
    </row>
    <row r="295" spans="1:13" x14ac:dyDescent="0.25">
      <c r="A295" s="4" t="s">
        <v>894</v>
      </c>
      <c r="B295" s="28">
        <v>5</v>
      </c>
      <c r="C295" s="28">
        <v>300</v>
      </c>
      <c r="D295" s="28">
        <v>98</v>
      </c>
      <c r="E295" s="33">
        <f t="shared" si="11"/>
        <v>398</v>
      </c>
      <c r="F295" s="87">
        <f>M278</f>
        <v>5.04</v>
      </c>
      <c r="G295">
        <f t="shared" si="12"/>
        <v>5.04</v>
      </c>
      <c r="I295" s="62" t="s">
        <v>525</v>
      </c>
      <c r="J295" s="40" t="s">
        <v>526</v>
      </c>
      <c r="K295" s="40">
        <v>7.2</v>
      </c>
      <c r="L295" s="106">
        <v>1.05</v>
      </c>
      <c r="M295" s="68">
        <f t="shared" si="13"/>
        <v>7.5600000000000005</v>
      </c>
    </row>
    <row r="296" spans="1:13" x14ac:dyDescent="0.25">
      <c r="A296" s="4" t="s">
        <v>896</v>
      </c>
      <c r="B296" s="28">
        <v>6</v>
      </c>
      <c r="C296" s="28">
        <v>100</v>
      </c>
      <c r="D296" s="28">
        <v>119</v>
      </c>
      <c r="E296" s="33">
        <f t="shared" si="11"/>
        <v>219</v>
      </c>
      <c r="F296" s="87">
        <f>M282</f>
        <v>1.8900000000000001</v>
      </c>
      <c r="G296">
        <f t="shared" si="12"/>
        <v>1.8900000000000001</v>
      </c>
      <c r="I296" s="62" t="s">
        <v>525</v>
      </c>
      <c r="J296" s="40" t="s">
        <v>512</v>
      </c>
      <c r="K296" s="40">
        <v>8</v>
      </c>
      <c r="L296" s="106">
        <v>1.05</v>
      </c>
      <c r="M296" s="68">
        <f t="shared" si="13"/>
        <v>8.4</v>
      </c>
    </row>
    <row r="297" spans="1:13" ht="17.25" thickBot="1" x14ac:dyDescent="0.3">
      <c r="A297" s="4" t="s">
        <v>898</v>
      </c>
      <c r="B297" s="28">
        <v>6</v>
      </c>
      <c r="C297" s="28">
        <v>125</v>
      </c>
      <c r="D297" s="28">
        <v>119</v>
      </c>
      <c r="E297" s="33">
        <f t="shared" si="11"/>
        <v>244</v>
      </c>
      <c r="F297" s="87">
        <f>M283</f>
        <v>2.2050000000000001</v>
      </c>
      <c r="G297">
        <f t="shared" si="12"/>
        <v>2.2050000000000001</v>
      </c>
      <c r="I297" s="65" t="s">
        <v>525</v>
      </c>
      <c r="J297" s="43" t="s">
        <v>528</v>
      </c>
      <c r="K297" s="43">
        <v>9</v>
      </c>
      <c r="L297" s="106">
        <v>1.05</v>
      </c>
      <c r="M297" s="69">
        <f t="shared" si="13"/>
        <v>9.4500000000000011</v>
      </c>
    </row>
    <row r="298" spans="1:13" x14ac:dyDescent="0.25">
      <c r="A298" s="4" t="s">
        <v>900</v>
      </c>
      <c r="B298" s="28">
        <v>6</v>
      </c>
      <c r="C298" s="28">
        <v>150</v>
      </c>
      <c r="D298" s="28">
        <v>119</v>
      </c>
      <c r="E298" s="33">
        <f t="shared" si="11"/>
        <v>269</v>
      </c>
      <c r="F298" s="87">
        <f>M284</f>
        <v>3.6750000000000003</v>
      </c>
      <c r="G298">
        <f t="shared" si="12"/>
        <v>3.6750000000000003</v>
      </c>
    </row>
    <row r="299" spans="1:13" x14ac:dyDescent="0.25">
      <c r="A299" s="4" t="s">
        <v>902</v>
      </c>
      <c r="B299" s="28">
        <v>6</v>
      </c>
      <c r="C299" s="28">
        <v>200</v>
      </c>
      <c r="D299" s="28">
        <v>119</v>
      </c>
      <c r="E299" s="33">
        <f t="shared" si="11"/>
        <v>319</v>
      </c>
      <c r="F299" s="87">
        <f>M285</f>
        <v>5.04</v>
      </c>
      <c r="G299">
        <f t="shared" si="12"/>
        <v>5.04</v>
      </c>
    </row>
    <row r="300" spans="1:13" x14ac:dyDescent="0.25">
      <c r="A300" s="4" t="s">
        <v>904</v>
      </c>
      <c r="B300" s="28">
        <v>6</v>
      </c>
      <c r="C300" s="28">
        <v>250</v>
      </c>
      <c r="D300" s="28">
        <v>119</v>
      </c>
      <c r="E300" s="33">
        <f t="shared" si="11"/>
        <v>369</v>
      </c>
      <c r="F300" s="87">
        <f>M285</f>
        <v>5.04</v>
      </c>
      <c r="G300">
        <f t="shared" si="12"/>
        <v>5.04</v>
      </c>
    </row>
    <row r="301" spans="1:13" x14ac:dyDescent="0.25">
      <c r="A301" s="4" t="s">
        <v>906</v>
      </c>
      <c r="B301" s="28">
        <v>6</v>
      </c>
      <c r="C301" s="28">
        <v>300</v>
      </c>
      <c r="D301" s="28">
        <v>119</v>
      </c>
      <c r="E301" s="33">
        <f t="shared" si="11"/>
        <v>419</v>
      </c>
      <c r="F301" s="87">
        <f>M286</f>
        <v>6.7200000000000006</v>
      </c>
      <c r="G301">
        <f t="shared" si="12"/>
        <v>6.7200000000000006</v>
      </c>
    </row>
    <row r="302" spans="1:13" x14ac:dyDescent="0.25">
      <c r="A302" s="4" t="s">
        <v>908</v>
      </c>
      <c r="B302" s="28">
        <v>6</v>
      </c>
      <c r="C302" s="28">
        <v>350</v>
      </c>
      <c r="D302" s="28">
        <v>119</v>
      </c>
      <c r="E302" s="33">
        <f t="shared" si="11"/>
        <v>469</v>
      </c>
      <c r="F302" s="87">
        <f>M286</f>
        <v>6.7200000000000006</v>
      </c>
      <c r="G302">
        <f t="shared" si="12"/>
        <v>6.7200000000000006</v>
      </c>
    </row>
    <row r="303" spans="1:13" x14ac:dyDescent="0.25">
      <c r="A303" s="4" t="s">
        <v>910</v>
      </c>
      <c r="B303" s="28">
        <v>6</v>
      </c>
      <c r="C303" s="28">
        <v>400</v>
      </c>
      <c r="D303" s="28">
        <v>119</v>
      </c>
      <c r="E303" s="33">
        <f t="shared" si="11"/>
        <v>519</v>
      </c>
      <c r="F303" s="87">
        <f>M286</f>
        <v>6.7200000000000006</v>
      </c>
      <c r="G303">
        <f t="shared" si="12"/>
        <v>6.7200000000000006</v>
      </c>
    </row>
    <row r="304" spans="1:13" x14ac:dyDescent="0.25">
      <c r="A304" s="4" t="s">
        <v>912</v>
      </c>
      <c r="B304" s="28">
        <v>7</v>
      </c>
      <c r="C304" s="28">
        <v>150</v>
      </c>
      <c r="D304" s="28">
        <v>134</v>
      </c>
      <c r="E304" s="33">
        <f t="shared" si="11"/>
        <v>284</v>
      </c>
      <c r="F304" s="87">
        <f>M288</f>
        <v>4.2</v>
      </c>
      <c r="G304">
        <f t="shared" si="12"/>
        <v>4.2</v>
      </c>
    </row>
    <row r="305" spans="1:7" x14ac:dyDescent="0.25">
      <c r="A305" s="4" t="s">
        <v>914</v>
      </c>
      <c r="B305" s="28">
        <v>7</v>
      </c>
      <c r="C305" s="28">
        <v>175</v>
      </c>
      <c r="D305" s="28">
        <v>134</v>
      </c>
      <c r="E305" s="33">
        <f t="shared" si="11"/>
        <v>309</v>
      </c>
      <c r="F305" s="87">
        <f>M289</f>
        <v>5.88</v>
      </c>
      <c r="G305">
        <f t="shared" si="12"/>
        <v>5.88</v>
      </c>
    </row>
    <row r="306" spans="1:7" x14ac:dyDescent="0.25">
      <c r="A306" s="4" t="s">
        <v>916</v>
      </c>
      <c r="B306" s="28">
        <v>7</v>
      </c>
      <c r="C306" s="28">
        <v>200</v>
      </c>
      <c r="D306" s="28">
        <v>134</v>
      </c>
      <c r="E306" s="33">
        <f t="shared" si="11"/>
        <v>334</v>
      </c>
      <c r="F306" s="87">
        <f>M289</f>
        <v>5.88</v>
      </c>
      <c r="G306">
        <f t="shared" si="12"/>
        <v>5.88</v>
      </c>
    </row>
    <row r="307" spans="1:7" x14ac:dyDescent="0.25">
      <c r="A307" s="4" t="s">
        <v>918</v>
      </c>
      <c r="B307" s="28">
        <v>7</v>
      </c>
      <c r="C307" s="28">
        <v>250</v>
      </c>
      <c r="D307" s="28">
        <v>134</v>
      </c>
      <c r="E307" s="33">
        <f t="shared" si="11"/>
        <v>384</v>
      </c>
      <c r="F307" s="87">
        <f>M289</f>
        <v>5.88</v>
      </c>
      <c r="G307">
        <f t="shared" si="12"/>
        <v>5.88</v>
      </c>
    </row>
    <row r="308" spans="1:7" x14ac:dyDescent="0.25">
      <c r="A308" s="4" t="s">
        <v>920</v>
      </c>
      <c r="B308" s="28">
        <v>7</v>
      </c>
      <c r="C308" s="28">
        <v>300</v>
      </c>
      <c r="D308" s="28">
        <v>134</v>
      </c>
      <c r="E308" s="33">
        <f t="shared" si="11"/>
        <v>434</v>
      </c>
      <c r="F308" s="87">
        <f>M290</f>
        <v>8.4</v>
      </c>
      <c r="G308">
        <f t="shared" si="12"/>
        <v>8.4</v>
      </c>
    </row>
    <row r="309" spans="1:7" x14ac:dyDescent="0.25">
      <c r="A309" s="4" t="s">
        <v>922</v>
      </c>
      <c r="B309" s="28">
        <v>7</v>
      </c>
      <c r="C309" s="28">
        <v>350</v>
      </c>
      <c r="D309" s="28">
        <v>134</v>
      </c>
      <c r="E309" s="33">
        <f t="shared" si="11"/>
        <v>484</v>
      </c>
      <c r="F309" s="87">
        <f>K289</f>
        <v>5.6</v>
      </c>
      <c r="G309">
        <f t="shared" si="12"/>
        <v>5.6</v>
      </c>
    </row>
    <row r="310" spans="1:7" x14ac:dyDescent="0.25">
      <c r="A310" s="4" t="s">
        <v>924</v>
      </c>
      <c r="B310" s="28">
        <v>7</v>
      </c>
      <c r="C310" s="28">
        <v>400</v>
      </c>
      <c r="D310" s="28">
        <v>134</v>
      </c>
      <c r="E310" s="33">
        <f t="shared" si="11"/>
        <v>534</v>
      </c>
      <c r="F310" s="87">
        <f>M290</f>
        <v>8.4</v>
      </c>
      <c r="G310">
        <f t="shared" si="12"/>
        <v>8.4</v>
      </c>
    </row>
    <row r="311" spans="1:7" x14ac:dyDescent="0.25">
      <c r="A311" s="4" t="s">
        <v>926</v>
      </c>
      <c r="B311" s="28">
        <v>7</v>
      </c>
      <c r="C311" s="28">
        <v>450</v>
      </c>
      <c r="D311" s="28">
        <v>134</v>
      </c>
      <c r="E311" s="33">
        <f t="shared" si="11"/>
        <v>584</v>
      </c>
      <c r="F311" s="87">
        <f>M290</f>
        <v>8.4</v>
      </c>
      <c r="G311">
        <f t="shared" si="12"/>
        <v>8.4</v>
      </c>
    </row>
    <row r="312" spans="1:7" x14ac:dyDescent="0.25">
      <c r="A312" s="4" t="s">
        <v>928</v>
      </c>
      <c r="B312" s="28">
        <v>7</v>
      </c>
      <c r="C312" s="28">
        <v>500</v>
      </c>
      <c r="D312" s="28">
        <v>134</v>
      </c>
      <c r="E312" s="33">
        <f t="shared" si="11"/>
        <v>634</v>
      </c>
      <c r="F312" s="87">
        <f>M290</f>
        <v>8.4</v>
      </c>
      <c r="G312">
        <f t="shared" si="12"/>
        <v>8.4</v>
      </c>
    </row>
    <row r="313" spans="1:7" x14ac:dyDescent="0.25">
      <c r="A313" s="4" t="s">
        <v>930</v>
      </c>
      <c r="B313" s="28">
        <v>8</v>
      </c>
      <c r="C313" s="28">
        <v>175</v>
      </c>
      <c r="D313" s="28">
        <v>134</v>
      </c>
      <c r="E313" s="33">
        <f t="shared" si="11"/>
        <v>309</v>
      </c>
      <c r="F313" s="87">
        <f>M293</f>
        <v>5.88</v>
      </c>
      <c r="G313">
        <f t="shared" si="12"/>
        <v>5.88</v>
      </c>
    </row>
    <row r="314" spans="1:7" x14ac:dyDescent="0.25">
      <c r="A314" s="4" t="s">
        <v>932</v>
      </c>
      <c r="B314" s="28">
        <v>8</v>
      </c>
      <c r="C314" s="28">
        <v>200</v>
      </c>
      <c r="D314" s="28">
        <v>134</v>
      </c>
      <c r="E314" s="33">
        <f t="shared" si="11"/>
        <v>334</v>
      </c>
      <c r="F314" s="87">
        <f>M293</f>
        <v>5.88</v>
      </c>
      <c r="G314">
        <f t="shared" si="12"/>
        <v>5.88</v>
      </c>
    </row>
    <row r="315" spans="1:7" x14ac:dyDescent="0.25">
      <c r="A315" s="4" t="s">
        <v>934</v>
      </c>
      <c r="B315" s="28">
        <v>8</v>
      </c>
      <c r="C315" s="28">
        <v>250</v>
      </c>
      <c r="D315" s="28">
        <v>134</v>
      </c>
      <c r="E315" s="33">
        <f t="shared" si="11"/>
        <v>384</v>
      </c>
      <c r="F315" s="87">
        <f>M293</f>
        <v>5.88</v>
      </c>
      <c r="G315">
        <f t="shared" si="12"/>
        <v>5.88</v>
      </c>
    </row>
    <row r="316" spans="1:7" x14ac:dyDescent="0.25">
      <c r="A316" s="4" t="s">
        <v>936</v>
      </c>
      <c r="B316" s="28">
        <v>8</v>
      </c>
      <c r="C316" s="28">
        <v>300</v>
      </c>
      <c r="D316" s="28">
        <v>134</v>
      </c>
      <c r="E316" s="33">
        <f t="shared" si="11"/>
        <v>434</v>
      </c>
      <c r="F316" s="87">
        <f>M294</f>
        <v>8.4</v>
      </c>
      <c r="G316">
        <f t="shared" si="12"/>
        <v>8.4</v>
      </c>
    </row>
    <row r="317" spans="1:7" x14ac:dyDescent="0.25">
      <c r="A317" s="4" t="s">
        <v>938</v>
      </c>
      <c r="B317" s="28">
        <v>8</v>
      </c>
      <c r="C317" s="28">
        <v>350</v>
      </c>
      <c r="D317" s="28">
        <v>134</v>
      </c>
      <c r="E317" s="33">
        <f t="shared" si="11"/>
        <v>484</v>
      </c>
      <c r="F317" s="87">
        <f>M294</f>
        <v>8.4</v>
      </c>
      <c r="G317">
        <f t="shared" si="12"/>
        <v>8.4</v>
      </c>
    </row>
    <row r="318" spans="1:7" x14ac:dyDescent="0.25">
      <c r="A318" s="4" t="s">
        <v>940</v>
      </c>
      <c r="B318" s="28">
        <v>8</v>
      </c>
      <c r="C318" s="28">
        <v>400</v>
      </c>
      <c r="D318" s="28">
        <v>134</v>
      </c>
      <c r="E318" s="33">
        <f t="shared" si="11"/>
        <v>534</v>
      </c>
      <c r="F318" s="87">
        <f>M294</f>
        <v>8.4</v>
      </c>
      <c r="G318">
        <f t="shared" si="12"/>
        <v>8.4</v>
      </c>
    </row>
    <row r="319" spans="1:7" x14ac:dyDescent="0.25">
      <c r="A319" s="4" t="s">
        <v>942</v>
      </c>
      <c r="B319" s="28">
        <v>8</v>
      </c>
      <c r="C319" s="28">
        <v>450</v>
      </c>
      <c r="D319" s="28">
        <v>134</v>
      </c>
      <c r="E319" s="33">
        <f t="shared" si="11"/>
        <v>584</v>
      </c>
      <c r="F319" s="87">
        <f>M294</f>
        <v>8.4</v>
      </c>
      <c r="G319">
        <f t="shared" si="12"/>
        <v>8.4</v>
      </c>
    </row>
    <row r="320" spans="1:7" x14ac:dyDescent="0.25">
      <c r="A320" s="4" t="s">
        <v>944</v>
      </c>
      <c r="B320" s="28">
        <v>8</v>
      </c>
      <c r="C320" s="28">
        <v>500</v>
      </c>
      <c r="D320" s="28">
        <v>134</v>
      </c>
      <c r="E320" s="33">
        <f t="shared" si="11"/>
        <v>634</v>
      </c>
      <c r="F320" s="87">
        <f>M294</f>
        <v>8.4</v>
      </c>
      <c r="G320">
        <f t="shared" si="12"/>
        <v>8.4</v>
      </c>
    </row>
    <row r="325" spans="1:7" ht="21" x14ac:dyDescent="0.25">
      <c r="A325" s="25" t="s">
        <v>959</v>
      </c>
      <c r="B325" s="113"/>
      <c r="C325" s="113"/>
      <c r="D325" s="113"/>
      <c r="E325" s="113"/>
    </row>
    <row r="326" spans="1:7" x14ac:dyDescent="0.25">
      <c r="A326" s="115" t="s">
        <v>0</v>
      </c>
      <c r="B326" s="28" t="s">
        <v>443</v>
      </c>
      <c r="C326" s="28" t="s">
        <v>452</v>
      </c>
      <c r="D326" s="28" t="s">
        <v>454</v>
      </c>
      <c r="E326" s="28" t="s">
        <v>645</v>
      </c>
      <c r="F326" s="19" t="s">
        <v>446</v>
      </c>
      <c r="G326" s="21" t="s">
        <v>448</v>
      </c>
    </row>
    <row r="327" spans="1:7" x14ac:dyDescent="0.25">
      <c r="A327" s="115" t="s">
        <v>834</v>
      </c>
      <c r="B327" s="28">
        <v>5</v>
      </c>
      <c r="C327" s="28">
        <v>75</v>
      </c>
      <c r="D327" s="28">
        <v>90</v>
      </c>
      <c r="E327" s="33">
        <f t="shared" ref="E327:E405" si="14">D327+C327</f>
        <v>165</v>
      </c>
      <c r="F327" s="87">
        <f>M275</f>
        <v>1.8900000000000001</v>
      </c>
      <c r="G327">
        <f>F327</f>
        <v>1.8900000000000001</v>
      </c>
    </row>
    <row r="328" spans="1:7" x14ac:dyDescent="0.25">
      <c r="A328" s="115" t="s">
        <v>836</v>
      </c>
      <c r="B328" s="28">
        <v>5</v>
      </c>
      <c r="C328" s="28">
        <v>100</v>
      </c>
      <c r="D328" s="28">
        <v>90</v>
      </c>
      <c r="E328" s="33">
        <f t="shared" si="14"/>
        <v>190</v>
      </c>
      <c r="F328" s="87">
        <f>M275</f>
        <v>1.8900000000000001</v>
      </c>
      <c r="G328" s="103">
        <f t="shared" ref="G328:G391" si="15">F328</f>
        <v>1.8900000000000001</v>
      </c>
    </row>
    <row r="329" spans="1:7" x14ac:dyDescent="0.25">
      <c r="A329" s="115" t="s">
        <v>838</v>
      </c>
      <c r="B329" s="28">
        <v>5</v>
      </c>
      <c r="C329" s="28">
        <v>150</v>
      </c>
      <c r="D329" s="28">
        <v>90</v>
      </c>
      <c r="E329" s="33">
        <f t="shared" si="14"/>
        <v>240</v>
      </c>
      <c r="F329" s="87">
        <f>M276</f>
        <v>2.2050000000000001</v>
      </c>
      <c r="G329" s="103">
        <f t="shared" si="15"/>
        <v>2.2050000000000001</v>
      </c>
    </row>
    <row r="330" spans="1:7" x14ac:dyDescent="0.25">
      <c r="A330" s="115" t="s">
        <v>840</v>
      </c>
      <c r="B330" s="28">
        <v>5</v>
      </c>
      <c r="C330" s="28">
        <v>200</v>
      </c>
      <c r="D330" s="28">
        <v>90</v>
      </c>
      <c r="E330" s="33">
        <f t="shared" si="14"/>
        <v>290</v>
      </c>
      <c r="F330" s="87">
        <f>M277</f>
        <v>3.6750000000000003</v>
      </c>
      <c r="G330" s="103">
        <f t="shared" si="15"/>
        <v>3.6750000000000003</v>
      </c>
    </row>
    <row r="331" spans="1:7" x14ac:dyDescent="0.25">
      <c r="A331" s="115" t="s">
        <v>842</v>
      </c>
      <c r="B331" s="28">
        <v>5</v>
      </c>
      <c r="C331" s="28">
        <v>250</v>
      </c>
      <c r="D331" s="28">
        <v>90</v>
      </c>
      <c r="E331" s="33">
        <f t="shared" si="14"/>
        <v>340</v>
      </c>
      <c r="F331" s="87">
        <f>M278</f>
        <v>5.04</v>
      </c>
      <c r="G331" s="103">
        <f t="shared" si="15"/>
        <v>5.04</v>
      </c>
    </row>
    <row r="332" spans="1:7" x14ac:dyDescent="0.25">
      <c r="A332" s="115" t="s">
        <v>844</v>
      </c>
      <c r="B332" s="28">
        <v>5</v>
      </c>
      <c r="C332" s="28">
        <v>300</v>
      </c>
      <c r="D332" s="28">
        <v>90</v>
      </c>
      <c r="E332" s="33">
        <f t="shared" si="14"/>
        <v>390</v>
      </c>
      <c r="F332" s="87">
        <f>M278</f>
        <v>5.04</v>
      </c>
      <c r="G332" s="103">
        <f t="shared" si="15"/>
        <v>5.04</v>
      </c>
    </row>
    <row r="333" spans="1:7" x14ac:dyDescent="0.25">
      <c r="A333" s="115" t="s">
        <v>846</v>
      </c>
      <c r="B333" s="28">
        <v>6</v>
      </c>
      <c r="C333" s="28">
        <v>100</v>
      </c>
      <c r="D333" s="28">
        <v>110</v>
      </c>
      <c r="E333" s="33">
        <f t="shared" si="14"/>
        <v>210</v>
      </c>
      <c r="F333" s="87">
        <f>M282</f>
        <v>1.8900000000000001</v>
      </c>
      <c r="G333" s="103">
        <f t="shared" si="15"/>
        <v>1.8900000000000001</v>
      </c>
    </row>
    <row r="334" spans="1:7" x14ac:dyDescent="0.25">
      <c r="A334" s="115" t="s">
        <v>848</v>
      </c>
      <c r="B334" s="28">
        <v>6</v>
      </c>
      <c r="C334" s="28">
        <v>125</v>
      </c>
      <c r="D334" s="28">
        <v>110</v>
      </c>
      <c r="E334" s="33">
        <f t="shared" si="14"/>
        <v>235</v>
      </c>
      <c r="F334" s="87">
        <f>M283</f>
        <v>2.2050000000000001</v>
      </c>
      <c r="G334" s="103">
        <f t="shared" si="15"/>
        <v>2.2050000000000001</v>
      </c>
    </row>
    <row r="335" spans="1:7" x14ac:dyDescent="0.25">
      <c r="A335" s="115" t="s">
        <v>850</v>
      </c>
      <c r="B335" s="28">
        <v>6</v>
      </c>
      <c r="C335" s="28">
        <v>150</v>
      </c>
      <c r="D335" s="28">
        <v>110</v>
      </c>
      <c r="E335" s="33">
        <f t="shared" si="14"/>
        <v>260</v>
      </c>
      <c r="F335" s="87">
        <f>M284</f>
        <v>3.6750000000000003</v>
      </c>
      <c r="G335" s="103">
        <f t="shared" si="15"/>
        <v>3.6750000000000003</v>
      </c>
    </row>
    <row r="336" spans="1:7" x14ac:dyDescent="0.25">
      <c r="A336" s="115" t="s">
        <v>852</v>
      </c>
      <c r="B336" s="28">
        <v>6</v>
      </c>
      <c r="C336" s="28">
        <v>200</v>
      </c>
      <c r="D336" s="28">
        <v>110</v>
      </c>
      <c r="E336" s="33">
        <f t="shared" si="14"/>
        <v>310</v>
      </c>
      <c r="F336" s="87">
        <f>M285</f>
        <v>5.04</v>
      </c>
      <c r="G336" s="103">
        <f t="shared" si="15"/>
        <v>5.04</v>
      </c>
    </row>
    <row r="337" spans="1:7" x14ac:dyDescent="0.25">
      <c r="A337" s="115" t="s">
        <v>854</v>
      </c>
      <c r="B337" s="28">
        <v>6</v>
      </c>
      <c r="C337" s="28">
        <v>250</v>
      </c>
      <c r="D337" s="28">
        <v>110</v>
      </c>
      <c r="E337" s="33">
        <f t="shared" si="14"/>
        <v>360</v>
      </c>
      <c r="F337" s="87">
        <f>M285</f>
        <v>5.04</v>
      </c>
      <c r="G337" s="103">
        <f t="shared" si="15"/>
        <v>5.04</v>
      </c>
    </row>
    <row r="338" spans="1:7" x14ac:dyDescent="0.25">
      <c r="A338" s="115" t="s">
        <v>856</v>
      </c>
      <c r="B338" s="28">
        <v>6</v>
      </c>
      <c r="C338" s="28">
        <v>300</v>
      </c>
      <c r="D338" s="28">
        <v>110</v>
      </c>
      <c r="E338" s="33">
        <f t="shared" si="14"/>
        <v>410</v>
      </c>
      <c r="F338" s="87">
        <f>M286</f>
        <v>6.7200000000000006</v>
      </c>
      <c r="G338" s="103">
        <f t="shared" si="15"/>
        <v>6.7200000000000006</v>
      </c>
    </row>
    <row r="339" spans="1:7" x14ac:dyDescent="0.25">
      <c r="A339" s="115" t="s">
        <v>858</v>
      </c>
      <c r="B339" s="28">
        <v>6</v>
      </c>
      <c r="C339" s="28">
        <v>350</v>
      </c>
      <c r="D339" s="28">
        <v>110</v>
      </c>
      <c r="E339" s="33">
        <f t="shared" si="14"/>
        <v>460</v>
      </c>
      <c r="F339" s="87">
        <f>M286</f>
        <v>6.7200000000000006</v>
      </c>
      <c r="G339" s="103">
        <f t="shared" si="15"/>
        <v>6.7200000000000006</v>
      </c>
    </row>
    <row r="340" spans="1:7" x14ac:dyDescent="0.25">
      <c r="A340" s="115" t="s">
        <v>860</v>
      </c>
      <c r="B340" s="28">
        <v>6</v>
      </c>
      <c r="C340" s="28">
        <v>400</v>
      </c>
      <c r="D340" s="28">
        <v>110</v>
      </c>
      <c r="E340" s="33">
        <f t="shared" si="14"/>
        <v>510</v>
      </c>
      <c r="F340" s="87">
        <f>M286</f>
        <v>6.7200000000000006</v>
      </c>
      <c r="G340" s="103">
        <f t="shared" si="15"/>
        <v>6.7200000000000006</v>
      </c>
    </row>
    <row r="341" spans="1:7" x14ac:dyDescent="0.25">
      <c r="A341" s="115" t="s">
        <v>862</v>
      </c>
      <c r="B341" s="28">
        <v>8</v>
      </c>
      <c r="C341" s="28">
        <v>125</v>
      </c>
      <c r="D341" s="28">
        <v>125</v>
      </c>
      <c r="E341" s="33">
        <f t="shared" si="14"/>
        <v>250</v>
      </c>
      <c r="F341" s="87">
        <f>M292</f>
        <v>4.2</v>
      </c>
      <c r="G341" s="103">
        <f t="shared" si="15"/>
        <v>4.2</v>
      </c>
    </row>
    <row r="342" spans="1:7" x14ac:dyDescent="0.25">
      <c r="A342" s="115" t="s">
        <v>864</v>
      </c>
      <c r="B342" s="28">
        <v>8</v>
      </c>
      <c r="C342" s="28">
        <v>150</v>
      </c>
      <c r="D342" s="28">
        <v>125</v>
      </c>
      <c r="E342" s="33">
        <f t="shared" si="14"/>
        <v>275</v>
      </c>
      <c r="F342" s="87">
        <f>M292</f>
        <v>4.2</v>
      </c>
      <c r="G342" s="103">
        <f t="shared" si="15"/>
        <v>4.2</v>
      </c>
    </row>
    <row r="343" spans="1:7" x14ac:dyDescent="0.25">
      <c r="A343" s="115" t="s">
        <v>866</v>
      </c>
      <c r="B343" s="28">
        <v>8</v>
      </c>
      <c r="C343" s="28">
        <v>200</v>
      </c>
      <c r="D343" s="28">
        <v>125</v>
      </c>
      <c r="E343" s="33">
        <f t="shared" si="14"/>
        <v>325</v>
      </c>
      <c r="F343" s="87">
        <f>M293</f>
        <v>5.88</v>
      </c>
      <c r="G343" s="103">
        <f t="shared" si="15"/>
        <v>5.88</v>
      </c>
    </row>
    <row r="344" spans="1:7" x14ac:dyDescent="0.25">
      <c r="A344" s="115" t="s">
        <v>868</v>
      </c>
      <c r="B344" s="28">
        <v>8</v>
      </c>
      <c r="C344" s="28">
        <v>250</v>
      </c>
      <c r="D344" s="28">
        <v>125</v>
      </c>
      <c r="E344" s="33">
        <f t="shared" si="14"/>
        <v>375</v>
      </c>
      <c r="F344" s="87">
        <f>M293</f>
        <v>5.88</v>
      </c>
      <c r="G344" s="103">
        <f t="shared" si="15"/>
        <v>5.88</v>
      </c>
    </row>
    <row r="345" spans="1:7" x14ac:dyDescent="0.25">
      <c r="A345" s="115" t="s">
        <v>870</v>
      </c>
      <c r="B345" s="28">
        <v>8</v>
      </c>
      <c r="C345" s="28">
        <v>300</v>
      </c>
      <c r="D345" s="28">
        <v>125</v>
      </c>
      <c r="E345" s="33">
        <f t="shared" si="14"/>
        <v>425</v>
      </c>
      <c r="F345" s="87">
        <f>M294</f>
        <v>8.4</v>
      </c>
      <c r="G345" s="103">
        <f t="shared" si="15"/>
        <v>8.4</v>
      </c>
    </row>
    <row r="346" spans="1:7" x14ac:dyDescent="0.25">
      <c r="A346" s="115" t="s">
        <v>872</v>
      </c>
      <c r="B346" s="28">
        <v>8</v>
      </c>
      <c r="C346" s="28">
        <v>350</v>
      </c>
      <c r="D346" s="28">
        <v>125</v>
      </c>
      <c r="E346" s="33">
        <f t="shared" si="14"/>
        <v>475</v>
      </c>
      <c r="F346" s="87">
        <f>M294</f>
        <v>8.4</v>
      </c>
      <c r="G346" s="103">
        <f t="shared" si="15"/>
        <v>8.4</v>
      </c>
    </row>
    <row r="347" spans="1:7" x14ac:dyDescent="0.25">
      <c r="A347" s="115" t="s">
        <v>874</v>
      </c>
      <c r="B347" s="28">
        <v>8</v>
      </c>
      <c r="C347" s="28">
        <v>400</v>
      </c>
      <c r="D347" s="28">
        <v>125</v>
      </c>
      <c r="E347" s="33">
        <f t="shared" si="14"/>
        <v>525</v>
      </c>
      <c r="F347" s="87">
        <f>M294</f>
        <v>8.4</v>
      </c>
      <c r="G347" s="103">
        <f t="shared" si="15"/>
        <v>8.4</v>
      </c>
    </row>
    <row r="348" spans="1:7" x14ac:dyDescent="0.25">
      <c r="A348" s="115" t="s">
        <v>876</v>
      </c>
      <c r="B348" s="28">
        <v>8</v>
      </c>
      <c r="C348" s="28">
        <v>450</v>
      </c>
      <c r="D348" s="28">
        <v>125</v>
      </c>
      <c r="E348" s="33">
        <f t="shared" si="14"/>
        <v>575</v>
      </c>
      <c r="F348" s="87">
        <f>M294</f>
        <v>8.4</v>
      </c>
      <c r="G348" s="103">
        <f t="shared" si="15"/>
        <v>8.4</v>
      </c>
    </row>
    <row r="349" spans="1:7" x14ac:dyDescent="0.25">
      <c r="A349" s="115" t="s">
        <v>878</v>
      </c>
      <c r="B349" s="28">
        <v>8</v>
      </c>
      <c r="C349" s="28">
        <v>500</v>
      </c>
      <c r="D349" s="28">
        <v>125</v>
      </c>
      <c r="E349" s="33">
        <f t="shared" si="14"/>
        <v>625</v>
      </c>
      <c r="F349" s="87">
        <f>M294</f>
        <v>8.4</v>
      </c>
      <c r="G349" s="103">
        <f t="shared" si="15"/>
        <v>8.4</v>
      </c>
    </row>
    <row r="350" spans="1:7" x14ac:dyDescent="0.25">
      <c r="A350" s="115" t="s">
        <v>1064</v>
      </c>
      <c r="B350" s="28">
        <v>5</v>
      </c>
      <c r="C350" s="28">
        <v>75</v>
      </c>
      <c r="D350" s="28">
        <v>90</v>
      </c>
      <c r="E350" s="33">
        <f t="shared" si="14"/>
        <v>165</v>
      </c>
      <c r="F350" s="87">
        <f>M275</f>
        <v>1.8900000000000001</v>
      </c>
      <c r="G350" s="103">
        <f t="shared" si="15"/>
        <v>1.8900000000000001</v>
      </c>
    </row>
    <row r="351" spans="1:7" x14ac:dyDescent="0.25">
      <c r="A351" s="115" t="s">
        <v>1065</v>
      </c>
      <c r="B351" s="28">
        <v>5</v>
      </c>
      <c r="C351" s="28">
        <v>100</v>
      </c>
      <c r="D351" s="28">
        <v>90</v>
      </c>
      <c r="E351" s="33">
        <f t="shared" si="14"/>
        <v>190</v>
      </c>
      <c r="F351" s="87">
        <f>M275</f>
        <v>1.8900000000000001</v>
      </c>
      <c r="G351" s="103">
        <f t="shared" si="15"/>
        <v>1.8900000000000001</v>
      </c>
    </row>
    <row r="352" spans="1:7" x14ac:dyDescent="0.25">
      <c r="A352" s="115" t="s">
        <v>1066</v>
      </c>
      <c r="B352" s="28">
        <v>5</v>
      </c>
      <c r="C352" s="28">
        <v>150</v>
      </c>
      <c r="D352" s="28">
        <v>90</v>
      </c>
      <c r="E352" s="33">
        <f t="shared" si="14"/>
        <v>240</v>
      </c>
      <c r="F352" s="87">
        <f>M276</f>
        <v>2.2050000000000001</v>
      </c>
      <c r="G352" s="103">
        <f t="shared" si="15"/>
        <v>2.2050000000000001</v>
      </c>
    </row>
    <row r="353" spans="1:7" x14ac:dyDescent="0.25">
      <c r="A353" s="115" t="s">
        <v>1067</v>
      </c>
      <c r="B353" s="28">
        <v>5</v>
      </c>
      <c r="C353" s="28">
        <v>200</v>
      </c>
      <c r="D353" s="28">
        <v>90</v>
      </c>
      <c r="E353" s="33">
        <f t="shared" si="14"/>
        <v>290</v>
      </c>
      <c r="F353" s="87">
        <f>M277</f>
        <v>3.6750000000000003</v>
      </c>
      <c r="G353" s="103">
        <f t="shared" si="15"/>
        <v>3.6750000000000003</v>
      </c>
    </row>
    <row r="354" spans="1:7" x14ac:dyDescent="0.25">
      <c r="A354" s="115" t="s">
        <v>1068</v>
      </c>
      <c r="B354" s="28">
        <v>5</v>
      </c>
      <c r="C354" s="28">
        <v>250</v>
      </c>
      <c r="D354" s="28">
        <v>90</v>
      </c>
      <c r="E354" s="33">
        <f t="shared" si="14"/>
        <v>340</v>
      </c>
      <c r="F354" s="87">
        <f>M278</f>
        <v>5.04</v>
      </c>
      <c r="G354" s="103">
        <f t="shared" si="15"/>
        <v>5.04</v>
      </c>
    </row>
    <row r="355" spans="1:7" x14ac:dyDescent="0.25">
      <c r="A355" s="115" t="s">
        <v>1069</v>
      </c>
      <c r="B355" s="28">
        <v>5</v>
      </c>
      <c r="C355" s="28">
        <v>300</v>
      </c>
      <c r="D355" s="28">
        <v>90</v>
      </c>
      <c r="E355" s="33">
        <f t="shared" si="14"/>
        <v>390</v>
      </c>
      <c r="F355" s="87">
        <f>M278</f>
        <v>5.04</v>
      </c>
      <c r="G355" s="103">
        <f t="shared" si="15"/>
        <v>5.04</v>
      </c>
    </row>
    <row r="356" spans="1:7" x14ac:dyDescent="0.25">
      <c r="A356" s="115" t="s">
        <v>1070</v>
      </c>
      <c r="B356" s="28">
        <v>6</v>
      </c>
      <c r="C356" s="28">
        <v>100</v>
      </c>
      <c r="D356" s="28">
        <v>110</v>
      </c>
      <c r="E356" s="33">
        <f t="shared" si="14"/>
        <v>210</v>
      </c>
      <c r="F356" s="87">
        <f>M282</f>
        <v>1.8900000000000001</v>
      </c>
      <c r="G356" s="103">
        <f t="shared" si="15"/>
        <v>1.8900000000000001</v>
      </c>
    </row>
    <row r="357" spans="1:7" x14ac:dyDescent="0.25">
      <c r="A357" s="115" t="s">
        <v>1071</v>
      </c>
      <c r="B357" s="28">
        <v>6</v>
      </c>
      <c r="C357" s="28">
        <v>125</v>
      </c>
      <c r="D357" s="28">
        <v>110</v>
      </c>
      <c r="E357" s="33">
        <f t="shared" si="14"/>
        <v>235</v>
      </c>
      <c r="F357" s="87">
        <f>M283</f>
        <v>2.2050000000000001</v>
      </c>
      <c r="G357" s="103">
        <f t="shared" si="15"/>
        <v>2.2050000000000001</v>
      </c>
    </row>
    <row r="358" spans="1:7" x14ac:dyDescent="0.25">
      <c r="A358" s="115" t="s">
        <v>1072</v>
      </c>
      <c r="B358" s="28">
        <v>6</v>
      </c>
      <c r="C358" s="28">
        <v>150</v>
      </c>
      <c r="D358" s="28">
        <v>110</v>
      </c>
      <c r="E358" s="33">
        <f t="shared" si="14"/>
        <v>260</v>
      </c>
      <c r="F358" s="87">
        <f>M284</f>
        <v>3.6750000000000003</v>
      </c>
      <c r="G358" s="103">
        <f t="shared" si="15"/>
        <v>3.6750000000000003</v>
      </c>
    </row>
    <row r="359" spans="1:7" x14ac:dyDescent="0.25">
      <c r="A359" s="115" t="s">
        <v>1073</v>
      </c>
      <c r="B359" s="28">
        <v>6</v>
      </c>
      <c r="C359" s="28">
        <v>200</v>
      </c>
      <c r="D359" s="28">
        <v>110</v>
      </c>
      <c r="E359" s="33">
        <f t="shared" si="14"/>
        <v>310</v>
      </c>
      <c r="F359" s="87">
        <f>M285</f>
        <v>5.04</v>
      </c>
      <c r="G359" s="103">
        <f t="shared" si="15"/>
        <v>5.04</v>
      </c>
    </row>
    <row r="360" spans="1:7" x14ac:dyDescent="0.25">
      <c r="A360" s="115" t="s">
        <v>1074</v>
      </c>
      <c r="B360" s="28">
        <v>6</v>
      </c>
      <c r="C360" s="28">
        <v>250</v>
      </c>
      <c r="D360" s="28">
        <v>110</v>
      </c>
      <c r="E360" s="33">
        <f t="shared" si="14"/>
        <v>360</v>
      </c>
      <c r="F360" s="87">
        <f>M285</f>
        <v>5.04</v>
      </c>
      <c r="G360" s="103">
        <f t="shared" si="15"/>
        <v>5.04</v>
      </c>
    </row>
    <row r="361" spans="1:7" x14ac:dyDescent="0.25">
      <c r="A361" s="115" t="s">
        <v>1075</v>
      </c>
      <c r="B361" s="28">
        <v>6</v>
      </c>
      <c r="C361" s="28">
        <v>300</v>
      </c>
      <c r="D361" s="28">
        <v>110</v>
      </c>
      <c r="E361" s="33">
        <f t="shared" si="14"/>
        <v>410</v>
      </c>
      <c r="F361" s="87">
        <f>M286</f>
        <v>6.7200000000000006</v>
      </c>
      <c r="G361" s="103">
        <f t="shared" si="15"/>
        <v>6.7200000000000006</v>
      </c>
    </row>
    <row r="362" spans="1:7" x14ac:dyDescent="0.25">
      <c r="A362" s="115" t="s">
        <v>1076</v>
      </c>
      <c r="B362" s="28">
        <v>6</v>
      </c>
      <c r="C362" s="28">
        <v>350</v>
      </c>
      <c r="D362" s="28">
        <v>110</v>
      </c>
      <c r="E362" s="33">
        <f t="shared" si="14"/>
        <v>460</v>
      </c>
      <c r="F362" s="87">
        <f>M286</f>
        <v>6.7200000000000006</v>
      </c>
      <c r="G362" s="103">
        <f t="shared" si="15"/>
        <v>6.7200000000000006</v>
      </c>
    </row>
    <row r="363" spans="1:7" x14ac:dyDescent="0.25">
      <c r="A363" s="115" t="s">
        <v>1077</v>
      </c>
      <c r="B363" s="28">
        <v>6</v>
      </c>
      <c r="C363" s="28">
        <v>400</v>
      </c>
      <c r="D363" s="28">
        <v>110</v>
      </c>
      <c r="E363" s="33">
        <f t="shared" si="14"/>
        <v>510</v>
      </c>
      <c r="F363" s="87">
        <f>M286</f>
        <v>6.7200000000000006</v>
      </c>
      <c r="G363" s="103">
        <f t="shared" si="15"/>
        <v>6.7200000000000006</v>
      </c>
    </row>
    <row r="364" spans="1:7" x14ac:dyDescent="0.25">
      <c r="A364" s="115" t="s">
        <v>1078</v>
      </c>
      <c r="B364" s="28">
        <v>8</v>
      </c>
      <c r="C364" s="28">
        <v>125</v>
      </c>
      <c r="D364" s="28">
        <v>125</v>
      </c>
      <c r="E364" s="33">
        <f t="shared" si="14"/>
        <v>250</v>
      </c>
      <c r="F364" s="87">
        <f>M292</f>
        <v>4.2</v>
      </c>
      <c r="G364" s="103">
        <f t="shared" si="15"/>
        <v>4.2</v>
      </c>
    </row>
    <row r="365" spans="1:7" x14ac:dyDescent="0.25">
      <c r="A365" s="115" t="s">
        <v>1079</v>
      </c>
      <c r="B365" s="28">
        <v>8</v>
      </c>
      <c r="C365" s="28">
        <v>150</v>
      </c>
      <c r="D365" s="28">
        <v>125</v>
      </c>
      <c r="E365" s="33">
        <f t="shared" si="14"/>
        <v>275</v>
      </c>
      <c r="F365" s="87">
        <f>M293</f>
        <v>5.88</v>
      </c>
      <c r="G365" s="103">
        <f t="shared" si="15"/>
        <v>5.88</v>
      </c>
    </row>
    <row r="366" spans="1:7" x14ac:dyDescent="0.25">
      <c r="A366" s="115" t="s">
        <v>1080</v>
      </c>
      <c r="B366" s="28">
        <v>8</v>
      </c>
      <c r="C366" s="28">
        <v>200</v>
      </c>
      <c r="D366" s="28">
        <v>125</v>
      </c>
      <c r="E366" s="33">
        <f t="shared" si="14"/>
        <v>325</v>
      </c>
      <c r="F366" s="87">
        <f>M293</f>
        <v>5.88</v>
      </c>
      <c r="G366" s="103">
        <f t="shared" si="15"/>
        <v>5.88</v>
      </c>
    </row>
    <row r="367" spans="1:7" x14ac:dyDescent="0.25">
      <c r="A367" s="115" t="s">
        <v>1081</v>
      </c>
      <c r="B367" s="28">
        <v>8</v>
      </c>
      <c r="C367" s="28">
        <v>250</v>
      </c>
      <c r="D367" s="28">
        <v>125</v>
      </c>
      <c r="E367" s="33">
        <f t="shared" si="14"/>
        <v>375</v>
      </c>
      <c r="F367" s="87">
        <f>M293</f>
        <v>5.88</v>
      </c>
      <c r="G367" s="103">
        <f t="shared" si="15"/>
        <v>5.88</v>
      </c>
    </row>
    <row r="368" spans="1:7" x14ac:dyDescent="0.25">
      <c r="A368" s="115" t="s">
        <v>1082</v>
      </c>
      <c r="B368" s="28">
        <v>8</v>
      </c>
      <c r="C368" s="28">
        <v>300</v>
      </c>
      <c r="D368" s="28">
        <v>125</v>
      </c>
      <c r="E368" s="33">
        <f t="shared" si="14"/>
        <v>425</v>
      </c>
      <c r="F368" s="87">
        <f>M294</f>
        <v>8.4</v>
      </c>
      <c r="G368" s="103">
        <f t="shared" si="15"/>
        <v>8.4</v>
      </c>
    </row>
    <row r="369" spans="1:7" x14ac:dyDescent="0.25">
      <c r="A369" s="115" t="s">
        <v>1083</v>
      </c>
      <c r="B369" s="28">
        <v>8</v>
      </c>
      <c r="C369" s="28">
        <v>350</v>
      </c>
      <c r="D369" s="28">
        <v>125</v>
      </c>
      <c r="E369" s="33">
        <f t="shared" si="14"/>
        <v>475</v>
      </c>
      <c r="F369" s="87">
        <f>M294</f>
        <v>8.4</v>
      </c>
      <c r="G369" s="103">
        <f t="shared" si="15"/>
        <v>8.4</v>
      </c>
    </row>
    <row r="370" spans="1:7" x14ac:dyDescent="0.25">
      <c r="A370" s="115" t="s">
        <v>1084</v>
      </c>
      <c r="B370" s="28">
        <v>8</v>
      </c>
      <c r="C370" s="28">
        <v>400</v>
      </c>
      <c r="D370" s="28">
        <v>125</v>
      </c>
      <c r="E370" s="33">
        <f t="shared" si="14"/>
        <v>525</v>
      </c>
      <c r="F370" s="87">
        <f>M294</f>
        <v>8.4</v>
      </c>
      <c r="G370" s="103">
        <f t="shared" si="15"/>
        <v>8.4</v>
      </c>
    </row>
    <row r="371" spans="1:7" x14ac:dyDescent="0.25">
      <c r="A371" s="115" t="s">
        <v>1085</v>
      </c>
      <c r="B371" s="28">
        <v>8</v>
      </c>
      <c r="C371" s="28">
        <v>450</v>
      </c>
      <c r="D371" s="28">
        <v>125</v>
      </c>
      <c r="E371" s="33">
        <f t="shared" si="14"/>
        <v>575</v>
      </c>
      <c r="F371" s="87">
        <f>M294</f>
        <v>8.4</v>
      </c>
      <c r="G371" s="103">
        <f t="shared" si="15"/>
        <v>8.4</v>
      </c>
    </row>
    <row r="372" spans="1:7" x14ac:dyDescent="0.25">
      <c r="A372" s="115" t="s">
        <v>1086</v>
      </c>
      <c r="B372" s="28">
        <v>8</v>
      </c>
      <c r="C372" s="28">
        <v>500</v>
      </c>
      <c r="D372" s="28">
        <v>125</v>
      </c>
      <c r="E372" s="33">
        <f t="shared" si="14"/>
        <v>625</v>
      </c>
      <c r="F372" s="87">
        <f>M294</f>
        <v>8.4</v>
      </c>
      <c r="G372" s="103">
        <f t="shared" si="15"/>
        <v>8.4</v>
      </c>
    </row>
    <row r="373" spans="1:7" x14ac:dyDescent="0.25">
      <c r="A373" s="115" t="s">
        <v>880</v>
      </c>
      <c r="B373" s="28">
        <v>4</v>
      </c>
      <c r="C373" s="28">
        <v>75</v>
      </c>
      <c r="D373" s="28">
        <v>98</v>
      </c>
      <c r="E373" s="33">
        <f t="shared" si="14"/>
        <v>173</v>
      </c>
      <c r="F373" s="87">
        <f>M272</f>
        <v>1.8900000000000001</v>
      </c>
      <c r="G373" s="103">
        <f t="shared" si="15"/>
        <v>1.8900000000000001</v>
      </c>
    </row>
    <row r="374" spans="1:7" x14ac:dyDescent="0.25">
      <c r="A374" s="115" t="s">
        <v>882</v>
      </c>
      <c r="B374" s="28">
        <v>4</v>
      </c>
      <c r="C374" s="28">
        <v>100</v>
      </c>
      <c r="D374" s="28">
        <v>98</v>
      </c>
      <c r="E374" s="33">
        <f t="shared" si="14"/>
        <v>198</v>
      </c>
      <c r="F374" s="87">
        <f>M272</f>
        <v>1.8900000000000001</v>
      </c>
      <c r="G374" s="103">
        <f t="shared" si="15"/>
        <v>1.8900000000000001</v>
      </c>
    </row>
    <row r="375" spans="1:7" x14ac:dyDescent="0.25">
      <c r="A375" s="115" t="s">
        <v>884</v>
      </c>
      <c r="B375" s="28">
        <v>5</v>
      </c>
      <c r="C375" s="28">
        <v>100</v>
      </c>
      <c r="D375" s="28">
        <v>98</v>
      </c>
      <c r="E375" s="33">
        <f t="shared" si="14"/>
        <v>198</v>
      </c>
      <c r="F375" s="87">
        <f>M275</f>
        <v>1.8900000000000001</v>
      </c>
      <c r="G375" s="103">
        <f t="shared" si="15"/>
        <v>1.8900000000000001</v>
      </c>
    </row>
    <row r="376" spans="1:7" x14ac:dyDescent="0.25">
      <c r="A376" s="115" t="s">
        <v>886</v>
      </c>
      <c r="B376" s="28">
        <v>5</v>
      </c>
      <c r="C376" s="28">
        <v>125</v>
      </c>
      <c r="D376" s="28">
        <v>98</v>
      </c>
      <c r="E376" s="33">
        <f t="shared" si="14"/>
        <v>223</v>
      </c>
      <c r="F376" s="87">
        <f>M275</f>
        <v>1.8900000000000001</v>
      </c>
      <c r="G376" s="103">
        <f t="shared" si="15"/>
        <v>1.8900000000000001</v>
      </c>
    </row>
    <row r="377" spans="1:7" x14ac:dyDescent="0.25">
      <c r="A377" s="115" t="s">
        <v>888</v>
      </c>
      <c r="B377" s="28">
        <v>5</v>
      </c>
      <c r="C377" s="28">
        <v>150</v>
      </c>
      <c r="D377" s="28">
        <v>98</v>
      </c>
      <c r="E377" s="33">
        <f t="shared" si="14"/>
        <v>248</v>
      </c>
      <c r="F377" s="87">
        <f>M276</f>
        <v>2.2050000000000001</v>
      </c>
      <c r="G377" s="103">
        <f t="shared" si="15"/>
        <v>2.2050000000000001</v>
      </c>
    </row>
    <row r="378" spans="1:7" x14ac:dyDescent="0.25">
      <c r="A378" s="115" t="s">
        <v>890</v>
      </c>
      <c r="B378" s="28">
        <v>5</v>
      </c>
      <c r="C378" s="28">
        <v>200</v>
      </c>
      <c r="D378" s="28">
        <v>98</v>
      </c>
      <c r="E378" s="33">
        <f t="shared" si="14"/>
        <v>298</v>
      </c>
      <c r="F378" s="87">
        <f>M277</f>
        <v>3.6750000000000003</v>
      </c>
      <c r="G378" s="103">
        <f t="shared" si="15"/>
        <v>3.6750000000000003</v>
      </c>
    </row>
    <row r="379" spans="1:7" x14ac:dyDescent="0.25">
      <c r="A379" s="115" t="s">
        <v>892</v>
      </c>
      <c r="B379" s="28">
        <v>5</v>
      </c>
      <c r="C379" s="28">
        <v>250</v>
      </c>
      <c r="D379" s="28">
        <v>98</v>
      </c>
      <c r="E379" s="33">
        <f t="shared" si="14"/>
        <v>348</v>
      </c>
      <c r="F379" s="87">
        <f>M278</f>
        <v>5.04</v>
      </c>
      <c r="G379" s="103">
        <f t="shared" si="15"/>
        <v>5.04</v>
      </c>
    </row>
    <row r="380" spans="1:7" x14ac:dyDescent="0.25">
      <c r="A380" s="115" t="s">
        <v>894</v>
      </c>
      <c r="B380" s="28">
        <v>5</v>
      </c>
      <c r="C380" s="28">
        <v>300</v>
      </c>
      <c r="D380" s="28">
        <v>98</v>
      </c>
      <c r="E380" s="33">
        <f t="shared" si="14"/>
        <v>398</v>
      </c>
      <c r="F380" s="87">
        <f>M278</f>
        <v>5.04</v>
      </c>
      <c r="G380" s="103">
        <f t="shared" si="15"/>
        <v>5.04</v>
      </c>
    </row>
    <row r="381" spans="1:7" x14ac:dyDescent="0.25">
      <c r="A381" s="115" t="s">
        <v>896</v>
      </c>
      <c r="B381" s="28">
        <v>6</v>
      </c>
      <c r="C381" s="28">
        <v>100</v>
      </c>
      <c r="D381" s="28">
        <v>119</v>
      </c>
      <c r="E381" s="33">
        <f t="shared" si="14"/>
        <v>219</v>
      </c>
      <c r="F381" s="87">
        <f>M282</f>
        <v>1.8900000000000001</v>
      </c>
      <c r="G381" s="103">
        <f t="shared" si="15"/>
        <v>1.8900000000000001</v>
      </c>
    </row>
    <row r="382" spans="1:7" x14ac:dyDescent="0.25">
      <c r="A382" s="115" t="s">
        <v>898</v>
      </c>
      <c r="B382" s="28">
        <v>6</v>
      </c>
      <c r="C382" s="28">
        <v>125</v>
      </c>
      <c r="D382" s="28">
        <v>119</v>
      </c>
      <c r="E382" s="33">
        <f t="shared" si="14"/>
        <v>244</v>
      </c>
      <c r="F382" s="87">
        <f>M283</f>
        <v>2.2050000000000001</v>
      </c>
      <c r="G382" s="103">
        <f t="shared" si="15"/>
        <v>2.2050000000000001</v>
      </c>
    </row>
    <row r="383" spans="1:7" x14ac:dyDescent="0.25">
      <c r="A383" s="115" t="s">
        <v>900</v>
      </c>
      <c r="B383" s="28">
        <v>6</v>
      </c>
      <c r="C383" s="28">
        <v>150</v>
      </c>
      <c r="D383" s="28">
        <v>119</v>
      </c>
      <c r="E383" s="33">
        <f t="shared" si="14"/>
        <v>269</v>
      </c>
      <c r="F383" s="87">
        <f>M284</f>
        <v>3.6750000000000003</v>
      </c>
      <c r="G383" s="103">
        <f t="shared" si="15"/>
        <v>3.6750000000000003</v>
      </c>
    </row>
    <row r="384" spans="1:7" x14ac:dyDescent="0.25">
      <c r="A384" s="115" t="s">
        <v>902</v>
      </c>
      <c r="B384" s="28">
        <v>6</v>
      </c>
      <c r="C384" s="28">
        <v>200</v>
      </c>
      <c r="D384" s="28">
        <v>119</v>
      </c>
      <c r="E384" s="33">
        <f t="shared" si="14"/>
        <v>319</v>
      </c>
      <c r="F384" s="87">
        <f>M285</f>
        <v>5.04</v>
      </c>
      <c r="G384" s="103">
        <f t="shared" si="15"/>
        <v>5.04</v>
      </c>
    </row>
    <row r="385" spans="1:7" x14ac:dyDescent="0.25">
      <c r="A385" s="115" t="s">
        <v>904</v>
      </c>
      <c r="B385" s="28">
        <v>6</v>
      </c>
      <c r="C385" s="28">
        <v>250</v>
      </c>
      <c r="D385" s="28">
        <v>119</v>
      </c>
      <c r="E385" s="33">
        <f t="shared" si="14"/>
        <v>369</v>
      </c>
      <c r="F385" s="87">
        <f>M285</f>
        <v>5.04</v>
      </c>
      <c r="G385" s="103">
        <f t="shared" si="15"/>
        <v>5.04</v>
      </c>
    </row>
    <row r="386" spans="1:7" x14ac:dyDescent="0.25">
      <c r="A386" s="115" t="s">
        <v>906</v>
      </c>
      <c r="B386" s="28">
        <v>6</v>
      </c>
      <c r="C386" s="28">
        <v>300</v>
      </c>
      <c r="D386" s="28">
        <v>119</v>
      </c>
      <c r="E386" s="33">
        <f t="shared" si="14"/>
        <v>419</v>
      </c>
      <c r="F386" s="87">
        <f>M286</f>
        <v>6.7200000000000006</v>
      </c>
      <c r="G386" s="103">
        <f t="shared" si="15"/>
        <v>6.7200000000000006</v>
      </c>
    </row>
    <row r="387" spans="1:7" x14ac:dyDescent="0.25">
      <c r="A387" s="115" t="s">
        <v>908</v>
      </c>
      <c r="B387" s="28">
        <v>6</v>
      </c>
      <c r="C387" s="28">
        <v>350</v>
      </c>
      <c r="D387" s="28">
        <v>119</v>
      </c>
      <c r="E387" s="33">
        <f t="shared" si="14"/>
        <v>469</v>
      </c>
      <c r="F387" s="87">
        <f>M286</f>
        <v>6.7200000000000006</v>
      </c>
      <c r="G387" s="103">
        <f t="shared" si="15"/>
        <v>6.7200000000000006</v>
      </c>
    </row>
    <row r="388" spans="1:7" x14ac:dyDescent="0.25">
      <c r="A388" s="115" t="s">
        <v>910</v>
      </c>
      <c r="B388" s="28">
        <v>6</v>
      </c>
      <c r="C388" s="28">
        <v>400</v>
      </c>
      <c r="D388" s="28">
        <v>119</v>
      </c>
      <c r="E388" s="33">
        <f t="shared" si="14"/>
        <v>519</v>
      </c>
      <c r="F388" s="87">
        <f>M286</f>
        <v>6.7200000000000006</v>
      </c>
      <c r="G388" s="103">
        <f t="shared" si="15"/>
        <v>6.7200000000000006</v>
      </c>
    </row>
    <row r="389" spans="1:7" x14ac:dyDescent="0.25">
      <c r="A389" s="115" t="s">
        <v>912</v>
      </c>
      <c r="B389" s="28">
        <v>7</v>
      </c>
      <c r="C389" s="28">
        <v>150</v>
      </c>
      <c r="D389" s="28">
        <v>134</v>
      </c>
      <c r="E389" s="33">
        <f t="shared" si="14"/>
        <v>284</v>
      </c>
      <c r="F389" s="87">
        <f>M288</f>
        <v>4.2</v>
      </c>
      <c r="G389" s="103">
        <f t="shared" si="15"/>
        <v>4.2</v>
      </c>
    </row>
    <row r="390" spans="1:7" x14ac:dyDescent="0.25">
      <c r="A390" s="115" t="s">
        <v>914</v>
      </c>
      <c r="B390" s="28">
        <v>7</v>
      </c>
      <c r="C390" s="28">
        <v>175</v>
      </c>
      <c r="D390" s="28">
        <v>134</v>
      </c>
      <c r="E390" s="33">
        <f t="shared" si="14"/>
        <v>309</v>
      </c>
      <c r="F390" s="87">
        <f>M289</f>
        <v>5.88</v>
      </c>
      <c r="G390" s="103">
        <f t="shared" si="15"/>
        <v>5.88</v>
      </c>
    </row>
    <row r="391" spans="1:7" x14ac:dyDescent="0.25">
      <c r="A391" s="115" t="s">
        <v>916</v>
      </c>
      <c r="B391" s="28">
        <v>7</v>
      </c>
      <c r="C391" s="28">
        <v>200</v>
      </c>
      <c r="D391" s="28">
        <v>134</v>
      </c>
      <c r="E391" s="33">
        <f t="shared" si="14"/>
        <v>334</v>
      </c>
      <c r="F391" s="87">
        <f>M289</f>
        <v>5.88</v>
      </c>
      <c r="G391" s="103">
        <f t="shared" si="15"/>
        <v>5.88</v>
      </c>
    </row>
    <row r="392" spans="1:7" x14ac:dyDescent="0.25">
      <c r="A392" s="115" t="s">
        <v>918</v>
      </c>
      <c r="B392" s="28">
        <v>7</v>
      </c>
      <c r="C392" s="28">
        <v>250</v>
      </c>
      <c r="D392" s="28">
        <v>134</v>
      </c>
      <c r="E392" s="33">
        <f t="shared" si="14"/>
        <v>384</v>
      </c>
      <c r="F392" s="87">
        <f>M289</f>
        <v>5.88</v>
      </c>
      <c r="G392" s="103">
        <f t="shared" ref="G392:G405" si="16">F392</f>
        <v>5.88</v>
      </c>
    </row>
    <row r="393" spans="1:7" x14ac:dyDescent="0.25">
      <c r="A393" s="115" t="s">
        <v>920</v>
      </c>
      <c r="B393" s="28">
        <v>7</v>
      </c>
      <c r="C393" s="28">
        <v>300</v>
      </c>
      <c r="D393" s="28">
        <v>134</v>
      </c>
      <c r="E393" s="33">
        <f t="shared" si="14"/>
        <v>434</v>
      </c>
      <c r="F393" s="87">
        <f>M290</f>
        <v>8.4</v>
      </c>
      <c r="G393" s="103">
        <f t="shared" si="16"/>
        <v>8.4</v>
      </c>
    </row>
    <row r="394" spans="1:7" x14ac:dyDescent="0.25">
      <c r="A394" s="115" t="s">
        <v>922</v>
      </c>
      <c r="B394" s="28">
        <v>7</v>
      </c>
      <c r="C394" s="28">
        <v>350</v>
      </c>
      <c r="D394" s="28">
        <v>134</v>
      </c>
      <c r="E394" s="33">
        <f t="shared" si="14"/>
        <v>484</v>
      </c>
      <c r="F394" s="87">
        <f>M290</f>
        <v>8.4</v>
      </c>
      <c r="G394" s="103">
        <f t="shared" si="16"/>
        <v>8.4</v>
      </c>
    </row>
    <row r="395" spans="1:7" x14ac:dyDescent="0.25">
      <c r="A395" s="115" t="s">
        <v>924</v>
      </c>
      <c r="B395" s="28">
        <v>7</v>
      </c>
      <c r="C395" s="28">
        <v>400</v>
      </c>
      <c r="D395" s="28">
        <v>134</v>
      </c>
      <c r="E395" s="33">
        <f t="shared" si="14"/>
        <v>534</v>
      </c>
      <c r="F395" s="87">
        <f>M290</f>
        <v>8.4</v>
      </c>
      <c r="G395" s="103">
        <f t="shared" si="16"/>
        <v>8.4</v>
      </c>
    </row>
    <row r="396" spans="1:7" x14ac:dyDescent="0.25">
      <c r="A396" s="115" t="s">
        <v>926</v>
      </c>
      <c r="B396" s="28">
        <v>7</v>
      </c>
      <c r="C396" s="28">
        <v>450</v>
      </c>
      <c r="D396" s="28">
        <v>134</v>
      </c>
      <c r="E396" s="33">
        <f t="shared" si="14"/>
        <v>584</v>
      </c>
      <c r="F396" s="87">
        <f>M290</f>
        <v>8.4</v>
      </c>
      <c r="G396" s="103">
        <f t="shared" si="16"/>
        <v>8.4</v>
      </c>
    </row>
    <row r="397" spans="1:7" x14ac:dyDescent="0.25">
      <c r="A397" s="115" t="s">
        <v>928</v>
      </c>
      <c r="B397" s="28">
        <v>7</v>
      </c>
      <c r="C397" s="28">
        <v>500</v>
      </c>
      <c r="D397" s="28">
        <v>134</v>
      </c>
      <c r="E397" s="33">
        <f t="shared" si="14"/>
        <v>634</v>
      </c>
      <c r="F397" s="87">
        <f>M290</f>
        <v>8.4</v>
      </c>
      <c r="G397" s="103">
        <f t="shared" si="16"/>
        <v>8.4</v>
      </c>
    </row>
    <row r="398" spans="1:7" x14ac:dyDescent="0.25">
      <c r="A398" s="115" t="s">
        <v>930</v>
      </c>
      <c r="B398" s="28">
        <v>8</v>
      </c>
      <c r="C398" s="28">
        <v>175</v>
      </c>
      <c r="D398" s="28">
        <v>134</v>
      </c>
      <c r="E398" s="33">
        <f t="shared" si="14"/>
        <v>309</v>
      </c>
      <c r="F398" s="87">
        <f>M293</f>
        <v>5.88</v>
      </c>
      <c r="G398" s="103">
        <f t="shared" si="16"/>
        <v>5.88</v>
      </c>
    </row>
    <row r="399" spans="1:7" x14ac:dyDescent="0.25">
      <c r="A399" s="115" t="s">
        <v>932</v>
      </c>
      <c r="B399" s="28">
        <v>8</v>
      </c>
      <c r="C399" s="28">
        <v>200</v>
      </c>
      <c r="D399" s="28">
        <v>134</v>
      </c>
      <c r="E399" s="33">
        <f t="shared" si="14"/>
        <v>334</v>
      </c>
      <c r="F399" s="87">
        <f>M293</f>
        <v>5.88</v>
      </c>
      <c r="G399" s="103">
        <f t="shared" si="16"/>
        <v>5.88</v>
      </c>
    </row>
    <row r="400" spans="1:7" x14ac:dyDescent="0.25">
      <c r="A400" s="115" t="s">
        <v>934</v>
      </c>
      <c r="B400" s="28">
        <v>8</v>
      </c>
      <c r="C400" s="28">
        <v>250</v>
      </c>
      <c r="D400" s="28">
        <v>134</v>
      </c>
      <c r="E400" s="33">
        <f t="shared" si="14"/>
        <v>384</v>
      </c>
      <c r="F400" s="87">
        <f>M293</f>
        <v>5.88</v>
      </c>
      <c r="G400" s="103">
        <f t="shared" si="16"/>
        <v>5.88</v>
      </c>
    </row>
    <row r="401" spans="1:7" x14ac:dyDescent="0.25">
      <c r="A401" s="115" t="s">
        <v>936</v>
      </c>
      <c r="B401" s="28">
        <v>8</v>
      </c>
      <c r="C401" s="28">
        <v>300</v>
      </c>
      <c r="D401" s="28">
        <v>134</v>
      </c>
      <c r="E401" s="33">
        <f t="shared" si="14"/>
        <v>434</v>
      </c>
      <c r="F401" s="87">
        <f>M294</f>
        <v>8.4</v>
      </c>
      <c r="G401" s="103">
        <f t="shared" si="16"/>
        <v>8.4</v>
      </c>
    </row>
    <row r="402" spans="1:7" x14ac:dyDescent="0.25">
      <c r="A402" s="115" t="s">
        <v>938</v>
      </c>
      <c r="B402" s="28">
        <v>8</v>
      </c>
      <c r="C402" s="28">
        <v>350</v>
      </c>
      <c r="D402" s="28">
        <v>134</v>
      </c>
      <c r="E402" s="33">
        <f t="shared" si="14"/>
        <v>484</v>
      </c>
      <c r="F402" s="87">
        <f>M294</f>
        <v>8.4</v>
      </c>
      <c r="G402" s="103">
        <f t="shared" si="16"/>
        <v>8.4</v>
      </c>
    </row>
    <row r="403" spans="1:7" x14ac:dyDescent="0.25">
      <c r="A403" s="115" t="s">
        <v>940</v>
      </c>
      <c r="B403" s="28">
        <v>8</v>
      </c>
      <c r="C403" s="28">
        <v>400</v>
      </c>
      <c r="D403" s="28">
        <v>134</v>
      </c>
      <c r="E403" s="33">
        <f t="shared" si="14"/>
        <v>534</v>
      </c>
      <c r="F403" s="87">
        <f>M294</f>
        <v>8.4</v>
      </c>
      <c r="G403" s="103">
        <f t="shared" si="16"/>
        <v>8.4</v>
      </c>
    </row>
    <row r="404" spans="1:7" x14ac:dyDescent="0.25">
      <c r="A404" s="115" t="s">
        <v>942</v>
      </c>
      <c r="B404" s="28">
        <v>8</v>
      </c>
      <c r="C404" s="28">
        <v>450</v>
      </c>
      <c r="D404" s="28">
        <v>134</v>
      </c>
      <c r="E404" s="33">
        <f t="shared" si="14"/>
        <v>584</v>
      </c>
      <c r="F404" s="87">
        <f>M294</f>
        <v>8.4</v>
      </c>
      <c r="G404" s="103">
        <f t="shared" si="16"/>
        <v>8.4</v>
      </c>
    </row>
    <row r="405" spans="1:7" x14ac:dyDescent="0.25">
      <c r="A405" s="115" t="s">
        <v>944</v>
      </c>
      <c r="B405" s="28">
        <v>8</v>
      </c>
      <c r="C405" s="28">
        <v>500</v>
      </c>
      <c r="D405" s="28">
        <v>134</v>
      </c>
      <c r="E405" s="33">
        <f t="shared" si="14"/>
        <v>634</v>
      </c>
      <c r="F405" s="87">
        <f>M294</f>
        <v>8.4</v>
      </c>
      <c r="G405" s="103">
        <f t="shared" si="16"/>
        <v>8.4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94"/>
  <sheetViews>
    <sheetView workbookViewId="0">
      <selection activeCell="A15" sqref="A15"/>
    </sheetView>
  </sheetViews>
  <sheetFormatPr defaultRowHeight="16.5" x14ac:dyDescent="0.25"/>
  <cols>
    <col min="1" max="1" width="15.625" customWidth="1"/>
    <col min="2" max="10" width="10.625" customWidth="1"/>
    <col min="11" max="17" width="10.625" style="2" customWidth="1"/>
    <col min="18" max="18" width="10.625" customWidth="1"/>
  </cols>
  <sheetData>
    <row r="1" spans="1:17" ht="21" x14ac:dyDescent="0.25">
      <c r="A1" s="25" t="s">
        <v>487</v>
      </c>
    </row>
    <row r="3" spans="1:17" x14ac:dyDescent="0.25">
      <c r="A3" s="23" t="s">
        <v>441</v>
      </c>
      <c r="B3" s="18" t="s">
        <v>478</v>
      </c>
      <c r="C3" s="2"/>
      <c r="D3" s="2"/>
      <c r="E3" s="2"/>
      <c r="F3" s="2"/>
      <c r="G3" s="2"/>
      <c r="H3" s="2"/>
      <c r="I3" s="2"/>
    </row>
    <row r="4" spans="1:17" x14ac:dyDescent="0.25">
      <c r="A4" s="23" t="s">
        <v>479</v>
      </c>
      <c r="B4" s="18" t="s">
        <v>771</v>
      </c>
      <c r="C4" s="2"/>
      <c r="D4" s="2"/>
      <c r="E4" s="2"/>
      <c r="F4" s="2"/>
      <c r="G4" s="2"/>
      <c r="H4" s="2"/>
      <c r="I4" s="2"/>
    </row>
    <row r="5" spans="1:17" ht="17.25" thickBot="1" x14ac:dyDescent="0.3">
      <c r="A5" s="23" t="s">
        <v>762</v>
      </c>
      <c r="B5" s="2" t="s">
        <v>763</v>
      </c>
      <c r="C5" s="2"/>
      <c r="D5" s="2"/>
      <c r="E5" s="2"/>
      <c r="F5" s="2"/>
      <c r="G5" s="2"/>
      <c r="H5" s="2"/>
      <c r="I5" s="2"/>
    </row>
    <row r="6" spans="1:17" x14ac:dyDescent="0.25">
      <c r="A6" t="s">
        <v>0</v>
      </c>
      <c r="B6" s="2" t="s">
        <v>443</v>
      </c>
      <c r="C6" s="2" t="s">
        <v>452</v>
      </c>
      <c r="D6" s="2" t="s">
        <v>454</v>
      </c>
      <c r="E6" s="2" t="s">
        <v>645</v>
      </c>
      <c r="F6" s="2" t="s">
        <v>450</v>
      </c>
      <c r="G6" s="2" t="s">
        <v>481</v>
      </c>
      <c r="H6" s="19" t="s">
        <v>446</v>
      </c>
      <c r="I6" s="21" t="s">
        <v>448</v>
      </c>
      <c r="K6" s="61" t="s">
        <v>490</v>
      </c>
      <c r="L6" s="37" t="s">
        <v>977</v>
      </c>
      <c r="M6" s="37" t="s">
        <v>449</v>
      </c>
      <c r="N6" s="37" t="s">
        <v>764</v>
      </c>
      <c r="O6" s="44" t="s">
        <v>447</v>
      </c>
      <c r="Q6"/>
    </row>
    <row r="7" spans="1:17" x14ac:dyDescent="0.25">
      <c r="A7" t="s">
        <v>11</v>
      </c>
      <c r="B7" s="2">
        <v>3</v>
      </c>
      <c r="C7" s="2">
        <v>60</v>
      </c>
      <c r="D7" s="49">
        <v>60</v>
      </c>
      <c r="E7" s="2">
        <f>D7+C7</f>
        <v>120</v>
      </c>
      <c r="F7" s="2">
        <v>6.1700000000000001E-3</v>
      </c>
      <c r="G7" s="26">
        <f>B7*B7*(C7+D7)*F7</f>
        <v>6.6635999999999997</v>
      </c>
      <c r="H7" s="19">
        <f>O7</f>
        <v>0.36749999999999999</v>
      </c>
      <c r="I7" s="22">
        <f t="shared" ref="I7:I14" si="0">H7</f>
        <v>0.36749999999999999</v>
      </c>
      <c r="K7" s="62" t="s">
        <v>1062</v>
      </c>
      <c r="L7" s="40" t="s">
        <v>493</v>
      </c>
      <c r="M7" s="40">
        <v>0.35</v>
      </c>
      <c r="N7" s="40">
        <v>1.05</v>
      </c>
      <c r="O7" s="45">
        <f>N7*M7</f>
        <v>0.36749999999999999</v>
      </c>
      <c r="Q7"/>
    </row>
    <row r="8" spans="1:17" x14ac:dyDescent="0.25">
      <c r="A8" t="s">
        <v>13</v>
      </c>
      <c r="B8" s="2">
        <v>3</v>
      </c>
      <c r="C8" s="2">
        <v>80</v>
      </c>
      <c r="D8" s="49">
        <v>60</v>
      </c>
      <c r="E8" s="2">
        <f t="shared" ref="E8:E71" si="1">D8+C8</f>
        <v>140</v>
      </c>
      <c r="F8" s="2">
        <v>6.1700000000000001E-3</v>
      </c>
      <c r="G8" s="26">
        <f t="shared" ref="G8:G71" si="2">B8*B8*(C8+D8)*F8</f>
        <v>7.7742000000000004</v>
      </c>
      <c r="H8" s="19">
        <f>O7</f>
        <v>0.36749999999999999</v>
      </c>
      <c r="I8" s="22">
        <f t="shared" si="0"/>
        <v>0.36749999999999999</v>
      </c>
      <c r="K8" s="62" t="s">
        <v>489</v>
      </c>
      <c r="L8" s="40" t="s">
        <v>494</v>
      </c>
      <c r="M8" s="40">
        <v>15</v>
      </c>
      <c r="N8" s="40">
        <v>1.05</v>
      </c>
      <c r="O8" s="45">
        <f>N8*M8</f>
        <v>15.75</v>
      </c>
      <c r="Q8"/>
    </row>
    <row r="9" spans="1:17" x14ac:dyDescent="0.25">
      <c r="A9" t="s">
        <v>15</v>
      </c>
      <c r="B9" s="2">
        <v>3</v>
      </c>
      <c r="C9" s="2">
        <v>100</v>
      </c>
      <c r="D9" s="49">
        <v>60</v>
      </c>
      <c r="E9" s="2">
        <f t="shared" si="1"/>
        <v>160</v>
      </c>
      <c r="F9" s="2">
        <v>6.1700000000000001E-3</v>
      </c>
      <c r="G9" s="26">
        <f t="shared" si="2"/>
        <v>8.8848000000000003</v>
      </c>
      <c r="H9" s="19">
        <f>O7</f>
        <v>0.36749999999999999</v>
      </c>
      <c r="I9" s="22">
        <f t="shared" si="0"/>
        <v>0.36749999999999999</v>
      </c>
      <c r="K9" s="62" t="s">
        <v>491</v>
      </c>
      <c r="L9" s="40" t="s">
        <v>495</v>
      </c>
      <c r="M9" s="40">
        <v>15</v>
      </c>
      <c r="N9" s="40">
        <v>1.05</v>
      </c>
      <c r="O9" s="45">
        <f>N9*M9</f>
        <v>15.75</v>
      </c>
      <c r="Q9"/>
    </row>
    <row r="10" spans="1:17" x14ac:dyDescent="0.25">
      <c r="A10" t="s">
        <v>17</v>
      </c>
      <c r="B10" s="2">
        <v>3</v>
      </c>
      <c r="C10" s="2">
        <v>125</v>
      </c>
      <c r="D10" s="49">
        <v>60</v>
      </c>
      <c r="E10" s="2">
        <f t="shared" si="1"/>
        <v>185</v>
      </c>
      <c r="F10" s="2">
        <v>6.1700000000000001E-3</v>
      </c>
      <c r="G10" s="26">
        <f t="shared" si="2"/>
        <v>10.27305</v>
      </c>
      <c r="H10" s="19">
        <f>O7</f>
        <v>0.36749999999999999</v>
      </c>
      <c r="I10" s="22">
        <f t="shared" si="0"/>
        <v>0.36749999999999999</v>
      </c>
      <c r="K10" s="62" t="s">
        <v>492</v>
      </c>
      <c r="L10" s="40" t="s">
        <v>496</v>
      </c>
      <c r="M10" s="40">
        <v>13.5</v>
      </c>
      <c r="N10" s="40">
        <v>1.05</v>
      </c>
      <c r="O10" s="45">
        <f>N10*M10</f>
        <v>14.175000000000001</v>
      </c>
      <c r="Q10"/>
    </row>
    <row r="11" spans="1:17" ht="17.25" thickBot="1" x14ac:dyDescent="0.3">
      <c r="A11" t="s">
        <v>19</v>
      </c>
      <c r="B11" s="2">
        <v>3</v>
      </c>
      <c r="C11" s="2">
        <v>150</v>
      </c>
      <c r="D11" s="49">
        <v>60</v>
      </c>
      <c r="E11" s="2">
        <f t="shared" si="1"/>
        <v>210</v>
      </c>
      <c r="F11" s="2">
        <v>6.1700000000000001E-3</v>
      </c>
      <c r="G11" s="26">
        <f t="shared" si="2"/>
        <v>11.661300000000001</v>
      </c>
      <c r="H11" s="19">
        <f>O7</f>
        <v>0.36749999999999999</v>
      </c>
      <c r="I11" s="22">
        <f t="shared" si="0"/>
        <v>0.36749999999999999</v>
      </c>
      <c r="K11" s="65" t="s">
        <v>1061</v>
      </c>
      <c r="L11" s="43" t="s">
        <v>497</v>
      </c>
      <c r="M11" s="43">
        <v>13.5</v>
      </c>
      <c r="N11" s="43">
        <v>1.05</v>
      </c>
      <c r="O11" s="46">
        <f>N11*M11</f>
        <v>14.175000000000001</v>
      </c>
      <c r="Q11"/>
    </row>
    <row r="12" spans="1:17" x14ac:dyDescent="0.25">
      <c r="A12" t="s">
        <v>21</v>
      </c>
      <c r="B12" s="2">
        <v>3</v>
      </c>
      <c r="C12" s="2">
        <v>200</v>
      </c>
      <c r="D12" s="49">
        <v>60</v>
      </c>
      <c r="E12" s="2">
        <f t="shared" si="1"/>
        <v>260</v>
      </c>
      <c r="F12" s="2">
        <v>6.1700000000000001E-3</v>
      </c>
      <c r="G12" s="26">
        <f t="shared" si="2"/>
        <v>14.437800000000001</v>
      </c>
      <c r="H12" s="19">
        <f>O7</f>
        <v>0.36749999999999999</v>
      </c>
      <c r="I12" s="22">
        <f t="shared" si="0"/>
        <v>0.36749999999999999</v>
      </c>
      <c r="Q12"/>
    </row>
    <row r="13" spans="1:17" x14ac:dyDescent="0.25">
      <c r="A13" t="s">
        <v>23</v>
      </c>
      <c r="B13" s="2">
        <v>3</v>
      </c>
      <c r="C13" s="2">
        <v>250</v>
      </c>
      <c r="D13" s="49">
        <v>60</v>
      </c>
      <c r="E13" s="2">
        <f t="shared" si="1"/>
        <v>310</v>
      </c>
      <c r="F13" s="2">
        <v>6.1700000000000001E-3</v>
      </c>
      <c r="G13" s="26">
        <f t="shared" si="2"/>
        <v>17.214300000000001</v>
      </c>
      <c r="H13" s="19">
        <f>O7</f>
        <v>0.36749999999999999</v>
      </c>
      <c r="I13" s="22">
        <f t="shared" si="0"/>
        <v>0.36749999999999999</v>
      </c>
      <c r="K13" s="18" t="s">
        <v>1063</v>
      </c>
    </row>
    <row r="14" spans="1:17" x14ac:dyDescent="0.25">
      <c r="A14" t="s">
        <v>25</v>
      </c>
      <c r="B14" s="2">
        <v>3</v>
      </c>
      <c r="C14" s="2">
        <v>300</v>
      </c>
      <c r="D14" s="49">
        <v>60</v>
      </c>
      <c r="E14" s="2">
        <f t="shared" si="1"/>
        <v>360</v>
      </c>
      <c r="F14" s="2">
        <v>6.1700000000000001E-3</v>
      </c>
      <c r="G14" s="26">
        <f t="shared" si="2"/>
        <v>19.9908</v>
      </c>
      <c r="H14" s="19">
        <f>O7</f>
        <v>0.36749999999999999</v>
      </c>
      <c r="I14" s="22">
        <f t="shared" si="0"/>
        <v>0.36749999999999999</v>
      </c>
    </row>
    <row r="15" spans="1:17" x14ac:dyDescent="0.25">
      <c r="A15" t="s">
        <v>35</v>
      </c>
      <c r="B15" s="2">
        <v>5</v>
      </c>
      <c r="C15" s="2">
        <v>38</v>
      </c>
      <c r="D15" s="49">
        <v>45</v>
      </c>
      <c r="E15" s="2">
        <f t="shared" si="1"/>
        <v>83</v>
      </c>
      <c r="F15" s="2">
        <v>6.1700000000000001E-3</v>
      </c>
      <c r="G15" s="26">
        <f t="shared" si="2"/>
        <v>12.80275</v>
      </c>
      <c r="H15" s="19">
        <f>O9</f>
        <v>15.75</v>
      </c>
      <c r="I15" s="22">
        <f t="shared" ref="I15:I73" si="3">G15*H15/1000</f>
        <v>0.2016433125</v>
      </c>
    </row>
    <row r="16" spans="1:17" x14ac:dyDescent="0.25">
      <c r="A16" t="s">
        <v>27</v>
      </c>
      <c r="B16" s="2">
        <v>5</v>
      </c>
      <c r="C16" s="2">
        <v>80</v>
      </c>
      <c r="D16" s="49">
        <v>60</v>
      </c>
      <c r="E16" s="2">
        <f t="shared" si="1"/>
        <v>140</v>
      </c>
      <c r="F16" s="2">
        <v>6.1700000000000001E-3</v>
      </c>
      <c r="G16" s="26">
        <f t="shared" si="2"/>
        <v>21.594999999999999</v>
      </c>
      <c r="H16" s="19">
        <f>O9</f>
        <v>15.75</v>
      </c>
      <c r="I16" s="22">
        <f t="shared" si="3"/>
        <v>0.34012124999999999</v>
      </c>
    </row>
    <row r="17" spans="1:9" x14ac:dyDescent="0.25">
      <c r="A17" t="s">
        <v>29</v>
      </c>
      <c r="B17" s="2">
        <v>5</v>
      </c>
      <c r="C17" s="2">
        <v>100</v>
      </c>
      <c r="D17" s="49">
        <v>60</v>
      </c>
      <c r="E17" s="2">
        <f t="shared" si="1"/>
        <v>160</v>
      </c>
      <c r="F17" s="2">
        <v>6.1700000000000001E-3</v>
      </c>
      <c r="G17" s="26">
        <f t="shared" si="2"/>
        <v>24.68</v>
      </c>
      <c r="H17" s="19">
        <f>O9</f>
        <v>15.75</v>
      </c>
      <c r="I17" s="22">
        <f t="shared" si="3"/>
        <v>0.38871</v>
      </c>
    </row>
    <row r="18" spans="1:9" x14ac:dyDescent="0.25">
      <c r="A18" t="s">
        <v>31</v>
      </c>
      <c r="B18" s="2">
        <v>5</v>
      </c>
      <c r="C18" s="2">
        <v>125</v>
      </c>
      <c r="D18" s="49">
        <v>60</v>
      </c>
      <c r="E18" s="2">
        <f t="shared" si="1"/>
        <v>185</v>
      </c>
      <c r="F18" s="2">
        <v>6.1700000000000001E-3</v>
      </c>
      <c r="G18" s="26">
        <f t="shared" si="2"/>
        <v>28.536249999999999</v>
      </c>
      <c r="H18" s="19">
        <f>O9</f>
        <v>15.75</v>
      </c>
      <c r="I18" s="22">
        <f t="shared" si="3"/>
        <v>0.44944593749999995</v>
      </c>
    </row>
    <row r="19" spans="1:9" x14ac:dyDescent="0.25">
      <c r="A19" t="s">
        <v>33</v>
      </c>
      <c r="B19" s="2">
        <v>5</v>
      </c>
      <c r="C19" s="2">
        <v>150</v>
      </c>
      <c r="D19" s="49">
        <v>60</v>
      </c>
      <c r="E19" s="2">
        <f t="shared" si="1"/>
        <v>210</v>
      </c>
      <c r="F19" s="2">
        <v>6.1700000000000001E-3</v>
      </c>
      <c r="G19" s="26">
        <f t="shared" si="2"/>
        <v>32.392499999999998</v>
      </c>
      <c r="H19" s="19">
        <f>O9</f>
        <v>15.75</v>
      </c>
      <c r="I19" s="22">
        <f t="shared" si="3"/>
        <v>0.51018187500000001</v>
      </c>
    </row>
    <row r="20" spans="1:9" x14ac:dyDescent="0.25">
      <c r="A20" t="s">
        <v>37</v>
      </c>
      <c r="B20" s="2">
        <v>5</v>
      </c>
      <c r="C20" s="2">
        <v>200</v>
      </c>
      <c r="D20" s="49">
        <v>60</v>
      </c>
      <c r="E20" s="2">
        <f t="shared" si="1"/>
        <v>260</v>
      </c>
      <c r="F20" s="2">
        <v>6.1700000000000001E-3</v>
      </c>
      <c r="G20" s="26">
        <f t="shared" si="2"/>
        <v>40.105000000000004</v>
      </c>
      <c r="H20" s="19">
        <f>O9</f>
        <v>15.75</v>
      </c>
      <c r="I20" s="22">
        <f t="shared" si="3"/>
        <v>0.63165375000000001</v>
      </c>
    </row>
    <row r="21" spans="1:9" x14ac:dyDescent="0.25">
      <c r="A21" t="s">
        <v>39</v>
      </c>
      <c r="B21" s="2">
        <v>5</v>
      </c>
      <c r="C21" s="2">
        <v>250</v>
      </c>
      <c r="D21" s="49">
        <v>60</v>
      </c>
      <c r="E21" s="2">
        <f t="shared" si="1"/>
        <v>310</v>
      </c>
      <c r="F21" s="2">
        <v>6.1700000000000001E-3</v>
      </c>
      <c r="G21" s="26">
        <f t="shared" si="2"/>
        <v>47.817500000000003</v>
      </c>
      <c r="H21" s="19">
        <f>O9</f>
        <v>15.75</v>
      </c>
      <c r="I21" s="22">
        <f t="shared" si="3"/>
        <v>0.75312562500000002</v>
      </c>
    </row>
    <row r="22" spans="1:9" x14ac:dyDescent="0.25">
      <c r="A22" t="s">
        <v>41</v>
      </c>
      <c r="B22" s="2">
        <v>5</v>
      </c>
      <c r="C22" s="2">
        <v>300</v>
      </c>
      <c r="D22" s="49">
        <v>60</v>
      </c>
      <c r="E22" s="2">
        <f t="shared" si="1"/>
        <v>360</v>
      </c>
      <c r="F22" s="2">
        <v>6.1700000000000001E-3</v>
      </c>
      <c r="G22" s="26">
        <f t="shared" si="2"/>
        <v>55.53</v>
      </c>
      <c r="H22" s="19">
        <f>O9</f>
        <v>15.75</v>
      </c>
      <c r="I22" s="22">
        <f t="shared" si="3"/>
        <v>0.87459749999999992</v>
      </c>
    </row>
    <row r="23" spans="1:9" x14ac:dyDescent="0.25">
      <c r="A23" t="s">
        <v>43</v>
      </c>
      <c r="B23" s="2">
        <v>5</v>
      </c>
      <c r="C23" s="2">
        <v>350</v>
      </c>
      <c r="D23" s="49">
        <v>60</v>
      </c>
      <c r="E23" s="2">
        <f t="shared" si="1"/>
        <v>410</v>
      </c>
      <c r="F23" s="2">
        <v>6.1700000000000001E-3</v>
      </c>
      <c r="G23" s="26">
        <f t="shared" si="2"/>
        <v>63.2425</v>
      </c>
      <c r="H23" s="19">
        <f>O9</f>
        <v>15.75</v>
      </c>
      <c r="I23" s="22">
        <f t="shared" si="3"/>
        <v>0.99606937500000003</v>
      </c>
    </row>
    <row r="24" spans="1:9" x14ac:dyDescent="0.25">
      <c r="A24" t="s">
        <v>45</v>
      </c>
      <c r="B24" s="2">
        <v>5</v>
      </c>
      <c r="C24" s="2">
        <v>400</v>
      </c>
      <c r="D24" s="49">
        <v>60</v>
      </c>
      <c r="E24" s="2">
        <f t="shared" si="1"/>
        <v>460</v>
      </c>
      <c r="F24" s="2">
        <v>6.1700000000000001E-3</v>
      </c>
      <c r="G24" s="26">
        <f t="shared" si="2"/>
        <v>70.954999999999998</v>
      </c>
      <c r="H24" s="19">
        <f>O9</f>
        <v>15.75</v>
      </c>
      <c r="I24" s="22">
        <f t="shared" si="3"/>
        <v>1.1175412499999999</v>
      </c>
    </row>
    <row r="25" spans="1:9" x14ac:dyDescent="0.25">
      <c r="A25" t="s">
        <v>47</v>
      </c>
      <c r="B25" s="2">
        <v>5</v>
      </c>
      <c r="C25" s="2">
        <v>500</v>
      </c>
      <c r="D25" s="49">
        <v>60</v>
      </c>
      <c r="E25" s="2">
        <f t="shared" si="1"/>
        <v>560</v>
      </c>
      <c r="F25" s="2">
        <v>6.1700000000000001E-3</v>
      </c>
      <c r="G25" s="26">
        <f t="shared" si="2"/>
        <v>86.38</v>
      </c>
      <c r="H25" s="19">
        <f>O9</f>
        <v>15.75</v>
      </c>
      <c r="I25" s="22">
        <f t="shared" si="3"/>
        <v>1.3604849999999999</v>
      </c>
    </row>
    <row r="26" spans="1:9" x14ac:dyDescent="0.25">
      <c r="A26" t="s">
        <v>49</v>
      </c>
      <c r="B26" s="2">
        <v>6</v>
      </c>
      <c r="C26" s="2">
        <v>38</v>
      </c>
      <c r="D26" s="49">
        <v>45</v>
      </c>
      <c r="E26" s="2">
        <f t="shared" si="1"/>
        <v>83</v>
      </c>
      <c r="F26" s="2">
        <v>6.1700000000000001E-3</v>
      </c>
      <c r="G26" s="26">
        <f t="shared" si="2"/>
        <v>18.435960000000001</v>
      </c>
      <c r="H26" s="19">
        <f>O10</f>
        <v>14.175000000000001</v>
      </c>
      <c r="I26" s="22">
        <f t="shared" si="3"/>
        <v>0.26132973300000001</v>
      </c>
    </row>
    <row r="27" spans="1:9" x14ac:dyDescent="0.25">
      <c r="A27" t="s">
        <v>51</v>
      </c>
      <c r="B27" s="2">
        <v>6</v>
      </c>
      <c r="C27" s="2">
        <v>100</v>
      </c>
      <c r="D27" s="49">
        <v>80</v>
      </c>
      <c r="E27" s="2">
        <f t="shared" si="1"/>
        <v>180</v>
      </c>
      <c r="F27" s="2">
        <v>6.1700000000000001E-3</v>
      </c>
      <c r="G27" s="26">
        <f t="shared" si="2"/>
        <v>39.9816</v>
      </c>
      <c r="H27" s="19">
        <f>O10</f>
        <v>14.175000000000001</v>
      </c>
      <c r="I27" s="22">
        <f t="shared" si="3"/>
        <v>0.56673918000000001</v>
      </c>
    </row>
    <row r="28" spans="1:9" x14ac:dyDescent="0.25">
      <c r="A28" t="s">
        <v>53</v>
      </c>
      <c r="B28" s="2">
        <v>6</v>
      </c>
      <c r="C28" s="2">
        <v>125</v>
      </c>
      <c r="D28" s="49">
        <v>80</v>
      </c>
      <c r="E28" s="2">
        <f t="shared" si="1"/>
        <v>205</v>
      </c>
      <c r="F28" s="2">
        <v>6.1700000000000001E-3</v>
      </c>
      <c r="G28" s="26">
        <f t="shared" si="2"/>
        <v>45.534599999999998</v>
      </c>
      <c r="H28" s="19">
        <f>O10</f>
        <v>14.175000000000001</v>
      </c>
      <c r="I28" s="22">
        <f t="shared" si="3"/>
        <v>0.64545295499999999</v>
      </c>
    </row>
    <row r="29" spans="1:9" x14ac:dyDescent="0.25">
      <c r="A29" t="s">
        <v>55</v>
      </c>
      <c r="B29" s="2">
        <v>6</v>
      </c>
      <c r="C29" s="2">
        <v>150</v>
      </c>
      <c r="D29" s="49">
        <v>80</v>
      </c>
      <c r="E29" s="2">
        <f t="shared" si="1"/>
        <v>230</v>
      </c>
      <c r="F29" s="2">
        <v>6.1700000000000001E-3</v>
      </c>
      <c r="G29" s="26">
        <f t="shared" si="2"/>
        <v>51.087600000000002</v>
      </c>
      <c r="H29" s="19">
        <f>O10</f>
        <v>14.175000000000001</v>
      </c>
      <c r="I29" s="22">
        <f t="shared" si="3"/>
        <v>0.72416672999999998</v>
      </c>
    </row>
    <row r="30" spans="1:9" x14ac:dyDescent="0.25">
      <c r="A30" t="s">
        <v>57</v>
      </c>
      <c r="B30" s="2">
        <v>6</v>
      </c>
      <c r="C30" s="2">
        <v>200</v>
      </c>
      <c r="D30" s="49">
        <v>80</v>
      </c>
      <c r="E30" s="2">
        <f t="shared" si="1"/>
        <v>280</v>
      </c>
      <c r="F30" s="2">
        <v>6.1700000000000001E-3</v>
      </c>
      <c r="G30" s="26">
        <f t="shared" si="2"/>
        <v>62.193600000000004</v>
      </c>
      <c r="H30" s="19">
        <f>O10</f>
        <v>14.175000000000001</v>
      </c>
      <c r="I30" s="22">
        <f t="shared" si="3"/>
        <v>0.88159428000000017</v>
      </c>
    </row>
    <row r="31" spans="1:9" x14ac:dyDescent="0.25">
      <c r="A31" t="s">
        <v>59</v>
      </c>
      <c r="B31" s="2">
        <v>6</v>
      </c>
      <c r="C31" s="2">
        <v>250</v>
      </c>
      <c r="D31" s="49">
        <v>80</v>
      </c>
      <c r="E31" s="2">
        <f t="shared" si="1"/>
        <v>330</v>
      </c>
      <c r="F31" s="2">
        <v>6.1700000000000001E-3</v>
      </c>
      <c r="G31" s="26">
        <f t="shared" si="2"/>
        <v>73.299599999999998</v>
      </c>
      <c r="H31" s="19">
        <f>O10</f>
        <v>14.175000000000001</v>
      </c>
      <c r="I31" s="22">
        <f t="shared" si="3"/>
        <v>1.03902183</v>
      </c>
    </row>
    <row r="32" spans="1:9" x14ac:dyDescent="0.25">
      <c r="A32" t="s">
        <v>61</v>
      </c>
      <c r="B32" s="2">
        <v>6</v>
      </c>
      <c r="C32" s="2">
        <v>300</v>
      </c>
      <c r="D32" s="49">
        <v>80</v>
      </c>
      <c r="E32" s="2">
        <f t="shared" si="1"/>
        <v>380</v>
      </c>
      <c r="F32" s="2">
        <v>6.1700000000000001E-3</v>
      </c>
      <c r="G32" s="26">
        <f t="shared" si="2"/>
        <v>84.405600000000007</v>
      </c>
      <c r="H32" s="19">
        <f>O10</f>
        <v>14.175000000000001</v>
      </c>
      <c r="I32" s="22">
        <f t="shared" si="3"/>
        <v>1.1964493800000002</v>
      </c>
    </row>
    <row r="33" spans="1:9" x14ac:dyDescent="0.25">
      <c r="A33" t="s">
        <v>63</v>
      </c>
      <c r="B33" s="2">
        <v>6</v>
      </c>
      <c r="C33" s="2">
        <v>350</v>
      </c>
      <c r="D33" s="49">
        <v>80</v>
      </c>
      <c r="E33" s="2">
        <f t="shared" si="1"/>
        <v>430</v>
      </c>
      <c r="F33" s="2">
        <v>6.1700000000000001E-3</v>
      </c>
      <c r="G33" s="26">
        <f t="shared" si="2"/>
        <v>95.511600000000001</v>
      </c>
      <c r="H33" s="19">
        <f>O10</f>
        <v>14.175000000000001</v>
      </c>
      <c r="I33" s="22">
        <f t="shared" si="3"/>
        <v>1.3538769300000002</v>
      </c>
    </row>
    <row r="34" spans="1:9" x14ac:dyDescent="0.25">
      <c r="A34" t="s">
        <v>65</v>
      </c>
      <c r="B34" s="2">
        <v>6</v>
      </c>
      <c r="C34" s="2">
        <v>400</v>
      </c>
      <c r="D34" s="49">
        <v>80</v>
      </c>
      <c r="E34" s="2">
        <f t="shared" si="1"/>
        <v>480</v>
      </c>
      <c r="F34" s="2">
        <v>6.1700000000000001E-3</v>
      </c>
      <c r="G34" s="26">
        <f t="shared" si="2"/>
        <v>106.6176</v>
      </c>
      <c r="H34" s="19">
        <f>O10</f>
        <v>14.175000000000001</v>
      </c>
      <c r="I34" s="22">
        <f t="shared" si="3"/>
        <v>1.51130448</v>
      </c>
    </row>
    <row r="35" spans="1:9" x14ac:dyDescent="0.25">
      <c r="A35" t="s">
        <v>67</v>
      </c>
      <c r="B35" s="2">
        <v>6</v>
      </c>
      <c r="C35" s="2">
        <v>500</v>
      </c>
      <c r="D35" s="49">
        <v>80</v>
      </c>
      <c r="E35" s="2">
        <f t="shared" si="1"/>
        <v>580</v>
      </c>
      <c r="F35" s="2">
        <v>6.1700000000000001E-3</v>
      </c>
      <c r="G35" s="26">
        <f t="shared" si="2"/>
        <v>128.8296</v>
      </c>
      <c r="H35" s="19">
        <f>O10</f>
        <v>14.175000000000001</v>
      </c>
      <c r="I35" s="22">
        <f t="shared" si="3"/>
        <v>1.8261595800000001</v>
      </c>
    </row>
    <row r="36" spans="1:9" x14ac:dyDescent="0.25">
      <c r="A36" t="s">
        <v>69</v>
      </c>
      <c r="B36" s="2">
        <v>8</v>
      </c>
      <c r="C36" s="2">
        <v>100</v>
      </c>
      <c r="D36" s="49">
        <v>100</v>
      </c>
      <c r="E36" s="2">
        <f t="shared" si="1"/>
        <v>200</v>
      </c>
      <c r="F36" s="2">
        <v>6.1700000000000001E-3</v>
      </c>
      <c r="G36" s="26">
        <f t="shared" si="2"/>
        <v>78.975999999999999</v>
      </c>
      <c r="H36" s="19">
        <f>O11</f>
        <v>14.175000000000001</v>
      </c>
      <c r="I36" s="22">
        <f t="shared" si="3"/>
        <v>1.1194847999999999</v>
      </c>
    </row>
    <row r="37" spans="1:9" x14ac:dyDescent="0.25">
      <c r="A37" t="s">
        <v>71</v>
      </c>
      <c r="B37" s="2">
        <v>8</v>
      </c>
      <c r="C37" s="2">
        <v>125</v>
      </c>
      <c r="D37" s="49">
        <v>100</v>
      </c>
      <c r="E37" s="2">
        <f t="shared" si="1"/>
        <v>225</v>
      </c>
      <c r="F37" s="2">
        <v>6.1700000000000001E-3</v>
      </c>
      <c r="G37" s="26">
        <f t="shared" si="2"/>
        <v>88.847999999999999</v>
      </c>
      <c r="H37" s="19">
        <f>O11</f>
        <v>14.175000000000001</v>
      </c>
      <c r="I37" s="22">
        <f t="shared" si="3"/>
        <v>1.2594204</v>
      </c>
    </row>
    <row r="38" spans="1:9" x14ac:dyDescent="0.25">
      <c r="A38" t="s">
        <v>75</v>
      </c>
      <c r="B38" s="2">
        <v>8</v>
      </c>
      <c r="C38" s="2">
        <v>150</v>
      </c>
      <c r="D38" s="49">
        <v>100</v>
      </c>
      <c r="E38" s="2">
        <f t="shared" si="1"/>
        <v>250</v>
      </c>
      <c r="F38" s="2">
        <v>6.1700000000000001E-3</v>
      </c>
      <c r="G38" s="26">
        <f t="shared" si="2"/>
        <v>98.72</v>
      </c>
      <c r="H38" s="19">
        <f>O11</f>
        <v>14.175000000000001</v>
      </c>
      <c r="I38" s="22">
        <f t="shared" si="3"/>
        <v>1.399356</v>
      </c>
    </row>
    <row r="39" spans="1:9" x14ac:dyDescent="0.25">
      <c r="A39" t="s">
        <v>73</v>
      </c>
      <c r="B39" s="2">
        <v>8</v>
      </c>
      <c r="C39" s="2">
        <v>175</v>
      </c>
      <c r="D39" s="49">
        <v>100</v>
      </c>
      <c r="E39" s="2">
        <f t="shared" si="1"/>
        <v>275</v>
      </c>
      <c r="F39" s="2">
        <v>6.1700000000000001E-3</v>
      </c>
      <c r="G39" s="26">
        <f t="shared" si="2"/>
        <v>108.592</v>
      </c>
      <c r="H39" s="19">
        <f>O11</f>
        <v>14.175000000000001</v>
      </c>
      <c r="I39" s="22">
        <f t="shared" si="3"/>
        <v>1.5392916000000001</v>
      </c>
    </row>
    <row r="40" spans="1:9" x14ac:dyDescent="0.25">
      <c r="A40" t="s">
        <v>77</v>
      </c>
      <c r="B40" s="2">
        <v>8</v>
      </c>
      <c r="C40" s="2">
        <v>200</v>
      </c>
      <c r="D40" s="49">
        <v>100</v>
      </c>
      <c r="E40" s="2">
        <f t="shared" si="1"/>
        <v>300</v>
      </c>
      <c r="F40" s="2">
        <v>6.1700000000000001E-3</v>
      </c>
      <c r="G40" s="26">
        <f t="shared" si="2"/>
        <v>118.464</v>
      </c>
      <c r="H40" s="19">
        <f>O11</f>
        <v>14.175000000000001</v>
      </c>
      <c r="I40" s="22">
        <f t="shared" si="3"/>
        <v>1.6792272000000001</v>
      </c>
    </row>
    <row r="41" spans="1:9" x14ac:dyDescent="0.25">
      <c r="A41" t="s">
        <v>79</v>
      </c>
      <c r="B41" s="2">
        <v>8</v>
      </c>
      <c r="C41" s="2">
        <v>250</v>
      </c>
      <c r="D41" s="49">
        <v>100</v>
      </c>
      <c r="E41" s="2">
        <f t="shared" si="1"/>
        <v>350</v>
      </c>
      <c r="F41" s="2">
        <v>6.1700000000000001E-3</v>
      </c>
      <c r="G41" s="26">
        <f t="shared" si="2"/>
        <v>138.208</v>
      </c>
      <c r="H41" s="19">
        <f>O11</f>
        <v>14.175000000000001</v>
      </c>
      <c r="I41" s="22">
        <f t="shared" si="3"/>
        <v>1.9590984</v>
      </c>
    </row>
    <row r="42" spans="1:9" x14ac:dyDescent="0.25">
      <c r="A42" t="s">
        <v>81</v>
      </c>
      <c r="B42" s="2">
        <v>8</v>
      </c>
      <c r="C42" s="2">
        <v>300</v>
      </c>
      <c r="D42" s="49">
        <v>100</v>
      </c>
      <c r="E42" s="2">
        <f t="shared" si="1"/>
        <v>400</v>
      </c>
      <c r="F42" s="2">
        <v>6.1700000000000001E-3</v>
      </c>
      <c r="G42" s="26">
        <f t="shared" si="2"/>
        <v>157.952</v>
      </c>
      <c r="H42" s="19">
        <f>O11</f>
        <v>14.175000000000001</v>
      </c>
      <c r="I42" s="22">
        <f t="shared" si="3"/>
        <v>2.2389695999999999</v>
      </c>
    </row>
    <row r="43" spans="1:9" x14ac:dyDescent="0.25">
      <c r="A43" t="s">
        <v>83</v>
      </c>
      <c r="B43" s="2">
        <v>8</v>
      </c>
      <c r="C43" s="2">
        <v>350</v>
      </c>
      <c r="D43" s="49">
        <v>100</v>
      </c>
      <c r="E43" s="2">
        <f t="shared" si="1"/>
        <v>450</v>
      </c>
      <c r="F43" s="2">
        <v>6.1700000000000001E-3</v>
      </c>
      <c r="G43" s="26">
        <f t="shared" si="2"/>
        <v>177.696</v>
      </c>
      <c r="H43" s="19">
        <f>O11</f>
        <v>14.175000000000001</v>
      </c>
      <c r="I43" s="22">
        <f t="shared" si="3"/>
        <v>2.5188408</v>
      </c>
    </row>
    <row r="44" spans="1:9" x14ac:dyDescent="0.25">
      <c r="A44" t="s">
        <v>85</v>
      </c>
      <c r="B44" s="2">
        <v>8</v>
      </c>
      <c r="C44" s="2">
        <v>400</v>
      </c>
      <c r="D44" s="49">
        <v>100</v>
      </c>
      <c r="E44" s="2">
        <f t="shared" si="1"/>
        <v>500</v>
      </c>
      <c r="F44" s="2">
        <v>6.1700000000000001E-3</v>
      </c>
      <c r="G44" s="26">
        <f t="shared" si="2"/>
        <v>197.44</v>
      </c>
      <c r="H44" s="19">
        <f>O11</f>
        <v>14.175000000000001</v>
      </c>
      <c r="I44" s="22">
        <f t="shared" si="3"/>
        <v>2.7987120000000001</v>
      </c>
    </row>
    <row r="45" spans="1:9" x14ac:dyDescent="0.25">
      <c r="A45" t="s">
        <v>87</v>
      </c>
      <c r="B45" s="2">
        <v>8</v>
      </c>
      <c r="C45" s="2">
        <v>500</v>
      </c>
      <c r="D45" s="49">
        <v>100</v>
      </c>
      <c r="E45" s="2">
        <f t="shared" si="1"/>
        <v>600</v>
      </c>
      <c r="F45" s="2">
        <v>6.1700000000000001E-3</v>
      </c>
      <c r="G45" s="26">
        <f t="shared" si="2"/>
        <v>236.928</v>
      </c>
      <c r="H45" s="19">
        <f>O11</f>
        <v>14.175000000000001</v>
      </c>
      <c r="I45" s="22">
        <f t="shared" si="3"/>
        <v>3.3584544000000003</v>
      </c>
    </row>
    <row r="46" spans="1:9" x14ac:dyDescent="0.25">
      <c r="A46" t="s">
        <v>167</v>
      </c>
      <c r="B46" s="2">
        <v>10</v>
      </c>
      <c r="C46" s="2">
        <v>200</v>
      </c>
      <c r="D46" s="49">
        <v>100</v>
      </c>
      <c r="E46" s="2">
        <f t="shared" si="1"/>
        <v>300</v>
      </c>
      <c r="F46" s="2">
        <v>6.1700000000000001E-3</v>
      </c>
      <c r="G46" s="26">
        <f t="shared" si="2"/>
        <v>185.1</v>
      </c>
      <c r="H46" s="19">
        <f>O11</f>
        <v>14.175000000000001</v>
      </c>
      <c r="I46" s="22">
        <f t="shared" si="3"/>
        <v>2.6237925</v>
      </c>
    </row>
    <row r="47" spans="1:9" x14ac:dyDescent="0.25">
      <c r="A47" t="s">
        <v>169</v>
      </c>
      <c r="B47" s="2">
        <v>10</v>
      </c>
      <c r="C47" s="2">
        <v>250</v>
      </c>
      <c r="D47" s="49">
        <v>100</v>
      </c>
      <c r="E47" s="2">
        <f t="shared" si="1"/>
        <v>350</v>
      </c>
      <c r="F47" s="2">
        <v>6.1700000000000001E-3</v>
      </c>
      <c r="G47" s="26">
        <f t="shared" si="2"/>
        <v>215.95000000000002</v>
      </c>
      <c r="H47" s="19">
        <f>O11</f>
        <v>14.175000000000001</v>
      </c>
      <c r="I47" s="22">
        <f t="shared" si="3"/>
        <v>3.0610912500000005</v>
      </c>
    </row>
    <row r="48" spans="1:9" x14ac:dyDescent="0.25">
      <c r="A48" t="s">
        <v>171</v>
      </c>
      <c r="B48" s="2">
        <v>10</v>
      </c>
      <c r="C48" s="2">
        <v>300</v>
      </c>
      <c r="D48" s="49">
        <v>100</v>
      </c>
      <c r="E48" s="2">
        <f t="shared" si="1"/>
        <v>400</v>
      </c>
      <c r="F48" s="2">
        <v>6.1700000000000001E-3</v>
      </c>
      <c r="G48" s="26">
        <f t="shared" si="2"/>
        <v>246.8</v>
      </c>
      <c r="H48" s="19">
        <f>O11</f>
        <v>14.175000000000001</v>
      </c>
      <c r="I48" s="22">
        <f t="shared" si="3"/>
        <v>3.4983900000000001</v>
      </c>
    </row>
    <row r="49" spans="1:9" x14ac:dyDescent="0.25">
      <c r="A49" t="s">
        <v>173</v>
      </c>
      <c r="B49" s="2">
        <v>10</v>
      </c>
      <c r="C49" s="2">
        <v>400</v>
      </c>
      <c r="D49" s="49">
        <v>100</v>
      </c>
      <c r="E49" s="2">
        <f t="shared" si="1"/>
        <v>500</v>
      </c>
      <c r="F49" s="2">
        <v>6.1700000000000001E-3</v>
      </c>
      <c r="G49" s="26">
        <f t="shared" si="2"/>
        <v>308.5</v>
      </c>
      <c r="H49" s="19">
        <f>O11</f>
        <v>14.175000000000001</v>
      </c>
      <c r="I49" s="22">
        <f t="shared" si="3"/>
        <v>4.3729874999999998</v>
      </c>
    </row>
    <row r="50" spans="1:9" x14ac:dyDescent="0.25">
      <c r="A50" t="s">
        <v>175</v>
      </c>
      <c r="B50" s="2">
        <v>10</v>
      </c>
      <c r="C50" s="2">
        <v>500</v>
      </c>
      <c r="D50" s="49">
        <v>100</v>
      </c>
      <c r="E50" s="2">
        <f t="shared" si="1"/>
        <v>600</v>
      </c>
      <c r="F50" s="2">
        <v>6.1700000000000001E-3</v>
      </c>
      <c r="G50" s="26">
        <f t="shared" si="2"/>
        <v>370.2</v>
      </c>
      <c r="H50" s="19">
        <f>O11</f>
        <v>14.175000000000001</v>
      </c>
      <c r="I50" s="22">
        <f t="shared" si="3"/>
        <v>5.2475849999999999</v>
      </c>
    </row>
    <row r="51" spans="1:9" x14ac:dyDescent="0.25">
      <c r="A51" t="s">
        <v>89</v>
      </c>
      <c r="B51" s="2">
        <v>3</v>
      </c>
      <c r="C51" s="2">
        <v>60</v>
      </c>
      <c r="D51" s="49">
        <v>60</v>
      </c>
      <c r="E51" s="2">
        <f t="shared" si="1"/>
        <v>120</v>
      </c>
      <c r="F51" s="2">
        <v>6.1700000000000001E-3</v>
      </c>
      <c r="G51" s="26">
        <f t="shared" si="2"/>
        <v>6.6635999999999997</v>
      </c>
      <c r="H51" s="19">
        <f>O7</f>
        <v>0.36749999999999999</v>
      </c>
      <c r="I51" s="22">
        <f t="shared" ref="I51:I58" si="4">H51</f>
        <v>0.36749999999999999</v>
      </c>
    </row>
    <row r="52" spans="1:9" x14ac:dyDescent="0.25">
      <c r="A52" t="s">
        <v>91</v>
      </c>
      <c r="B52" s="2">
        <v>3</v>
      </c>
      <c r="C52" s="2">
        <v>80</v>
      </c>
      <c r="D52" s="49">
        <v>60</v>
      </c>
      <c r="E52" s="2">
        <f t="shared" si="1"/>
        <v>140</v>
      </c>
      <c r="F52" s="2">
        <v>6.1700000000000001E-3</v>
      </c>
      <c r="G52" s="26">
        <f t="shared" si="2"/>
        <v>7.7742000000000004</v>
      </c>
      <c r="H52" s="19">
        <f>O7</f>
        <v>0.36749999999999999</v>
      </c>
      <c r="I52" s="22">
        <f t="shared" si="4"/>
        <v>0.36749999999999999</v>
      </c>
    </row>
    <row r="53" spans="1:9" x14ac:dyDescent="0.25">
      <c r="A53" t="s">
        <v>93</v>
      </c>
      <c r="B53" s="2">
        <v>3</v>
      </c>
      <c r="C53" s="2">
        <v>100</v>
      </c>
      <c r="D53" s="49">
        <v>60</v>
      </c>
      <c r="E53" s="2">
        <f t="shared" si="1"/>
        <v>160</v>
      </c>
      <c r="F53" s="2">
        <v>6.1700000000000001E-3</v>
      </c>
      <c r="G53" s="26">
        <f t="shared" si="2"/>
        <v>8.8848000000000003</v>
      </c>
      <c r="H53" s="19">
        <f>O7</f>
        <v>0.36749999999999999</v>
      </c>
      <c r="I53" s="22">
        <f t="shared" si="4"/>
        <v>0.36749999999999999</v>
      </c>
    </row>
    <row r="54" spans="1:9" x14ac:dyDescent="0.25">
      <c r="A54" t="s">
        <v>95</v>
      </c>
      <c r="B54" s="2">
        <v>3</v>
      </c>
      <c r="C54" s="2">
        <v>125</v>
      </c>
      <c r="D54" s="49">
        <v>60</v>
      </c>
      <c r="E54" s="2">
        <f t="shared" si="1"/>
        <v>185</v>
      </c>
      <c r="F54" s="2">
        <v>6.1700000000000001E-3</v>
      </c>
      <c r="G54" s="26">
        <f t="shared" si="2"/>
        <v>10.27305</v>
      </c>
      <c r="H54" s="19">
        <f>O7</f>
        <v>0.36749999999999999</v>
      </c>
      <c r="I54" s="22">
        <f t="shared" si="4"/>
        <v>0.36749999999999999</v>
      </c>
    </row>
    <row r="55" spans="1:9" x14ac:dyDescent="0.25">
      <c r="A55" t="s">
        <v>97</v>
      </c>
      <c r="B55" s="2">
        <v>3</v>
      </c>
      <c r="C55" s="2">
        <v>150</v>
      </c>
      <c r="D55" s="49">
        <v>60</v>
      </c>
      <c r="E55" s="2">
        <f t="shared" si="1"/>
        <v>210</v>
      </c>
      <c r="F55" s="2">
        <v>6.1700000000000001E-3</v>
      </c>
      <c r="G55" s="26">
        <f t="shared" si="2"/>
        <v>11.661300000000001</v>
      </c>
      <c r="H55" s="19">
        <f>O7</f>
        <v>0.36749999999999999</v>
      </c>
      <c r="I55" s="22">
        <f t="shared" si="4"/>
        <v>0.36749999999999999</v>
      </c>
    </row>
    <row r="56" spans="1:9" x14ac:dyDescent="0.25">
      <c r="A56" t="s">
        <v>99</v>
      </c>
      <c r="B56" s="2">
        <v>3</v>
      </c>
      <c r="C56" s="2">
        <v>200</v>
      </c>
      <c r="D56" s="49">
        <v>60</v>
      </c>
      <c r="E56" s="2">
        <f t="shared" si="1"/>
        <v>260</v>
      </c>
      <c r="F56" s="2">
        <v>6.1700000000000001E-3</v>
      </c>
      <c r="G56" s="26">
        <f t="shared" si="2"/>
        <v>14.437800000000001</v>
      </c>
      <c r="H56" s="19">
        <f>O7</f>
        <v>0.36749999999999999</v>
      </c>
      <c r="I56" s="22">
        <f t="shared" si="4"/>
        <v>0.36749999999999999</v>
      </c>
    </row>
    <row r="57" spans="1:9" x14ac:dyDescent="0.25">
      <c r="A57" t="s">
        <v>101</v>
      </c>
      <c r="B57" s="2">
        <v>3</v>
      </c>
      <c r="C57" s="2">
        <v>250</v>
      </c>
      <c r="D57" s="49">
        <v>60</v>
      </c>
      <c r="E57" s="2">
        <f t="shared" si="1"/>
        <v>310</v>
      </c>
      <c r="F57" s="2">
        <v>6.1700000000000001E-3</v>
      </c>
      <c r="G57" s="26">
        <f t="shared" si="2"/>
        <v>17.214300000000001</v>
      </c>
      <c r="H57" s="19">
        <f>O7</f>
        <v>0.36749999999999999</v>
      </c>
      <c r="I57" s="22">
        <f t="shared" si="4"/>
        <v>0.36749999999999999</v>
      </c>
    </row>
    <row r="58" spans="1:9" x14ac:dyDescent="0.25">
      <c r="A58" t="s">
        <v>103</v>
      </c>
      <c r="B58" s="2">
        <v>3</v>
      </c>
      <c r="C58" s="2">
        <v>300</v>
      </c>
      <c r="D58" s="49">
        <v>60</v>
      </c>
      <c r="E58" s="2">
        <f t="shared" si="1"/>
        <v>360</v>
      </c>
      <c r="F58" s="2">
        <v>6.1700000000000001E-3</v>
      </c>
      <c r="G58" s="26">
        <f t="shared" si="2"/>
        <v>19.9908</v>
      </c>
      <c r="H58" s="19">
        <f>O7</f>
        <v>0.36749999999999999</v>
      </c>
      <c r="I58" s="22">
        <f t="shared" si="4"/>
        <v>0.36749999999999999</v>
      </c>
    </row>
    <row r="59" spans="1:9" x14ac:dyDescent="0.25">
      <c r="A59" t="s">
        <v>105</v>
      </c>
      <c r="B59" s="2">
        <v>5</v>
      </c>
      <c r="C59" s="2">
        <v>38</v>
      </c>
      <c r="D59" s="49">
        <v>45</v>
      </c>
      <c r="E59" s="2">
        <f t="shared" si="1"/>
        <v>83</v>
      </c>
      <c r="F59" s="2">
        <v>6.1700000000000001E-3</v>
      </c>
      <c r="G59" s="26">
        <f t="shared" si="2"/>
        <v>12.80275</v>
      </c>
      <c r="H59" s="19">
        <f>O9</f>
        <v>15.75</v>
      </c>
      <c r="I59" s="22">
        <f t="shared" si="3"/>
        <v>0.2016433125</v>
      </c>
    </row>
    <row r="60" spans="1:9" x14ac:dyDescent="0.25">
      <c r="A60" t="s">
        <v>107</v>
      </c>
      <c r="B60" s="2">
        <v>5</v>
      </c>
      <c r="C60" s="2">
        <v>80</v>
      </c>
      <c r="D60" s="49">
        <v>60</v>
      </c>
      <c r="E60" s="2">
        <f t="shared" si="1"/>
        <v>140</v>
      </c>
      <c r="F60" s="2">
        <v>6.1700000000000001E-3</v>
      </c>
      <c r="G60" s="26">
        <f t="shared" si="2"/>
        <v>21.594999999999999</v>
      </c>
      <c r="H60" s="19">
        <f>O9</f>
        <v>15.75</v>
      </c>
      <c r="I60" s="22">
        <f t="shared" si="3"/>
        <v>0.34012124999999999</v>
      </c>
    </row>
    <row r="61" spans="1:9" x14ac:dyDescent="0.25">
      <c r="A61" t="s">
        <v>109</v>
      </c>
      <c r="B61" s="2">
        <v>5</v>
      </c>
      <c r="C61" s="2">
        <v>100</v>
      </c>
      <c r="D61" s="49">
        <v>60</v>
      </c>
      <c r="E61" s="2">
        <f t="shared" si="1"/>
        <v>160</v>
      </c>
      <c r="F61" s="2">
        <v>6.1700000000000001E-3</v>
      </c>
      <c r="G61" s="26">
        <f t="shared" si="2"/>
        <v>24.68</v>
      </c>
      <c r="H61" s="19">
        <f>O9</f>
        <v>15.75</v>
      </c>
      <c r="I61" s="22">
        <f t="shared" si="3"/>
        <v>0.38871</v>
      </c>
    </row>
    <row r="62" spans="1:9" x14ac:dyDescent="0.25">
      <c r="A62" t="s">
        <v>111</v>
      </c>
      <c r="B62" s="2">
        <v>5</v>
      </c>
      <c r="C62" s="2">
        <v>125</v>
      </c>
      <c r="D62" s="49">
        <v>60</v>
      </c>
      <c r="E62" s="2">
        <f t="shared" si="1"/>
        <v>185</v>
      </c>
      <c r="F62" s="2">
        <v>6.1700000000000001E-3</v>
      </c>
      <c r="G62" s="26">
        <f t="shared" si="2"/>
        <v>28.536249999999999</v>
      </c>
      <c r="H62" s="19">
        <f>O9</f>
        <v>15.75</v>
      </c>
      <c r="I62" s="22">
        <f t="shared" si="3"/>
        <v>0.44944593749999995</v>
      </c>
    </row>
    <row r="63" spans="1:9" x14ac:dyDescent="0.25">
      <c r="A63" t="s">
        <v>113</v>
      </c>
      <c r="B63" s="2">
        <v>5</v>
      </c>
      <c r="C63" s="2">
        <v>150</v>
      </c>
      <c r="D63" s="49">
        <v>60</v>
      </c>
      <c r="E63" s="2">
        <f t="shared" si="1"/>
        <v>210</v>
      </c>
      <c r="F63" s="2">
        <v>6.1700000000000001E-3</v>
      </c>
      <c r="G63" s="26">
        <f t="shared" si="2"/>
        <v>32.392499999999998</v>
      </c>
      <c r="H63" s="19">
        <f>O9</f>
        <v>15.75</v>
      </c>
      <c r="I63" s="22">
        <f t="shared" si="3"/>
        <v>0.51018187500000001</v>
      </c>
    </row>
    <row r="64" spans="1:9" x14ac:dyDescent="0.25">
      <c r="A64" t="s">
        <v>115</v>
      </c>
      <c r="B64" s="2">
        <v>5</v>
      </c>
      <c r="C64" s="2">
        <v>200</v>
      </c>
      <c r="D64" s="49">
        <v>60</v>
      </c>
      <c r="E64" s="2">
        <f t="shared" si="1"/>
        <v>260</v>
      </c>
      <c r="F64" s="2">
        <v>6.1700000000000001E-3</v>
      </c>
      <c r="G64" s="26">
        <f t="shared" si="2"/>
        <v>40.105000000000004</v>
      </c>
      <c r="H64" s="19">
        <f>O9</f>
        <v>15.75</v>
      </c>
      <c r="I64" s="22">
        <f t="shared" si="3"/>
        <v>0.63165375000000001</v>
      </c>
    </row>
    <row r="65" spans="1:9" x14ac:dyDescent="0.25">
      <c r="A65" t="s">
        <v>117</v>
      </c>
      <c r="B65" s="2">
        <v>5</v>
      </c>
      <c r="C65" s="2">
        <v>250</v>
      </c>
      <c r="D65" s="49">
        <v>60</v>
      </c>
      <c r="E65" s="2">
        <f t="shared" si="1"/>
        <v>310</v>
      </c>
      <c r="F65" s="2">
        <v>6.1700000000000001E-3</v>
      </c>
      <c r="G65" s="26">
        <f t="shared" si="2"/>
        <v>47.817500000000003</v>
      </c>
      <c r="H65" s="19">
        <f>O9</f>
        <v>15.75</v>
      </c>
      <c r="I65" s="22">
        <f t="shared" si="3"/>
        <v>0.75312562500000002</v>
      </c>
    </row>
    <row r="66" spans="1:9" x14ac:dyDescent="0.25">
      <c r="A66" t="s">
        <v>119</v>
      </c>
      <c r="B66" s="2">
        <v>5</v>
      </c>
      <c r="C66" s="2">
        <v>300</v>
      </c>
      <c r="D66" s="49">
        <v>60</v>
      </c>
      <c r="E66" s="2">
        <f t="shared" si="1"/>
        <v>360</v>
      </c>
      <c r="F66" s="2">
        <v>6.1700000000000001E-3</v>
      </c>
      <c r="G66" s="26">
        <f t="shared" si="2"/>
        <v>55.53</v>
      </c>
      <c r="H66" s="19">
        <f>O9</f>
        <v>15.75</v>
      </c>
      <c r="I66" s="22">
        <f t="shared" si="3"/>
        <v>0.87459749999999992</v>
      </c>
    </row>
    <row r="67" spans="1:9" x14ac:dyDescent="0.25">
      <c r="A67" t="s">
        <v>121</v>
      </c>
      <c r="B67" s="2">
        <v>5</v>
      </c>
      <c r="C67" s="2">
        <v>350</v>
      </c>
      <c r="D67" s="49">
        <v>60</v>
      </c>
      <c r="E67" s="2">
        <f t="shared" si="1"/>
        <v>410</v>
      </c>
      <c r="F67" s="2">
        <v>6.1700000000000001E-3</v>
      </c>
      <c r="G67" s="26">
        <f t="shared" si="2"/>
        <v>63.2425</v>
      </c>
      <c r="H67" s="19">
        <f>O9</f>
        <v>15.75</v>
      </c>
      <c r="I67" s="22">
        <f t="shared" si="3"/>
        <v>0.99606937500000003</v>
      </c>
    </row>
    <row r="68" spans="1:9" x14ac:dyDescent="0.25">
      <c r="A68" t="s">
        <v>123</v>
      </c>
      <c r="B68" s="2">
        <v>5</v>
      </c>
      <c r="C68" s="2">
        <v>400</v>
      </c>
      <c r="D68" s="49">
        <v>60</v>
      </c>
      <c r="E68" s="2">
        <f t="shared" si="1"/>
        <v>460</v>
      </c>
      <c r="F68" s="2">
        <v>6.1700000000000001E-3</v>
      </c>
      <c r="G68" s="26">
        <f t="shared" si="2"/>
        <v>70.954999999999998</v>
      </c>
      <c r="H68" s="19">
        <f>O9</f>
        <v>15.75</v>
      </c>
      <c r="I68" s="22">
        <f t="shared" si="3"/>
        <v>1.1175412499999999</v>
      </c>
    </row>
    <row r="69" spans="1:9" x14ac:dyDescent="0.25">
      <c r="A69" t="s">
        <v>125</v>
      </c>
      <c r="B69" s="2">
        <v>5</v>
      </c>
      <c r="C69" s="2">
        <v>500</v>
      </c>
      <c r="D69" s="49">
        <v>60</v>
      </c>
      <c r="E69" s="2">
        <f t="shared" si="1"/>
        <v>560</v>
      </c>
      <c r="F69" s="2">
        <v>6.1700000000000001E-3</v>
      </c>
      <c r="G69" s="26">
        <f t="shared" si="2"/>
        <v>86.38</v>
      </c>
      <c r="H69" s="19">
        <f>O9</f>
        <v>15.75</v>
      </c>
      <c r="I69" s="22">
        <f t="shared" si="3"/>
        <v>1.3604849999999999</v>
      </c>
    </row>
    <row r="70" spans="1:9" x14ac:dyDescent="0.25">
      <c r="A70" t="s">
        <v>127</v>
      </c>
      <c r="B70" s="2">
        <v>6</v>
      </c>
      <c r="C70" s="2">
        <v>38</v>
      </c>
      <c r="D70" s="49">
        <v>45</v>
      </c>
      <c r="E70" s="2">
        <f t="shared" si="1"/>
        <v>83</v>
      </c>
      <c r="F70" s="2">
        <v>6.1700000000000001E-3</v>
      </c>
      <c r="G70" s="26">
        <f t="shared" si="2"/>
        <v>18.435960000000001</v>
      </c>
      <c r="H70" s="19">
        <f>O10</f>
        <v>14.175000000000001</v>
      </c>
      <c r="I70" s="22">
        <f t="shared" si="3"/>
        <v>0.26132973300000001</v>
      </c>
    </row>
    <row r="71" spans="1:9" x14ac:dyDescent="0.25">
      <c r="A71" t="s">
        <v>129</v>
      </c>
      <c r="B71" s="2">
        <v>6</v>
      </c>
      <c r="C71" s="2">
        <v>100</v>
      </c>
      <c r="D71" s="49">
        <v>80</v>
      </c>
      <c r="E71" s="2">
        <f t="shared" si="1"/>
        <v>180</v>
      </c>
      <c r="F71" s="2">
        <v>6.1700000000000001E-3</v>
      </c>
      <c r="G71" s="26">
        <f t="shared" si="2"/>
        <v>39.9816</v>
      </c>
      <c r="H71" s="19">
        <f>O10</f>
        <v>14.175000000000001</v>
      </c>
      <c r="I71" s="22">
        <f t="shared" si="3"/>
        <v>0.56673918000000001</v>
      </c>
    </row>
    <row r="72" spans="1:9" x14ac:dyDescent="0.25">
      <c r="A72" t="s">
        <v>131</v>
      </c>
      <c r="B72" s="2">
        <v>6</v>
      </c>
      <c r="C72" s="2">
        <v>125</v>
      </c>
      <c r="D72" s="49">
        <v>80</v>
      </c>
      <c r="E72" s="2">
        <f t="shared" ref="E72:E135" si="5">D72+C72</f>
        <v>205</v>
      </c>
      <c r="F72" s="2">
        <v>6.1700000000000001E-3</v>
      </c>
      <c r="G72" s="26">
        <f t="shared" ref="G72:G135" si="6">B72*B72*(C72+D72)*F72</f>
        <v>45.534599999999998</v>
      </c>
      <c r="H72" s="19">
        <f>O10</f>
        <v>14.175000000000001</v>
      </c>
      <c r="I72" s="22">
        <f t="shared" si="3"/>
        <v>0.64545295499999999</v>
      </c>
    </row>
    <row r="73" spans="1:9" x14ac:dyDescent="0.25">
      <c r="A73" t="s">
        <v>133</v>
      </c>
      <c r="B73" s="2">
        <v>6</v>
      </c>
      <c r="C73" s="2">
        <v>150</v>
      </c>
      <c r="D73" s="49">
        <v>80</v>
      </c>
      <c r="E73" s="2">
        <f t="shared" si="5"/>
        <v>230</v>
      </c>
      <c r="F73" s="2">
        <v>6.1700000000000001E-3</v>
      </c>
      <c r="G73" s="26">
        <f t="shared" si="6"/>
        <v>51.087600000000002</v>
      </c>
      <c r="H73" s="19">
        <f>O10</f>
        <v>14.175000000000001</v>
      </c>
      <c r="I73" s="22">
        <f t="shared" si="3"/>
        <v>0.72416672999999998</v>
      </c>
    </row>
    <row r="74" spans="1:9" x14ac:dyDescent="0.25">
      <c r="A74" t="s">
        <v>135</v>
      </c>
      <c r="B74" s="2">
        <v>6</v>
      </c>
      <c r="C74" s="2">
        <v>200</v>
      </c>
      <c r="D74" s="49">
        <v>80</v>
      </c>
      <c r="E74" s="2">
        <f t="shared" si="5"/>
        <v>280</v>
      </c>
      <c r="F74" s="2">
        <v>6.1700000000000001E-3</v>
      </c>
      <c r="G74" s="26">
        <f t="shared" si="6"/>
        <v>62.193600000000004</v>
      </c>
      <c r="H74" s="19">
        <f>O10</f>
        <v>14.175000000000001</v>
      </c>
      <c r="I74" s="22">
        <f t="shared" ref="I74:I137" si="7">G74*H74/1000</f>
        <v>0.88159428000000017</v>
      </c>
    </row>
    <row r="75" spans="1:9" x14ac:dyDescent="0.25">
      <c r="A75" t="s">
        <v>137</v>
      </c>
      <c r="B75" s="2">
        <v>6</v>
      </c>
      <c r="C75" s="2">
        <v>250</v>
      </c>
      <c r="D75" s="49">
        <v>80</v>
      </c>
      <c r="E75" s="2">
        <f t="shared" si="5"/>
        <v>330</v>
      </c>
      <c r="F75" s="2">
        <v>6.1700000000000001E-3</v>
      </c>
      <c r="G75" s="26">
        <f t="shared" si="6"/>
        <v>73.299599999999998</v>
      </c>
      <c r="H75" s="19">
        <f>O10</f>
        <v>14.175000000000001</v>
      </c>
      <c r="I75" s="22">
        <f t="shared" si="7"/>
        <v>1.03902183</v>
      </c>
    </row>
    <row r="76" spans="1:9" x14ac:dyDescent="0.25">
      <c r="A76" t="s">
        <v>139</v>
      </c>
      <c r="B76" s="2">
        <v>6</v>
      </c>
      <c r="C76" s="2">
        <v>300</v>
      </c>
      <c r="D76" s="49">
        <v>80</v>
      </c>
      <c r="E76" s="2">
        <f t="shared" si="5"/>
        <v>380</v>
      </c>
      <c r="F76" s="2">
        <v>6.1700000000000001E-3</v>
      </c>
      <c r="G76" s="26">
        <f t="shared" si="6"/>
        <v>84.405600000000007</v>
      </c>
      <c r="H76" s="19">
        <f>O10</f>
        <v>14.175000000000001</v>
      </c>
      <c r="I76" s="22">
        <f t="shared" si="7"/>
        <v>1.1964493800000002</v>
      </c>
    </row>
    <row r="77" spans="1:9" x14ac:dyDescent="0.25">
      <c r="A77" t="s">
        <v>141</v>
      </c>
      <c r="B77" s="2">
        <v>6</v>
      </c>
      <c r="C77" s="2">
        <v>350</v>
      </c>
      <c r="D77" s="49">
        <v>80</v>
      </c>
      <c r="E77" s="2">
        <f t="shared" si="5"/>
        <v>430</v>
      </c>
      <c r="F77" s="2">
        <v>6.1700000000000001E-3</v>
      </c>
      <c r="G77" s="26">
        <f t="shared" si="6"/>
        <v>95.511600000000001</v>
      </c>
      <c r="H77" s="19">
        <f>O10</f>
        <v>14.175000000000001</v>
      </c>
      <c r="I77" s="22">
        <f t="shared" si="7"/>
        <v>1.3538769300000002</v>
      </c>
    </row>
    <row r="78" spans="1:9" x14ac:dyDescent="0.25">
      <c r="A78" t="s">
        <v>143</v>
      </c>
      <c r="B78" s="2">
        <v>6</v>
      </c>
      <c r="C78" s="2">
        <v>400</v>
      </c>
      <c r="D78" s="49">
        <v>80</v>
      </c>
      <c r="E78" s="2">
        <f t="shared" si="5"/>
        <v>480</v>
      </c>
      <c r="F78" s="2">
        <v>6.1700000000000001E-3</v>
      </c>
      <c r="G78" s="26">
        <f t="shared" si="6"/>
        <v>106.6176</v>
      </c>
      <c r="H78" s="19">
        <f>O10</f>
        <v>14.175000000000001</v>
      </c>
      <c r="I78" s="22">
        <f t="shared" si="7"/>
        <v>1.51130448</v>
      </c>
    </row>
    <row r="79" spans="1:9" x14ac:dyDescent="0.25">
      <c r="A79" t="s">
        <v>145</v>
      </c>
      <c r="B79" s="2">
        <v>6</v>
      </c>
      <c r="C79" s="2">
        <v>500</v>
      </c>
      <c r="D79" s="49">
        <v>80</v>
      </c>
      <c r="E79" s="2">
        <f t="shared" si="5"/>
        <v>580</v>
      </c>
      <c r="F79" s="2">
        <v>6.1700000000000001E-3</v>
      </c>
      <c r="G79" s="26">
        <f t="shared" si="6"/>
        <v>128.8296</v>
      </c>
      <c r="H79" s="19">
        <f>O10</f>
        <v>14.175000000000001</v>
      </c>
      <c r="I79" s="22">
        <f t="shared" si="7"/>
        <v>1.8261595800000001</v>
      </c>
    </row>
    <row r="80" spans="1:9" x14ac:dyDescent="0.25">
      <c r="A80" t="s">
        <v>147</v>
      </c>
      <c r="B80" s="2">
        <v>8</v>
      </c>
      <c r="C80" s="2">
        <v>100</v>
      </c>
      <c r="D80" s="49">
        <v>100</v>
      </c>
      <c r="E80" s="2">
        <f t="shared" si="5"/>
        <v>200</v>
      </c>
      <c r="F80" s="2">
        <v>6.1700000000000001E-3</v>
      </c>
      <c r="G80" s="26">
        <f t="shared" si="6"/>
        <v>78.975999999999999</v>
      </c>
      <c r="H80" s="19">
        <f>O11</f>
        <v>14.175000000000001</v>
      </c>
      <c r="I80" s="22">
        <f t="shared" si="7"/>
        <v>1.1194847999999999</v>
      </c>
    </row>
    <row r="81" spans="1:9" x14ac:dyDescent="0.25">
      <c r="A81" t="s">
        <v>149</v>
      </c>
      <c r="B81" s="2">
        <v>8</v>
      </c>
      <c r="C81" s="2">
        <v>125</v>
      </c>
      <c r="D81" s="49">
        <v>100</v>
      </c>
      <c r="E81" s="2">
        <f t="shared" si="5"/>
        <v>225</v>
      </c>
      <c r="F81" s="2">
        <v>6.1700000000000001E-3</v>
      </c>
      <c r="G81" s="26">
        <f t="shared" si="6"/>
        <v>88.847999999999999</v>
      </c>
      <c r="H81" s="19">
        <f>O11</f>
        <v>14.175000000000001</v>
      </c>
      <c r="I81" s="22">
        <f t="shared" si="7"/>
        <v>1.2594204</v>
      </c>
    </row>
    <row r="82" spans="1:9" x14ac:dyDescent="0.25">
      <c r="A82" t="s">
        <v>151</v>
      </c>
      <c r="B82" s="2">
        <v>8</v>
      </c>
      <c r="C82" s="2">
        <v>150</v>
      </c>
      <c r="D82" s="49">
        <v>100</v>
      </c>
      <c r="E82" s="2">
        <f t="shared" si="5"/>
        <v>250</v>
      </c>
      <c r="F82" s="2">
        <v>6.1700000000000001E-3</v>
      </c>
      <c r="G82" s="26">
        <f t="shared" si="6"/>
        <v>98.72</v>
      </c>
      <c r="H82" s="19">
        <f>O11</f>
        <v>14.175000000000001</v>
      </c>
      <c r="I82" s="22">
        <f t="shared" si="7"/>
        <v>1.399356</v>
      </c>
    </row>
    <row r="83" spans="1:9" x14ac:dyDescent="0.25">
      <c r="A83" t="s">
        <v>153</v>
      </c>
      <c r="B83" s="2">
        <v>8</v>
      </c>
      <c r="C83" s="2">
        <v>175</v>
      </c>
      <c r="D83" s="49">
        <v>100</v>
      </c>
      <c r="E83" s="2">
        <f t="shared" si="5"/>
        <v>275</v>
      </c>
      <c r="F83" s="2">
        <v>6.1700000000000001E-3</v>
      </c>
      <c r="G83" s="26">
        <f t="shared" si="6"/>
        <v>108.592</v>
      </c>
      <c r="H83" s="19">
        <f>O11</f>
        <v>14.175000000000001</v>
      </c>
      <c r="I83" s="22">
        <f t="shared" si="7"/>
        <v>1.5392916000000001</v>
      </c>
    </row>
    <row r="84" spans="1:9" x14ac:dyDescent="0.25">
      <c r="A84" t="s">
        <v>155</v>
      </c>
      <c r="B84" s="2">
        <v>8</v>
      </c>
      <c r="C84" s="2">
        <v>200</v>
      </c>
      <c r="D84" s="49">
        <v>100</v>
      </c>
      <c r="E84" s="2">
        <f t="shared" si="5"/>
        <v>300</v>
      </c>
      <c r="F84" s="2">
        <v>6.1700000000000001E-3</v>
      </c>
      <c r="G84" s="26">
        <f t="shared" si="6"/>
        <v>118.464</v>
      </c>
      <c r="H84" s="19">
        <f>O11</f>
        <v>14.175000000000001</v>
      </c>
      <c r="I84" s="22">
        <f t="shared" si="7"/>
        <v>1.6792272000000001</v>
      </c>
    </row>
    <row r="85" spans="1:9" x14ac:dyDescent="0.25">
      <c r="A85" t="s">
        <v>157</v>
      </c>
      <c r="B85" s="2">
        <v>8</v>
      </c>
      <c r="C85" s="2">
        <v>250</v>
      </c>
      <c r="D85" s="49">
        <v>100</v>
      </c>
      <c r="E85" s="2">
        <f t="shared" si="5"/>
        <v>350</v>
      </c>
      <c r="F85" s="2">
        <v>6.1700000000000001E-3</v>
      </c>
      <c r="G85" s="26">
        <f t="shared" si="6"/>
        <v>138.208</v>
      </c>
      <c r="H85" s="19">
        <f>O11</f>
        <v>14.175000000000001</v>
      </c>
      <c r="I85" s="22">
        <f t="shared" si="7"/>
        <v>1.9590984</v>
      </c>
    </row>
    <row r="86" spans="1:9" x14ac:dyDescent="0.25">
      <c r="A86" t="s">
        <v>159</v>
      </c>
      <c r="B86" s="2">
        <v>8</v>
      </c>
      <c r="C86" s="2">
        <v>300</v>
      </c>
      <c r="D86" s="49">
        <v>100</v>
      </c>
      <c r="E86" s="2">
        <f t="shared" si="5"/>
        <v>400</v>
      </c>
      <c r="F86" s="2">
        <v>6.1700000000000001E-3</v>
      </c>
      <c r="G86" s="26">
        <f t="shared" si="6"/>
        <v>157.952</v>
      </c>
      <c r="H86" s="19">
        <f>O11</f>
        <v>14.175000000000001</v>
      </c>
      <c r="I86" s="22">
        <f t="shared" si="7"/>
        <v>2.2389695999999999</v>
      </c>
    </row>
    <row r="87" spans="1:9" x14ac:dyDescent="0.25">
      <c r="A87" t="s">
        <v>161</v>
      </c>
      <c r="B87" s="2">
        <v>8</v>
      </c>
      <c r="C87" s="2">
        <v>350</v>
      </c>
      <c r="D87" s="49">
        <v>100</v>
      </c>
      <c r="E87" s="2">
        <f t="shared" si="5"/>
        <v>450</v>
      </c>
      <c r="F87" s="2">
        <v>6.1700000000000001E-3</v>
      </c>
      <c r="G87" s="26">
        <f t="shared" si="6"/>
        <v>177.696</v>
      </c>
      <c r="H87" s="19">
        <f>O11</f>
        <v>14.175000000000001</v>
      </c>
      <c r="I87" s="22">
        <f t="shared" si="7"/>
        <v>2.5188408</v>
      </c>
    </row>
    <row r="88" spans="1:9" x14ac:dyDescent="0.25">
      <c r="A88" t="s">
        <v>163</v>
      </c>
      <c r="B88" s="2">
        <v>8</v>
      </c>
      <c r="C88" s="2">
        <v>400</v>
      </c>
      <c r="D88" s="49">
        <v>100</v>
      </c>
      <c r="E88" s="2">
        <f t="shared" si="5"/>
        <v>500</v>
      </c>
      <c r="F88" s="2">
        <v>6.1700000000000001E-3</v>
      </c>
      <c r="G88" s="26">
        <f t="shared" si="6"/>
        <v>197.44</v>
      </c>
      <c r="H88" s="19">
        <f>O11</f>
        <v>14.175000000000001</v>
      </c>
      <c r="I88" s="22">
        <f t="shared" si="7"/>
        <v>2.7987120000000001</v>
      </c>
    </row>
    <row r="89" spans="1:9" x14ac:dyDescent="0.25">
      <c r="A89" t="s">
        <v>165</v>
      </c>
      <c r="B89" s="2">
        <v>8</v>
      </c>
      <c r="C89" s="2">
        <v>500</v>
      </c>
      <c r="D89" s="49">
        <v>100</v>
      </c>
      <c r="E89" s="2">
        <f t="shared" si="5"/>
        <v>600</v>
      </c>
      <c r="F89" s="2">
        <v>6.1700000000000001E-3</v>
      </c>
      <c r="G89" s="26">
        <f t="shared" si="6"/>
        <v>236.928</v>
      </c>
      <c r="H89" s="19">
        <f>O11</f>
        <v>14.175000000000001</v>
      </c>
      <c r="I89" s="22">
        <f t="shared" si="7"/>
        <v>3.3584544000000003</v>
      </c>
    </row>
    <row r="90" spans="1:9" x14ac:dyDescent="0.25">
      <c r="A90" t="s">
        <v>177</v>
      </c>
      <c r="B90" s="2">
        <v>10</v>
      </c>
      <c r="C90" s="2">
        <v>200</v>
      </c>
      <c r="D90" s="49">
        <v>100</v>
      </c>
      <c r="E90" s="2">
        <f t="shared" si="5"/>
        <v>300</v>
      </c>
      <c r="F90" s="2">
        <v>6.1700000000000001E-3</v>
      </c>
      <c r="G90" s="26">
        <f t="shared" si="6"/>
        <v>185.1</v>
      </c>
      <c r="H90" s="19">
        <f>O11</f>
        <v>14.175000000000001</v>
      </c>
      <c r="I90" s="22">
        <f t="shared" si="7"/>
        <v>2.6237925</v>
      </c>
    </row>
    <row r="91" spans="1:9" x14ac:dyDescent="0.25">
      <c r="A91" t="s">
        <v>179</v>
      </c>
      <c r="B91" s="2">
        <v>10</v>
      </c>
      <c r="C91" s="2">
        <v>250</v>
      </c>
      <c r="D91" s="49">
        <v>100</v>
      </c>
      <c r="E91" s="2">
        <f t="shared" si="5"/>
        <v>350</v>
      </c>
      <c r="F91" s="2">
        <v>6.1700000000000001E-3</v>
      </c>
      <c r="G91" s="26">
        <f t="shared" si="6"/>
        <v>215.95000000000002</v>
      </c>
      <c r="H91" s="19">
        <f>O11</f>
        <v>14.175000000000001</v>
      </c>
      <c r="I91" s="22">
        <f t="shared" si="7"/>
        <v>3.0610912500000005</v>
      </c>
    </row>
    <row r="92" spans="1:9" x14ac:dyDescent="0.25">
      <c r="A92" t="s">
        <v>181</v>
      </c>
      <c r="B92" s="2">
        <v>10</v>
      </c>
      <c r="C92" s="2">
        <v>300</v>
      </c>
      <c r="D92" s="49">
        <v>100</v>
      </c>
      <c r="E92" s="2">
        <f t="shared" si="5"/>
        <v>400</v>
      </c>
      <c r="F92" s="2">
        <v>6.1700000000000001E-3</v>
      </c>
      <c r="G92" s="26">
        <f t="shared" si="6"/>
        <v>246.8</v>
      </c>
      <c r="H92" s="19">
        <f>O11</f>
        <v>14.175000000000001</v>
      </c>
      <c r="I92" s="22">
        <f t="shared" si="7"/>
        <v>3.4983900000000001</v>
      </c>
    </row>
    <row r="93" spans="1:9" x14ac:dyDescent="0.25">
      <c r="A93" t="s">
        <v>183</v>
      </c>
      <c r="B93" s="2">
        <v>10</v>
      </c>
      <c r="C93" s="2">
        <v>400</v>
      </c>
      <c r="D93" s="49">
        <v>100</v>
      </c>
      <c r="E93" s="2">
        <f t="shared" si="5"/>
        <v>500</v>
      </c>
      <c r="F93" s="2">
        <v>6.1700000000000001E-3</v>
      </c>
      <c r="G93" s="26">
        <f t="shared" si="6"/>
        <v>308.5</v>
      </c>
      <c r="H93" s="19">
        <f>O11</f>
        <v>14.175000000000001</v>
      </c>
      <c r="I93" s="22">
        <f t="shared" si="7"/>
        <v>4.3729874999999998</v>
      </c>
    </row>
    <row r="94" spans="1:9" x14ac:dyDescent="0.25">
      <c r="A94" t="s">
        <v>185</v>
      </c>
      <c r="B94" s="2">
        <v>10</v>
      </c>
      <c r="C94" s="2">
        <v>500</v>
      </c>
      <c r="D94" s="49">
        <v>100</v>
      </c>
      <c r="E94" s="2">
        <f t="shared" si="5"/>
        <v>600</v>
      </c>
      <c r="F94" s="2">
        <v>6.1700000000000001E-3</v>
      </c>
      <c r="G94" s="26">
        <f t="shared" si="6"/>
        <v>370.2</v>
      </c>
      <c r="H94" s="19">
        <f>O11</f>
        <v>14.175000000000001</v>
      </c>
      <c r="I94" s="22">
        <f t="shared" si="7"/>
        <v>5.2475849999999999</v>
      </c>
    </row>
    <row r="95" spans="1:9" x14ac:dyDescent="0.25">
      <c r="A95" t="s">
        <v>299</v>
      </c>
      <c r="B95" s="2">
        <v>3</v>
      </c>
      <c r="C95" s="2">
        <v>60</v>
      </c>
      <c r="D95" s="49">
        <v>60</v>
      </c>
      <c r="E95" s="2">
        <f t="shared" si="5"/>
        <v>120</v>
      </c>
      <c r="F95" s="2">
        <v>6.1700000000000001E-3</v>
      </c>
      <c r="G95" s="26">
        <f t="shared" si="6"/>
        <v>6.6635999999999997</v>
      </c>
      <c r="H95" s="19">
        <f>O7</f>
        <v>0.36749999999999999</v>
      </c>
      <c r="I95" s="22">
        <f t="shared" si="7"/>
        <v>2.4488729999999998E-3</v>
      </c>
    </row>
    <row r="96" spans="1:9" x14ac:dyDescent="0.25">
      <c r="A96" t="s">
        <v>187</v>
      </c>
      <c r="B96" s="2">
        <v>3</v>
      </c>
      <c r="C96" s="2">
        <v>75</v>
      </c>
      <c r="D96" s="49">
        <v>60</v>
      </c>
      <c r="E96" s="2">
        <f t="shared" si="5"/>
        <v>135</v>
      </c>
      <c r="F96" s="2">
        <v>6.1700000000000001E-3</v>
      </c>
      <c r="G96" s="26">
        <f t="shared" si="6"/>
        <v>7.49655</v>
      </c>
      <c r="H96" s="19">
        <f>O7</f>
        <v>0.36749999999999999</v>
      </c>
      <c r="I96" s="22">
        <f t="shared" si="7"/>
        <v>2.7549821250000004E-3</v>
      </c>
    </row>
    <row r="97" spans="1:9" x14ac:dyDescent="0.25">
      <c r="A97" t="s">
        <v>189</v>
      </c>
      <c r="B97" s="2">
        <v>3</v>
      </c>
      <c r="C97" s="2">
        <v>100</v>
      </c>
      <c r="D97" s="49">
        <v>60</v>
      </c>
      <c r="E97" s="2">
        <f t="shared" si="5"/>
        <v>160</v>
      </c>
      <c r="F97" s="2">
        <v>6.1700000000000001E-3</v>
      </c>
      <c r="G97" s="26">
        <f t="shared" si="6"/>
        <v>8.8848000000000003</v>
      </c>
      <c r="H97" s="19">
        <f>O7</f>
        <v>0.36749999999999999</v>
      </c>
      <c r="I97" s="22">
        <f t="shared" si="7"/>
        <v>3.2651640000000001E-3</v>
      </c>
    </row>
    <row r="98" spans="1:9" x14ac:dyDescent="0.25">
      <c r="A98" t="s">
        <v>191</v>
      </c>
      <c r="B98" s="2">
        <v>3</v>
      </c>
      <c r="C98" s="2">
        <v>125</v>
      </c>
      <c r="D98" s="49">
        <v>60</v>
      </c>
      <c r="E98" s="2">
        <f t="shared" si="5"/>
        <v>185</v>
      </c>
      <c r="F98" s="2">
        <v>6.1700000000000001E-3</v>
      </c>
      <c r="G98" s="26">
        <f t="shared" si="6"/>
        <v>10.27305</v>
      </c>
      <c r="H98" s="19">
        <f>O7</f>
        <v>0.36749999999999999</v>
      </c>
      <c r="I98" s="22">
        <f t="shared" si="7"/>
        <v>3.7753458749999998E-3</v>
      </c>
    </row>
    <row r="99" spans="1:9" x14ac:dyDescent="0.25">
      <c r="A99" t="s">
        <v>193</v>
      </c>
      <c r="B99" s="2">
        <v>3</v>
      </c>
      <c r="C99" s="2">
        <v>150</v>
      </c>
      <c r="D99" s="49">
        <v>60</v>
      </c>
      <c r="E99" s="2">
        <f t="shared" si="5"/>
        <v>210</v>
      </c>
      <c r="F99" s="2">
        <v>6.1700000000000001E-3</v>
      </c>
      <c r="G99" s="26">
        <f t="shared" si="6"/>
        <v>11.661300000000001</v>
      </c>
      <c r="H99" s="19">
        <f>O7</f>
        <v>0.36749999999999999</v>
      </c>
      <c r="I99" s="22">
        <f t="shared" si="7"/>
        <v>4.2855277500000004E-3</v>
      </c>
    </row>
    <row r="100" spans="1:9" x14ac:dyDescent="0.25">
      <c r="A100" t="s">
        <v>195</v>
      </c>
      <c r="B100" s="2">
        <v>3</v>
      </c>
      <c r="C100" s="2">
        <v>200</v>
      </c>
      <c r="D100" s="49">
        <v>60</v>
      </c>
      <c r="E100" s="2">
        <f t="shared" si="5"/>
        <v>260</v>
      </c>
      <c r="F100" s="2">
        <v>6.1700000000000001E-3</v>
      </c>
      <c r="G100" s="26">
        <f t="shared" si="6"/>
        <v>14.437800000000001</v>
      </c>
      <c r="H100" s="19">
        <f>O7</f>
        <v>0.36749999999999999</v>
      </c>
      <c r="I100" s="22">
        <f t="shared" si="7"/>
        <v>5.3058915000000007E-3</v>
      </c>
    </row>
    <row r="101" spans="1:9" x14ac:dyDescent="0.25">
      <c r="A101" t="s">
        <v>199</v>
      </c>
      <c r="B101" s="2">
        <v>3</v>
      </c>
      <c r="C101" s="2">
        <v>250</v>
      </c>
      <c r="D101" s="49">
        <v>60</v>
      </c>
      <c r="E101" s="2">
        <f t="shared" si="5"/>
        <v>310</v>
      </c>
      <c r="F101" s="2">
        <v>6.1700000000000001E-3</v>
      </c>
      <c r="G101" s="26">
        <f t="shared" si="6"/>
        <v>17.214300000000001</v>
      </c>
      <c r="H101" s="19">
        <f>O7</f>
        <v>0.36749999999999999</v>
      </c>
      <c r="I101" s="22">
        <f t="shared" si="7"/>
        <v>6.3262552500000001E-3</v>
      </c>
    </row>
    <row r="102" spans="1:9" x14ac:dyDescent="0.25">
      <c r="A102" t="s">
        <v>197</v>
      </c>
      <c r="B102" s="2">
        <v>3</v>
      </c>
      <c r="C102" s="2">
        <v>300</v>
      </c>
      <c r="D102" s="49">
        <v>60</v>
      </c>
      <c r="E102" s="2">
        <f t="shared" si="5"/>
        <v>360</v>
      </c>
      <c r="F102" s="2">
        <v>6.1700000000000001E-3</v>
      </c>
      <c r="G102" s="26">
        <f t="shared" si="6"/>
        <v>19.9908</v>
      </c>
      <c r="H102" s="19">
        <f>O7</f>
        <v>0.36749999999999999</v>
      </c>
      <c r="I102" s="22">
        <f t="shared" si="7"/>
        <v>7.3466189999999995E-3</v>
      </c>
    </row>
    <row r="103" spans="1:9" x14ac:dyDescent="0.25">
      <c r="A103" t="s">
        <v>201</v>
      </c>
      <c r="B103" s="2">
        <v>4</v>
      </c>
      <c r="C103" s="2">
        <v>80</v>
      </c>
      <c r="D103" s="49">
        <v>60</v>
      </c>
      <c r="E103" s="2">
        <f t="shared" si="5"/>
        <v>140</v>
      </c>
      <c r="F103" s="2">
        <v>6.1700000000000001E-3</v>
      </c>
      <c r="G103" s="26">
        <f t="shared" si="6"/>
        <v>13.8208</v>
      </c>
      <c r="H103" s="19">
        <f>O8</f>
        <v>15.75</v>
      </c>
      <c r="I103" s="22">
        <f t="shared" si="7"/>
        <v>0.2176776</v>
      </c>
    </row>
    <row r="104" spans="1:9" x14ac:dyDescent="0.25">
      <c r="A104" t="s">
        <v>203</v>
      </c>
      <c r="B104" s="2">
        <v>4</v>
      </c>
      <c r="C104" s="2">
        <v>100</v>
      </c>
      <c r="D104" s="49">
        <v>60</v>
      </c>
      <c r="E104" s="2">
        <f t="shared" si="5"/>
        <v>160</v>
      </c>
      <c r="F104" s="2">
        <v>6.1700000000000001E-3</v>
      </c>
      <c r="G104" s="26">
        <f t="shared" si="6"/>
        <v>15.795200000000001</v>
      </c>
      <c r="H104" s="19">
        <f>O8</f>
        <v>15.75</v>
      </c>
      <c r="I104" s="22">
        <f t="shared" si="7"/>
        <v>0.24877440000000001</v>
      </c>
    </row>
    <row r="105" spans="1:9" x14ac:dyDescent="0.25">
      <c r="A105" t="s">
        <v>205</v>
      </c>
      <c r="B105" s="2">
        <v>4</v>
      </c>
      <c r="C105" s="2">
        <v>125</v>
      </c>
      <c r="D105" s="49">
        <v>60</v>
      </c>
      <c r="E105" s="2">
        <f t="shared" si="5"/>
        <v>185</v>
      </c>
      <c r="F105" s="2">
        <v>6.1700000000000001E-3</v>
      </c>
      <c r="G105" s="26">
        <f t="shared" si="6"/>
        <v>18.263200000000001</v>
      </c>
      <c r="H105" s="19">
        <f>O8</f>
        <v>15.75</v>
      </c>
      <c r="I105" s="22">
        <f t="shared" si="7"/>
        <v>0.2876454</v>
      </c>
    </row>
    <row r="106" spans="1:9" x14ac:dyDescent="0.25">
      <c r="A106" t="s">
        <v>207</v>
      </c>
      <c r="B106" s="2">
        <v>4</v>
      </c>
      <c r="C106" s="2">
        <v>150</v>
      </c>
      <c r="D106" s="49">
        <v>60</v>
      </c>
      <c r="E106" s="2">
        <f t="shared" si="5"/>
        <v>210</v>
      </c>
      <c r="F106" s="2">
        <v>6.1700000000000001E-3</v>
      </c>
      <c r="G106" s="26">
        <f t="shared" si="6"/>
        <v>20.731200000000001</v>
      </c>
      <c r="H106" s="19">
        <f>O8</f>
        <v>15.75</v>
      </c>
      <c r="I106" s="22">
        <f t="shared" si="7"/>
        <v>0.32651640000000004</v>
      </c>
    </row>
    <row r="107" spans="1:9" x14ac:dyDescent="0.25">
      <c r="A107" t="s">
        <v>209</v>
      </c>
      <c r="B107" s="2">
        <v>4</v>
      </c>
      <c r="C107" s="2">
        <v>200</v>
      </c>
      <c r="D107" s="49">
        <v>60</v>
      </c>
      <c r="E107" s="2">
        <f t="shared" si="5"/>
        <v>260</v>
      </c>
      <c r="F107" s="2">
        <v>6.1700000000000001E-3</v>
      </c>
      <c r="G107" s="26">
        <f t="shared" si="6"/>
        <v>25.667200000000001</v>
      </c>
      <c r="H107" s="19">
        <f>O8</f>
        <v>15.75</v>
      </c>
      <c r="I107" s="22">
        <f t="shared" si="7"/>
        <v>0.40425840000000002</v>
      </c>
    </row>
    <row r="108" spans="1:9" x14ac:dyDescent="0.25">
      <c r="A108" t="s">
        <v>217</v>
      </c>
      <c r="B108" s="2">
        <v>4</v>
      </c>
      <c r="C108" s="2">
        <v>250</v>
      </c>
      <c r="D108" s="49">
        <v>60</v>
      </c>
      <c r="E108" s="2">
        <f t="shared" si="5"/>
        <v>310</v>
      </c>
      <c r="F108" s="2">
        <v>6.1700000000000001E-3</v>
      </c>
      <c r="G108" s="26">
        <f t="shared" si="6"/>
        <v>30.603200000000001</v>
      </c>
      <c r="H108" s="19">
        <f>O8</f>
        <v>15.75</v>
      </c>
      <c r="I108" s="22">
        <f t="shared" si="7"/>
        <v>0.4820004</v>
      </c>
    </row>
    <row r="109" spans="1:9" x14ac:dyDescent="0.25">
      <c r="A109" t="s">
        <v>211</v>
      </c>
      <c r="B109" s="2">
        <v>4</v>
      </c>
      <c r="C109" s="2">
        <v>300</v>
      </c>
      <c r="D109" s="49">
        <v>60</v>
      </c>
      <c r="E109" s="2">
        <f t="shared" si="5"/>
        <v>360</v>
      </c>
      <c r="F109" s="2">
        <v>6.1700000000000001E-3</v>
      </c>
      <c r="G109" s="26">
        <f t="shared" si="6"/>
        <v>35.539200000000001</v>
      </c>
      <c r="H109" s="19">
        <f>O8</f>
        <v>15.75</v>
      </c>
      <c r="I109" s="22">
        <f t="shared" si="7"/>
        <v>0.55974239999999997</v>
      </c>
    </row>
    <row r="110" spans="1:9" x14ac:dyDescent="0.25">
      <c r="A110" t="s">
        <v>213</v>
      </c>
      <c r="B110" s="2">
        <v>4</v>
      </c>
      <c r="C110" s="2">
        <v>350</v>
      </c>
      <c r="D110" s="49">
        <v>60</v>
      </c>
      <c r="E110" s="2">
        <f t="shared" si="5"/>
        <v>410</v>
      </c>
      <c r="F110" s="2">
        <v>6.1700000000000001E-3</v>
      </c>
      <c r="G110" s="26">
        <f t="shared" si="6"/>
        <v>40.475200000000001</v>
      </c>
      <c r="H110" s="19">
        <f>O8</f>
        <v>15.75</v>
      </c>
      <c r="I110" s="22">
        <f t="shared" si="7"/>
        <v>0.63748440000000006</v>
      </c>
    </row>
    <row r="111" spans="1:9" x14ac:dyDescent="0.25">
      <c r="A111" t="s">
        <v>215</v>
      </c>
      <c r="B111" s="2">
        <v>4</v>
      </c>
      <c r="C111" s="2">
        <v>400</v>
      </c>
      <c r="D111" s="49">
        <v>60</v>
      </c>
      <c r="E111" s="2">
        <f t="shared" si="5"/>
        <v>460</v>
      </c>
      <c r="F111" s="2">
        <v>6.1700000000000001E-3</v>
      </c>
      <c r="G111" s="26">
        <f t="shared" si="6"/>
        <v>45.411200000000001</v>
      </c>
      <c r="H111" s="19">
        <f>O8</f>
        <v>15.75</v>
      </c>
      <c r="I111" s="22">
        <f t="shared" si="7"/>
        <v>0.71522640000000004</v>
      </c>
    </row>
    <row r="112" spans="1:9" x14ac:dyDescent="0.25">
      <c r="A112" t="s">
        <v>219</v>
      </c>
      <c r="B112" s="2">
        <v>4</v>
      </c>
      <c r="C112" s="2">
        <v>500</v>
      </c>
      <c r="D112" s="49">
        <v>60</v>
      </c>
      <c r="E112" s="2">
        <f t="shared" si="5"/>
        <v>560</v>
      </c>
      <c r="F112" s="2">
        <v>6.1700000000000001E-3</v>
      </c>
      <c r="G112" s="26">
        <f t="shared" si="6"/>
        <v>55.283200000000001</v>
      </c>
      <c r="H112" s="19">
        <f>O8</f>
        <v>15.75</v>
      </c>
      <c r="I112" s="22">
        <f t="shared" si="7"/>
        <v>0.8707104</v>
      </c>
    </row>
    <row r="113" spans="1:9" x14ac:dyDescent="0.25">
      <c r="A113" t="s">
        <v>295</v>
      </c>
      <c r="B113" s="2">
        <v>5</v>
      </c>
      <c r="C113" s="2">
        <v>38</v>
      </c>
      <c r="D113" s="49">
        <v>45</v>
      </c>
      <c r="E113" s="2">
        <f t="shared" si="5"/>
        <v>83</v>
      </c>
      <c r="F113" s="2">
        <v>6.1700000000000001E-3</v>
      </c>
      <c r="G113" s="26">
        <f t="shared" si="6"/>
        <v>12.80275</v>
      </c>
      <c r="H113" s="19">
        <f>O9</f>
        <v>15.75</v>
      </c>
      <c r="I113" s="22">
        <f t="shared" si="7"/>
        <v>0.2016433125</v>
      </c>
    </row>
    <row r="114" spans="1:9" x14ac:dyDescent="0.25">
      <c r="A114" t="s">
        <v>221</v>
      </c>
      <c r="B114" s="2">
        <v>5</v>
      </c>
      <c r="C114" s="2">
        <v>80</v>
      </c>
      <c r="D114" s="49">
        <v>60</v>
      </c>
      <c r="E114" s="2">
        <f t="shared" si="5"/>
        <v>140</v>
      </c>
      <c r="F114" s="2">
        <v>6.1700000000000001E-3</v>
      </c>
      <c r="G114" s="26">
        <f t="shared" si="6"/>
        <v>21.594999999999999</v>
      </c>
      <c r="H114" s="19">
        <f>O9</f>
        <v>15.75</v>
      </c>
      <c r="I114" s="22">
        <f t="shared" si="7"/>
        <v>0.34012124999999999</v>
      </c>
    </row>
    <row r="115" spans="1:9" x14ac:dyDescent="0.25">
      <c r="A115" t="s">
        <v>223</v>
      </c>
      <c r="B115" s="2">
        <v>5</v>
      </c>
      <c r="C115" s="2">
        <v>100</v>
      </c>
      <c r="D115" s="49">
        <v>60</v>
      </c>
      <c r="E115" s="2">
        <f t="shared" si="5"/>
        <v>160</v>
      </c>
      <c r="F115" s="2">
        <v>6.1700000000000001E-3</v>
      </c>
      <c r="G115" s="26">
        <f t="shared" si="6"/>
        <v>24.68</v>
      </c>
      <c r="H115" s="19">
        <f>O9</f>
        <v>15.75</v>
      </c>
      <c r="I115" s="22">
        <f t="shared" si="7"/>
        <v>0.38871</v>
      </c>
    </row>
    <row r="116" spans="1:9" x14ac:dyDescent="0.25">
      <c r="A116" t="s">
        <v>225</v>
      </c>
      <c r="B116" s="2">
        <v>5</v>
      </c>
      <c r="C116" s="2">
        <v>125</v>
      </c>
      <c r="D116" s="49">
        <v>60</v>
      </c>
      <c r="E116" s="2">
        <f t="shared" si="5"/>
        <v>185</v>
      </c>
      <c r="F116" s="2">
        <v>6.1700000000000001E-3</v>
      </c>
      <c r="G116" s="26">
        <f t="shared" si="6"/>
        <v>28.536249999999999</v>
      </c>
      <c r="H116" s="19">
        <f>O9</f>
        <v>15.75</v>
      </c>
      <c r="I116" s="22">
        <f t="shared" si="7"/>
        <v>0.44944593749999995</v>
      </c>
    </row>
    <row r="117" spans="1:9" x14ac:dyDescent="0.25">
      <c r="A117" t="s">
        <v>227</v>
      </c>
      <c r="B117" s="2">
        <v>5</v>
      </c>
      <c r="C117" s="2">
        <v>150</v>
      </c>
      <c r="D117" s="49">
        <v>60</v>
      </c>
      <c r="E117" s="2">
        <f t="shared" si="5"/>
        <v>210</v>
      </c>
      <c r="F117" s="2">
        <v>6.1700000000000001E-3</v>
      </c>
      <c r="G117" s="26">
        <f t="shared" si="6"/>
        <v>32.392499999999998</v>
      </c>
      <c r="H117" s="19">
        <f>O9</f>
        <v>15.75</v>
      </c>
      <c r="I117" s="22">
        <f t="shared" si="7"/>
        <v>0.51018187500000001</v>
      </c>
    </row>
    <row r="118" spans="1:9" x14ac:dyDescent="0.25">
      <c r="A118" t="s">
        <v>229</v>
      </c>
      <c r="B118" s="2">
        <v>5</v>
      </c>
      <c r="C118" s="2">
        <v>200</v>
      </c>
      <c r="D118" s="49">
        <v>60</v>
      </c>
      <c r="E118" s="2">
        <f t="shared" si="5"/>
        <v>260</v>
      </c>
      <c r="F118" s="2">
        <v>6.1700000000000001E-3</v>
      </c>
      <c r="G118" s="26">
        <f t="shared" si="6"/>
        <v>40.105000000000004</v>
      </c>
      <c r="H118" s="19">
        <f>O9</f>
        <v>15.75</v>
      </c>
      <c r="I118" s="22">
        <f t="shared" si="7"/>
        <v>0.63165375000000001</v>
      </c>
    </row>
    <row r="119" spans="1:9" x14ac:dyDescent="0.25">
      <c r="A119" t="s">
        <v>231</v>
      </c>
      <c r="B119" s="2">
        <v>5</v>
      </c>
      <c r="C119" s="2">
        <v>250</v>
      </c>
      <c r="D119" s="49">
        <v>60</v>
      </c>
      <c r="E119" s="2">
        <f t="shared" si="5"/>
        <v>310</v>
      </c>
      <c r="F119" s="2">
        <v>6.1700000000000001E-3</v>
      </c>
      <c r="G119" s="26">
        <f t="shared" si="6"/>
        <v>47.817500000000003</v>
      </c>
      <c r="H119" s="19">
        <f>O9</f>
        <v>15.75</v>
      </c>
      <c r="I119" s="22">
        <f t="shared" si="7"/>
        <v>0.75312562500000002</v>
      </c>
    </row>
    <row r="120" spans="1:9" x14ac:dyDescent="0.25">
      <c r="A120" t="s">
        <v>233</v>
      </c>
      <c r="B120" s="2">
        <v>5</v>
      </c>
      <c r="C120" s="2">
        <v>300</v>
      </c>
      <c r="D120" s="49">
        <v>60</v>
      </c>
      <c r="E120" s="2">
        <f t="shared" si="5"/>
        <v>360</v>
      </c>
      <c r="F120" s="2">
        <v>6.1700000000000001E-3</v>
      </c>
      <c r="G120" s="26">
        <f t="shared" si="6"/>
        <v>55.53</v>
      </c>
      <c r="H120" s="19">
        <f>O9</f>
        <v>15.75</v>
      </c>
      <c r="I120" s="22">
        <f t="shared" si="7"/>
        <v>0.87459749999999992</v>
      </c>
    </row>
    <row r="121" spans="1:9" x14ac:dyDescent="0.25">
      <c r="A121" t="s">
        <v>235</v>
      </c>
      <c r="B121" s="2">
        <v>5</v>
      </c>
      <c r="C121" s="2">
        <v>350</v>
      </c>
      <c r="D121" s="49">
        <v>60</v>
      </c>
      <c r="E121" s="2">
        <f t="shared" si="5"/>
        <v>410</v>
      </c>
      <c r="F121" s="2">
        <v>6.1700000000000001E-3</v>
      </c>
      <c r="G121" s="26">
        <f t="shared" si="6"/>
        <v>63.2425</v>
      </c>
      <c r="H121" s="19">
        <f>O9</f>
        <v>15.75</v>
      </c>
      <c r="I121" s="22">
        <f t="shared" si="7"/>
        <v>0.99606937500000003</v>
      </c>
    </row>
    <row r="122" spans="1:9" x14ac:dyDescent="0.25">
      <c r="A122" t="s">
        <v>237</v>
      </c>
      <c r="B122" s="2">
        <v>5</v>
      </c>
      <c r="C122" s="2">
        <v>400</v>
      </c>
      <c r="D122" s="49">
        <v>60</v>
      </c>
      <c r="E122" s="2">
        <f t="shared" si="5"/>
        <v>460</v>
      </c>
      <c r="F122" s="2">
        <v>6.1700000000000001E-3</v>
      </c>
      <c r="G122" s="26">
        <f t="shared" si="6"/>
        <v>70.954999999999998</v>
      </c>
      <c r="H122" s="19">
        <f>O9</f>
        <v>15.75</v>
      </c>
      <c r="I122" s="22">
        <f t="shared" si="7"/>
        <v>1.1175412499999999</v>
      </c>
    </row>
    <row r="123" spans="1:9" x14ac:dyDescent="0.25">
      <c r="A123" t="s">
        <v>239</v>
      </c>
      <c r="B123" s="2">
        <v>5</v>
      </c>
      <c r="C123" s="2">
        <v>500</v>
      </c>
      <c r="D123" s="49">
        <v>60</v>
      </c>
      <c r="E123" s="2">
        <f t="shared" si="5"/>
        <v>560</v>
      </c>
      <c r="F123" s="2">
        <v>6.1700000000000001E-3</v>
      </c>
      <c r="G123" s="26">
        <f t="shared" si="6"/>
        <v>86.38</v>
      </c>
      <c r="H123" s="19">
        <f>O9</f>
        <v>15.75</v>
      </c>
      <c r="I123" s="22">
        <f t="shared" si="7"/>
        <v>1.3604849999999999</v>
      </c>
    </row>
    <row r="124" spans="1:9" x14ac:dyDescent="0.25">
      <c r="A124" t="s">
        <v>297</v>
      </c>
      <c r="B124" s="2">
        <v>6</v>
      </c>
      <c r="C124" s="2">
        <v>38</v>
      </c>
      <c r="D124" s="49">
        <v>45</v>
      </c>
      <c r="E124" s="2">
        <f t="shared" si="5"/>
        <v>83</v>
      </c>
      <c r="F124" s="2">
        <v>6.1700000000000001E-3</v>
      </c>
      <c r="G124" s="26">
        <f t="shared" si="6"/>
        <v>18.435960000000001</v>
      </c>
      <c r="H124" s="19">
        <f>O10</f>
        <v>14.175000000000001</v>
      </c>
      <c r="I124" s="22">
        <f t="shared" si="7"/>
        <v>0.26132973300000001</v>
      </c>
    </row>
    <row r="125" spans="1:9" x14ac:dyDescent="0.25">
      <c r="A125" t="s">
        <v>241</v>
      </c>
      <c r="B125" s="2">
        <v>6</v>
      </c>
      <c r="C125" s="2">
        <v>100</v>
      </c>
      <c r="D125" s="49">
        <v>80</v>
      </c>
      <c r="E125" s="2">
        <f t="shared" si="5"/>
        <v>180</v>
      </c>
      <c r="F125" s="2">
        <v>6.1700000000000001E-3</v>
      </c>
      <c r="G125" s="26">
        <f t="shared" si="6"/>
        <v>39.9816</v>
      </c>
      <c r="H125" s="19">
        <f>O10</f>
        <v>14.175000000000001</v>
      </c>
      <c r="I125" s="22">
        <f t="shared" si="7"/>
        <v>0.56673918000000001</v>
      </c>
    </row>
    <row r="126" spans="1:9" x14ac:dyDescent="0.25">
      <c r="A126" t="s">
        <v>243</v>
      </c>
      <c r="B126" s="2">
        <v>6</v>
      </c>
      <c r="C126" s="2">
        <v>125</v>
      </c>
      <c r="D126" s="49">
        <v>80</v>
      </c>
      <c r="E126" s="2">
        <f t="shared" si="5"/>
        <v>205</v>
      </c>
      <c r="F126" s="2">
        <v>6.1700000000000001E-3</v>
      </c>
      <c r="G126" s="26">
        <f t="shared" si="6"/>
        <v>45.534599999999998</v>
      </c>
      <c r="H126" s="19">
        <f>O10</f>
        <v>14.175000000000001</v>
      </c>
      <c r="I126" s="22">
        <f t="shared" si="7"/>
        <v>0.64545295499999999</v>
      </c>
    </row>
    <row r="127" spans="1:9" x14ac:dyDescent="0.25">
      <c r="A127" t="s">
        <v>245</v>
      </c>
      <c r="B127" s="2">
        <v>6</v>
      </c>
      <c r="C127" s="2">
        <v>150</v>
      </c>
      <c r="D127" s="49">
        <v>80</v>
      </c>
      <c r="E127" s="2">
        <f t="shared" si="5"/>
        <v>230</v>
      </c>
      <c r="F127" s="2">
        <v>6.1700000000000001E-3</v>
      </c>
      <c r="G127" s="26">
        <f t="shared" si="6"/>
        <v>51.087600000000002</v>
      </c>
      <c r="H127" s="19">
        <f>O10</f>
        <v>14.175000000000001</v>
      </c>
      <c r="I127" s="22">
        <f t="shared" si="7"/>
        <v>0.72416672999999998</v>
      </c>
    </row>
    <row r="128" spans="1:9" x14ac:dyDescent="0.25">
      <c r="A128" t="s">
        <v>247</v>
      </c>
      <c r="B128" s="2">
        <v>6</v>
      </c>
      <c r="C128" s="2">
        <v>200</v>
      </c>
      <c r="D128" s="49">
        <v>80</v>
      </c>
      <c r="E128" s="2">
        <f t="shared" si="5"/>
        <v>280</v>
      </c>
      <c r="F128" s="2">
        <v>6.1700000000000001E-3</v>
      </c>
      <c r="G128" s="26">
        <f t="shared" si="6"/>
        <v>62.193600000000004</v>
      </c>
      <c r="H128" s="19">
        <f>O10</f>
        <v>14.175000000000001</v>
      </c>
      <c r="I128" s="22">
        <f t="shared" si="7"/>
        <v>0.88159428000000017</v>
      </c>
    </row>
    <row r="129" spans="1:9" x14ac:dyDescent="0.25">
      <c r="A129" t="s">
        <v>249</v>
      </c>
      <c r="B129" s="2">
        <v>6</v>
      </c>
      <c r="C129" s="2">
        <v>250</v>
      </c>
      <c r="D129" s="49">
        <v>80</v>
      </c>
      <c r="E129" s="2">
        <f t="shared" si="5"/>
        <v>330</v>
      </c>
      <c r="F129" s="2">
        <v>6.1700000000000001E-3</v>
      </c>
      <c r="G129" s="26">
        <f t="shared" si="6"/>
        <v>73.299599999999998</v>
      </c>
      <c r="H129" s="19">
        <f>O10</f>
        <v>14.175000000000001</v>
      </c>
      <c r="I129" s="22">
        <f t="shared" si="7"/>
        <v>1.03902183</v>
      </c>
    </row>
    <row r="130" spans="1:9" x14ac:dyDescent="0.25">
      <c r="A130" t="s">
        <v>251</v>
      </c>
      <c r="B130" s="2">
        <v>6</v>
      </c>
      <c r="C130" s="2">
        <v>300</v>
      </c>
      <c r="D130" s="49">
        <v>80</v>
      </c>
      <c r="E130" s="2">
        <f t="shared" si="5"/>
        <v>380</v>
      </c>
      <c r="F130" s="2">
        <v>6.1700000000000001E-3</v>
      </c>
      <c r="G130" s="26">
        <f t="shared" si="6"/>
        <v>84.405600000000007</v>
      </c>
      <c r="H130" s="19">
        <f>O10</f>
        <v>14.175000000000001</v>
      </c>
      <c r="I130" s="22">
        <f t="shared" si="7"/>
        <v>1.1964493800000002</v>
      </c>
    </row>
    <row r="131" spans="1:9" x14ac:dyDescent="0.25">
      <c r="A131" t="s">
        <v>253</v>
      </c>
      <c r="B131" s="2">
        <v>6</v>
      </c>
      <c r="C131" s="2">
        <v>350</v>
      </c>
      <c r="D131" s="49">
        <v>80</v>
      </c>
      <c r="E131" s="2">
        <f t="shared" si="5"/>
        <v>430</v>
      </c>
      <c r="F131" s="2">
        <v>6.1700000000000001E-3</v>
      </c>
      <c r="G131" s="26">
        <f t="shared" si="6"/>
        <v>95.511600000000001</v>
      </c>
      <c r="H131" s="19">
        <f>O10</f>
        <v>14.175000000000001</v>
      </c>
      <c r="I131" s="22">
        <f t="shared" si="7"/>
        <v>1.3538769300000002</v>
      </c>
    </row>
    <row r="132" spans="1:9" x14ac:dyDescent="0.25">
      <c r="A132" t="s">
        <v>255</v>
      </c>
      <c r="B132" s="2">
        <v>6</v>
      </c>
      <c r="C132" s="2">
        <v>400</v>
      </c>
      <c r="D132" s="49">
        <v>80</v>
      </c>
      <c r="E132" s="2">
        <f t="shared" si="5"/>
        <v>480</v>
      </c>
      <c r="F132" s="2">
        <v>6.1700000000000001E-3</v>
      </c>
      <c r="G132" s="26">
        <f t="shared" si="6"/>
        <v>106.6176</v>
      </c>
      <c r="H132" s="19">
        <f>O10</f>
        <v>14.175000000000001</v>
      </c>
      <c r="I132" s="22">
        <f t="shared" si="7"/>
        <v>1.51130448</v>
      </c>
    </row>
    <row r="133" spans="1:9" x14ac:dyDescent="0.25">
      <c r="A133" t="s">
        <v>257</v>
      </c>
      <c r="B133" s="2">
        <v>6</v>
      </c>
      <c r="C133" s="2">
        <v>450</v>
      </c>
      <c r="D133" s="49">
        <v>80</v>
      </c>
      <c r="E133" s="2">
        <f t="shared" si="5"/>
        <v>530</v>
      </c>
      <c r="F133" s="2">
        <v>6.1700000000000001E-3</v>
      </c>
      <c r="G133" s="26">
        <f t="shared" si="6"/>
        <v>117.7236</v>
      </c>
      <c r="H133" s="19">
        <f>O10</f>
        <v>14.175000000000001</v>
      </c>
      <c r="I133" s="22">
        <f t="shared" si="7"/>
        <v>1.6687320300000001</v>
      </c>
    </row>
    <row r="134" spans="1:9" x14ac:dyDescent="0.25">
      <c r="A134" t="s">
        <v>259</v>
      </c>
      <c r="B134" s="2">
        <v>6</v>
      </c>
      <c r="C134" s="2">
        <v>500</v>
      </c>
      <c r="D134" s="49">
        <v>80</v>
      </c>
      <c r="E134" s="2">
        <f t="shared" si="5"/>
        <v>580</v>
      </c>
      <c r="F134" s="2">
        <v>6.1700000000000001E-3</v>
      </c>
      <c r="G134" s="26">
        <f t="shared" si="6"/>
        <v>128.8296</v>
      </c>
      <c r="H134" s="19">
        <f>O10</f>
        <v>14.175000000000001</v>
      </c>
      <c r="I134" s="22">
        <f t="shared" si="7"/>
        <v>1.8261595800000001</v>
      </c>
    </row>
    <row r="135" spans="1:9" x14ac:dyDescent="0.25">
      <c r="A135" t="s">
        <v>261</v>
      </c>
      <c r="B135" s="2">
        <v>7</v>
      </c>
      <c r="C135" s="2">
        <v>150</v>
      </c>
      <c r="D135" s="49">
        <v>100</v>
      </c>
      <c r="E135" s="2">
        <f t="shared" si="5"/>
        <v>250</v>
      </c>
      <c r="F135" s="2">
        <v>6.1700000000000001E-3</v>
      </c>
      <c r="G135" s="26">
        <f t="shared" si="6"/>
        <v>75.582499999999996</v>
      </c>
      <c r="H135" s="19">
        <f>O10</f>
        <v>14.175000000000001</v>
      </c>
      <c r="I135" s="22">
        <f t="shared" si="7"/>
        <v>1.0713819375</v>
      </c>
    </row>
    <row r="136" spans="1:9" x14ac:dyDescent="0.25">
      <c r="A136" t="s">
        <v>263</v>
      </c>
      <c r="B136" s="2">
        <v>7</v>
      </c>
      <c r="C136" s="2">
        <v>175</v>
      </c>
      <c r="D136" s="49">
        <v>100</v>
      </c>
      <c r="E136" s="2">
        <f t="shared" ref="E136:E199" si="8">D136+C136</f>
        <v>275</v>
      </c>
      <c r="F136" s="2">
        <v>6.1700000000000001E-3</v>
      </c>
      <c r="G136" s="26">
        <f t="shared" ref="G136:G199" si="9">B136*B136*(C136+D136)*F136</f>
        <v>83.140749999999997</v>
      </c>
      <c r="H136" s="19">
        <f>O10</f>
        <v>14.175000000000001</v>
      </c>
      <c r="I136" s="22">
        <f t="shared" si="7"/>
        <v>1.17852013125</v>
      </c>
    </row>
    <row r="137" spans="1:9" x14ac:dyDescent="0.25">
      <c r="A137" t="s">
        <v>265</v>
      </c>
      <c r="B137" s="2">
        <v>7</v>
      </c>
      <c r="C137" s="2">
        <v>200</v>
      </c>
      <c r="D137" s="49">
        <v>100</v>
      </c>
      <c r="E137" s="2">
        <f t="shared" si="8"/>
        <v>300</v>
      </c>
      <c r="F137" s="2">
        <v>6.1700000000000001E-3</v>
      </c>
      <c r="G137" s="26">
        <f t="shared" si="9"/>
        <v>90.698999999999998</v>
      </c>
      <c r="H137" s="19">
        <f>O10</f>
        <v>14.175000000000001</v>
      </c>
      <c r="I137" s="22">
        <f t="shared" si="7"/>
        <v>1.2856583250000002</v>
      </c>
    </row>
    <row r="138" spans="1:9" x14ac:dyDescent="0.25">
      <c r="A138" t="s">
        <v>267</v>
      </c>
      <c r="B138" s="2">
        <v>7</v>
      </c>
      <c r="C138" s="2">
        <v>250</v>
      </c>
      <c r="D138" s="49">
        <v>100</v>
      </c>
      <c r="E138" s="2">
        <f t="shared" si="8"/>
        <v>350</v>
      </c>
      <c r="F138" s="2">
        <v>6.1700000000000001E-3</v>
      </c>
      <c r="G138" s="26">
        <f t="shared" si="9"/>
        <v>105.8155</v>
      </c>
      <c r="H138" s="19">
        <f>O10</f>
        <v>14.175000000000001</v>
      </c>
      <c r="I138" s="22">
        <f t="shared" ref="I138:I201" si="10">G138*H138/1000</f>
        <v>1.4999347125000002</v>
      </c>
    </row>
    <row r="139" spans="1:9" x14ac:dyDescent="0.25">
      <c r="A139" t="s">
        <v>269</v>
      </c>
      <c r="B139" s="2">
        <v>7</v>
      </c>
      <c r="C139" s="2">
        <v>300</v>
      </c>
      <c r="D139" s="49">
        <v>100</v>
      </c>
      <c r="E139" s="2">
        <f t="shared" si="8"/>
        <v>400</v>
      </c>
      <c r="F139" s="2">
        <v>6.1700000000000001E-3</v>
      </c>
      <c r="G139" s="26">
        <f t="shared" si="9"/>
        <v>120.932</v>
      </c>
      <c r="H139" s="19">
        <f>O10</f>
        <v>14.175000000000001</v>
      </c>
      <c r="I139" s="22">
        <f t="shared" si="10"/>
        <v>1.7142111000000002</v>
      </c>
    </row>
    <row r="140" spans="1:9" x14ac:dyDescent="0.25">
      <c r="A140" t="s">
        <v>271</v>
      </c>
      <c r="B140" s="2">
        <v>7</v>
      </c>
      <c r="C140" s="2">
        <v>350</v>
      </c>
      <c r="D140" s="49">
        <v>100</v>
      </c>
      <c r="E140" s="2">
        <f t="shared" si="8"/>
        <v>450</v>
      </c>
      <c r="F140" s="2">
        <v>6.1700000000000001E-3</v>
      </c>
      <c r="G140" s="26">
        <f t="shared" si="9"/>
        <v>136.04849999999999</v>
      </c>
      <c r="H140" s="19">
        <f>O10</f>
        <v>14.175000000000001</v>
      </c>
      <c r="I140" s="22">
        <f t="shared" si="10"/>
        <v>1.9284874875</v>
      </c>
    </row>
    <row r="141" spans="1:9" x14ac:dyDescent="0.25">
      <c r="A141" t="s">
        <v>273</v>
      </c>
      <c r="B141" s="2">
        <v>7</v>
      </c>
      <c r="C141" s="2">
        <v>400</v>
      </c>
      <c r="D141" s="49">
        <v>100</v>
      </c>
      <c r="E141" s="2">
        <f t="shared" si="8"/>
        <v>500</v>
      </c>
      <c r="F141" s="2">
        <v>6.1700000000000001E-3</v>
      </c>
      <c r="G141" s="26">
        <f t="shared" si="9"/>
        <v>151.16499999999999</v>
      </c>
      <c r="H141" s="19">
        <f>O10</f>
        <v>14.175000000000001</v>
      </c>
      <c r="I141" s="22">
        <f t="shared" si="10"/>
        <v>2.142763875</v>
      </c>
    </row>
    <row r="142" spans="1:9" x14ac:dyDescent="0.25">
      <c r="A142" t="s">
        <v>275</v>
      </c>
      <c r="B142" s="2">
        <v>7</v>
      </c>
      <c r="C142" s="2">
        <v>450</v>
      </c>
      <c r="D142" s="49">
        <v>100</v>
      </c>
      <c r="E142" s="2">
        <f t="shared" si="8"/>
        <v>550</v>
      </c>
      <c r="F142" s="2">
        <v>6.1700000000000001E-3</v>
      </c>
      <c r="G142" s="26">
        <f t="shared" si="9"/>
        <v>166.28149999999999</v>
      </c>
      <c r="H142" s="19">
        <f>O10</f>
        <v>14.175000000000001</v>
      </c>
      <c r="I142" s="22">
        <f t="shared" si="10"/>
        <v>2.3570402625</v>
      </c>
    </row>
    <row r="143" spans="1:9" x14ac:dyDescent="0.25">
      <c r="A143" t="s">
        <v>277</v>
      </c>
      <c r="B143" s="2">
        <v>7</v>
      </c>
      <c r="C143" s="2">
        <v>500</v>
      </c>
      <c r="D143" s="49">
        <v>100</v>
      </c>
      <c r="E143" s="2">
        <f t="shared" si="8"/>
        <v>600</v>
      </c>
      <c r="F143" s="2">
        <v>6.1700000000000001E-3</v>
      </c>
      <c r="G143" s="26">
        <f t="shared" si="9"/>
        <v>181.398</v>
      </c>
      <c r="H143" s="19">
        <f>O10</f>
        <v>14.175000000000001</v>
      </c>
      <c r="I143" s="22">
        <f t="shared" si="10"/>
        <v>2.5713166500000004</v>
      </c>
    </row>
    <row r="144" spans="1:9" x14ac:dyDescent="0.25">
      <c r="A144" t="s">
        <v>279</v>
      </c>
      <c r="B144" s="2">
        <v>8</v>
      </c>
      <c r="C144" s="2">
        <v>175</v>
      </c>
      <c r="D144" s="49">
        <v>100</v>
      </c>
      <c r="E144" s="2">
        <f t="shared" si="8"/>
        <v>275</v>
      </c>
      <c r="F144" s="2">
        <v>6.1700000000000001E-3</v>
      </c>
      <c r="G144" s="26">
        <f t="shared" si="9"/>
        <v>108.592</v>
      </c>
      <c r="H144" s="19">
        <f>O10</f>
        <v>14.175000000000001</v>
      </c>
      <c r="I144" s="22">
        <f t="shared" si="10"/>
        <v>1.5392916000000001</v>
      </c>
    </row>
    <row r="145" spans="1:9" x14ac:dyDescent="0.25">
      <c r="A145" t="s">
        <v>281</v>
      </c>
      <c r="B145" s="2">
        <v>8</v>
      </c>
      <c r="C145" s="2">
        <v>200</v>
      </c>
      <c r="D145" s="49">
        <v>100</v>
      </c>
      <c r="E145" s="2">
        <f t="shared" si="8"/>
        <v>300</v>
      </c>
      <c r="F145" s="2">
        <v>6.1700000000000001E-3</v>
      </c>
      <c r="G145" s="26">
        <f t="shared" si="9"/>
        <v>118.464</v>
      </c>
      <c r="H145" s="19">
        <f>O10</f>
        <v>14.175000000000001</v>
      </c>
      <c r="I145" s="22">
        <f t="shared" si="10"/>
        <v>1.6792272000000001</v>
      </c>
    </row>
    <row r="146" spans="1:9" x14ac:dyDescent="0.25">
      <c r="A146" t="s">
        <v>283</v>
      </c>
      <c r="B146" s="2">
        <v>8</v>
      </c>
      <c r="C146" s="2">
        <v>250</v>
      </c>
      <c r="D146" s="49">
        <v>100</v>
      </c>
      <c r="E146" s="2">
        <f t="shared" si="8"/>
        <v>350</v>
      </c>
      <c r="F146" s="2">
        <v>6.1700000000000001E-3</v>
      </c>
      <c r="G146" s="26">
        <f t="shared" si="9"/>
        <v>138.208</v>
      </c>
      <c r="H146" s="19">
        <f>O10</f>
        <v>14.175000000000001</v>
      </c>
      <c r="I146" s="22">
        <f t="shared" si="10"/>
        <v>1.9590984</v>
      </c>
    </row>
    <row r="147" spans="1:9" x14ac:dyDescent="0.25">
      <c r="A147" t="s">
        <v>285</v>
      </c>
      <c r="B147" s="2">
        <v>8</v>
      </c>
      <c r="C147" s="2">
        <v>300</v>
      </c>
      <c r="D147" s="49">
        <v>100</v>
      </c>
      <c r="E147" s="2">
        <f t="shared" si="8"/>
        <v>400</v>
      </c>
      <c r="F147" s="2">
        <v>6.1700000000000001E-3</v>
      </c>
      <c r="G147" s="26">
        <f t="shared" si="9"/>
        <v>157.952</v>
      </c>
      <c r="H147" s="19">
        <f>O10</f>
        <v>14.175000000000001</v>
      </c>
      <c r="I147" s="22">
        <f t="shared" si="10"/>
        <v>2.2389695999999999</v>
      </c>
    </row>
    <row r="148" spans="1:9" x14ac:dyDescent="0.25">
      <c r="A148" t="s">
        <v>287</v>
      </c>
      <c r="B148" s="2">
        <v>8</v>
      </c>
      <c r="C148" s="2">
        <v>350</v>
      </c>
      <c r="D148" s="49">
        <v>100</v>
      </c>
      <c r="E148" s="2">
        <f t="shared" si="8"/>
        <v>450</v>
      </c>
      <c r="F148" s="2">
        <v>6.1700000000000001E-3</v>
      </c>
      <c r="G148" s="26">
        <f t="shared" si="9"/>
        <v>177.696</v>
      </c>
      <c r="H148" s="19">
        <f>O10</f>
        <v>14.175000000000001</v>
      </c>
      <c r="I148" s="22">
        <f t="shared" si="10"/>
        <v>2.5188408</v>
      </c>
    </row>
    <row r="149" spans="1:9" x14ac:dyDescent="0.25">
      <c r="A149" t="s">
        <v>289</v>
      </c>
      <c r="B149" s="2">
        <v>8</v>
      </c>
      <c r="C149" s="2">
        <v>400</v>
      </c>
      <c r="D149" s="49">
        <v>100</v>
      </c>
      <c r="E149" s="2">
        <f t="shared" si="8"/>
        <v>500</v>
      </c>
      <c r="F149" s="2">
        <v>6.1700000000000001E-3</v>
      </c>
      <c r="G149" s="26">
        <f t="shared" si="9"/>
        <v>197.44</v>
      </c>
      <c r="H149" s="19">
        <f>O10</f>
        <v>14.175000000000001</v>
      </c>
      <c r="I149" s="22">
        <f t="shared" si="10"/>
        <v>2.7987120000000001</v>
      </c>
    </row>
    <row r="150" spans="1:9" x14ac:dyDescent="0.25">
      <c r="A150" t="s">
        <v>291</v>
      </c>
      <c r="B150" s="2">
        <v>8</v>
      </c>
      <c r="C150" s="2">
        <v>450</v>
      </c>
      <c r="D150" s="49">
        <v>100</v>
      </c>
      <c r="E150" s="2">
        <f t="shared" si="8"/>
        <v>550</v>
      </c>
      <c r="F150" s="2">
        <v>6.1700000000000001E-3</v>
      </c>
      <c r="G150" s="26">
        <f t="shared" si="9"/>
        <v>217.184</v>
      </c>
      <c r="H150" s="19">
        <f>O10</f>
        <v>14.175000000000001</v>
      </c>
      <c r="I150" s="22">
        <f t="shared" si="10"/>
        <v>3.0785832000000002</v>
      </c>
    </row>
    <row r="151" spans="1:9" x14ac:dyDescent="0.25">
      <c r="A151" t="s">
        <v>293</v>
      </c>
      <c r="B151" s="2">
        <v>8</v>
      </c>
      <c r="C151" s="2">
        <v>500</v>
      </c>
      <c r="D151" s="49">
        <v>100</v>
      </c>
      <c r="E151" s="2">
        <f t="shared" si="8"/>
        <v>600</v>
      </c>
      <c r="F151" s="2">
        <v>6.1700000000000001E-3</v>
      </c>
      <c r="G151" s="26">
        <f t="shared" si="9"/>
        <v>236.928</v>
      </c>
      <c r="H151" s="19">
        <f>O10</f>
        <v>14.175000000000001</v>
      </c>
      <c r="I151" s="22">
        <f t="shared" si="10"/>
        <v>3.3584544000000003</v>
      </c>
    </row>
    <row r="152" spans="1:9" x14ac:dyDescent="0.25">
      <c r="A152" t="s">
        <v>349</v>
      </c>
      <c r="B152" s="2">
        <v>3</v>
      </c>
      <c r="C152" s="2">
        <v>60</v>
      </c>
      <c r="D152" s="49">
        <v>60</v>
      </c>
      <c r="E152" s="2">
        <f t="shared" si="8"/>
        <v>120</v>
      </c>
      <c r="F152" s="2">
        <v>6.1700000000000001E-3</v>
      </c>
      <c r="G152" s="26">
        <f t="shared" si="9"/>
        <v>6.6635999999999997</v>
      </c>
      <c r="H152" s="19">
        <f>O7</f>
        <v>0.36749999999999999</v>
      </c>
      <c r="I152" s="22">
        <f t="shared" ref="I152:I159" si="11">H152</f>
        <v>0.36749999999999999</v>
      </c>
    </row>
    <row r="153" spans="1:9" x14ac:dyDescent="0.25">
      <c r="A153" t="s">
        <v>351</v>
      </c>
      <c r="B153" s="2">
        <v>3</v>
      </c>
      <c r="C153" s="2">
        <v>75</v>
      </c>
      <c r="D153" s="49">
        <v>60</v>
      </c>
      <c r="E153" s="2">
        <f t="shared" si="8"/>
        <v>135</v>
      </c>
      <c r="F153" s="2">
        <v>6.1700000000000001E-3</v>
      </c>
      <c r="G153" s="26">
        <f t="shared" si="9"/>
        <v>7.49655</v>
      </c>
      <c r="H153" s="19">
        <f>O7</f>
        <v>0.36749999999999999</v>
      </c>
      <c r="I153" s="22">
        <f t="shared" si="11"/>
        <v>0.36749999999999999</v>
      </c>
    </row>
    <row r="154" spans="1:9" x14ac:dyDescent="0.25">
      <c r="A154" t="s">
        <v>353</v>
      </c>
      <c r="B154" s="2">
        <v>3</v>
      </c>
      <c r="C154" s="2">
        <v>100</v>
      </c>
      <c r="D154" s="49">
        <v>60</v>
      </c>
      <c r="E154" s="2">
        <f t="shared" si="8"/>
        <v>160</v>
      </c>
      <c r="F154" s="2">
        <v>6.1700000000000001E-3</v>
      </c>
      <c r="G154" s="26">
        <f t="shared" si="9"/>
        <v>8.8848000000000003</v>
      </c>
      <c r="H154" s="19">
        <f>O7</f>
        <v>0.36749999999999999</v>
      </c>
      <c r="I154" s="22">
        <f t="shared" si="11"/>
        <v>0.36749999999999999</v>
      </c>
    </row>
    <row r="155" spans="1:9" x14ac:dyDescent="0.25">
      <c r="A155" t="s">
        <v>355</v>
      </c>
      <c r="B155" s="2">
        <v>3</v>
      </c>
      <c r="C155" s="2">
        <v>125</v>
      </c>
      <c r="D155" s="49">
        <v>60</v>
      </c>
      <c r="E155" s="2">
        <f t="shared" si="8"/>
        <v>185</v>
      </c>
      <c r="F155" s="2">
        <v>6.1700000000000001E-3</v>
      </c>
      <c r="G155" s="26">
        <f t="shared" si="9"/>
        <v>10.27305</v>
      </c>
      <c r="H155" s="19">
        <f>O7</f>
        <v>0.36749999999999999</v>
      </c>
      <c r="I155" s="22">
        <f t="shared" si="11"/>
        <v>0.36749999999999999</v>
      </c>
    </row>
    <row r="156" spans="1:9" x14ac:dyDescent="0.25">
      <c r="A156" t="s">
        <v>357</v>
      </c>
      <c r="B156" s="2">
        <v>3</v>
      </c>
      <c r="C156" s="2">
        <v>150</v>
      </c>
      <c r="D156" s="49">
        <v>60</v>
      </c>
      <c r="E156" s="2">
        <f t="shared" si="8"/>
        <v>210</v>
      </c>
      <c r="F156" s="2">
        <v>6.1700000000000001E-3</v>
      </c>
      <c r="G156" s="26">
        <f t="shared" si="9"/>
        <v>11.661300000000001</v>
      </c>
      <c r="H156" s="19">
        <f>O7</f>
        <v>0.36749999999999999</v>
      </c>
      <c r="I156" s="22">
        <f t="shared" si="11"/>
        <v>0.36749999999999999</v>
      </c>
    </row>
    <row r="157" spans="1:9" x14ac:dyDescent="0.25">
      <c r="A157" t="s">
        <v>359</v>
      </c>
      <c r="B157" s="2">
        <v>3</v>
      </c>
      <c r="C157" s="2">
        <v>200</v>
      </c>
      <c r="D157" s="49">
        <v>60</v>
      </c>
      <c r="E157" s="2">
        <f t="shared" si="8"/>
        <v>260</v>
      </c>
      <c r="F157" s="2">
        <v>6.1700000000000001E-3</v>
      </c>
      <c r="G157" s="26">
        <f t="shared" si="9"/>
        <v>14.437800000000001</v>
      </c>
      <c r="H157" s="19">
        <f>O7</f>
        <v>0.36749999999999999</v>
      </c>
      <c r="I157" s="22">
        <f t="shared" si="11"/>
        <v>0.36749999999999999</v>
      </c>
    </row>
    <row r="158" spans="1:9" x14ac:dyDescent="0.25">
      <c r="A158" t="s">
        <v>361</v>
      </c>
      <c r="B158" s="2">
        <v>3</v>
      </c>
      <c r="C158" s="2">
        <v>250</v>
      </c>
      <c r="D158" s="49">
        <v>60</v>
      </c>
      <c r="E158" s="2">
        <f t="shared" si="8"/>
        <v>310</v>
      </c>
      <c r="F158" s="2">
        <v>6.1700000000000001E-3</v>
      </c>
      <c r="G158" s="26">
        <f t="shared" si="9"/>
        <v>17.214300000000001</v>
      </c>
      <c r="H158" s="19">
        <f>O7</f>
        <v>0.36749999999999999</v>
      </c>
      <c r="I158" s="22">
        <f t="shared" si="11"/>
        <v>0.36749999999999999</v>
      </c>
    </row>
    <row r="159" spans="1:9" x14ac:dyDescent="0.25">
      <c r="A159" t="s">
        <v>363</v>
      </c>
      <c r="B159" s="2">
        <v>3</v>
      </c>
      <c r="C159" s="2">
        <v>300</v>
      </c>
      <c r="D159" s="49">
        <v>60</v>
      </c>
      <c r="E159" s="2">
        <f t="shared" si="8"/>
        <v>360</v>
      </c>
      <c r="F159" s="2">
        <v>6.1700000000000001E-3</v>
      </c>
      <c r="G159" s="26">
        <f t="shared" si="9"/>
        <v>19.9908</v>
      </c>
      <c r="H159" s="19">
        <f>O7</f>
        <v>0.36749999999999999</v>
      </c>
      <c r="I159" s="22">
        <f t="shared" si="11"/>
        <v>0.36749999999999999</v>
      </c>
    </row>
    <row r="160" spans="1:9" x14ac:dyDescent="0.25">
      <c r="A160" t="s">
        <v>365</v>
      </c>
      <c r="B160" s="2">
        <v>4</v>
      </c>
      <c r="C160" s="2">
        <v>80</v>
      </c>
      <c r="D160" s="49">
        <v>60</v>
      </c>
      <c r="E160" s="2">
        <f t="shared" si="8"/>
        <v>140</v>
      </c>
      <c r="F160" s="2">
        <v>6.1700000000000001E-3</v>
      </c>
      <c r="G160" s="26">
        <f t="shared" si="9"/>
        <v>13.8208</v>
      </c>
      <c r="H160" s="19">
        <f>O8</f>
        <v>15.75</v>
      </c>
      <c r="I160" s="22">
        <f t="shared" si="10"/>
        <v>0.2176776</v>
      </c>
    </row>
    <row r="161" spans="1:9" x14ac:dyDescent="0.25">
      <c r="A161" t="s">
        <v>367</v>
      </c>
      <c r="B161" s="2">
        <v>4</v>
      </c>
      <c r="C161" s="2">
        <v>100</v>
      </c>
      <c r="D161" s="49">
        <v>60</v>
      </c>
      <c r="E161" s="2">
        <f t="shared" si="8"/>
        <v>160</v>
      </c>
      <c r="F161" s="2">
        <v>6.1700000000000001E-3</v>
      </c>
      <c r="G161" s="26">
        <f t="shared" si="9"/>
        <v>15.795200000000001</v>
      </c>
      <c r="H161" s="19">
        <f>O8</f>
        <v>15.75</v>
      </c>
      <c r="I161" s="22">
        <f t="shared" si="10"/>
        <v>0.24877440000000001</v>
      </c>
    </row>
    <row r="162" spans="1:9" x14ac:dyDescent="0.25">
      <c r="A162" t="s">
        <v>369</v>
      </c>
      <c r="B162" s="2">
        <v>4</v>
      </c>
      <c r="C162" s="2">
        <v>125</v>
      </c>
      <c r="D162" s="49">
        <v>60</v>
      </c>
      <c r="E162" s="2">
        <f t="shared" si="8"/>
        <v>185</v>
      </c>
      <c r="F162" s="2">
        <v>6.1700000000000001E-3</v>
      </c>
      <c r="G162" s="26">
        <f t="shared" si="9"/>
        <v>18.263200000000001</v>
      </c>
      <c r="H162" s="19">
        <f>O8</f>
        <v>15.75</v>
      </c>
      <c r="I162" s="22">
        <f t="shared" si="10"/>
        <v>0.2876454</v>
      </c>
    </row>
    <row r="163" spans="1:9" x14ac:dyDescent="0.25">
      <c r="A163" t="s">
        <v>371</v>
      </c>
      <c r="B163" s="2">
        <v>4</v>
      </c>
      <c r="C163" s="2">
        <v>150</v>
      </c>
      <c r="D163" s="49">
        <v>60</v>
      </c>
      <c r="E163" s="2">
        <f t="shared" si="8"/>
        <v>210</v>
      </c>
      <c r="F163" s="2">
        <v>6.1700000000000001E-3</v>
      </c>
      <c r="G163" s="26">
        <f t="shared" si="9"/>
        <v>20.731200000000001</v>
      </c>
      <c r="H163" s="19">
        <f>O8</f>
        <v>15.75</v>
      </c>
      <c r="I163" s="22">
        <f t="shared" si="10"/>
        <v>0.32651640000000004</v>
      </c>
    </row>
    <row r="164" spans="1:9" x14ac:dyDescent="0.25">
      <c r="A164" t="s">
        <v>373</v>
      </c>
      <c r="B164" s="2">
        <v>4</v>
      </c>
      <c r="C164" s="2">
        <v>200</v>
      </c>
      <c r="D164" s="49">
        <v>60</v>
      </c>
      <c r="E164" s="2">
        <f t="shared" si="8"/>
        <v>260</v>
      </c>
      <c r="F164" s="2">
        <v>6.1700000000000001E-3</v>
      </c>
      <c r="G164" s="26">
        <f t="shared" si="9"/>
        <v>25.667200000000001</v>
      </c>
      <c r="H164" s="19">
        <f>O8</f>
        <v>15.75</v>
      </c>
      <c r="I164" s="22">
        <f t="shared" si="10"/>
        <v>0.40425840000000002</v>
      </c>
    </row>
    <row r="165" spans="1:9" x14ac:dyDescent="0.25">
      <c r="A165" t="s">
        <v>375</v>
      </c>
      <c r="B165" s="2">
        <v>4</v>
      </c>
      <c r="C165" s="2">
        <v>250</v>
      </c>
      <c r="D165" s="49">
        <v>60</v>
      </c>
      <c r="E165" s="2">
        <f t="shared" si="8"/>
        <v>310</v>
      </c>
      <c r="F165" s="2">
        <v>6.1700000000000001E-3</v>
      </c>
      <c r="G165" s="26">
        <f t="shared" si="9"/>
        <v>30.603200000000001</v>
      </c>
      <c r="H165" s="19">
        <f>O8</f>
        <v>15.75</v>
      </c>
      <c r="I165" s="22">
        <f t="shared" si="10"/>
        <v>0.4820004</v>
      </c>
    </row>
    <row r="166" spans="1:9" x14ac:dyDescent="0.25">
      <c r="A166" t="s">
        <v>377</v>
      </c>
      <c r="B166" s="2">
        <v>4</v>
      </c>
      <c r="C166" s="2">
        <v>300</v>
      </c>
      <c r="D166" s="49">
        <v>60</v>
      </c>
      <c r="E166" s="2">
        <f t="shared" si="8"/>
        <v>360</v>
      </c>
      <c r="F166" s="2">
        <v>6.1700000000000001E-3</v>
      </c>
      <c r="G166" s="26">
        <f t="shared" si="9"/>
        <v>35.539200000000001</v>
      </c>
      <c r="H166" s="19">
        <f>O8</f>
        <v>15.75</v>
      </c>
      <c r="I166" s="22">
        <f t="shared" si="10"/>
        <v>0.55974239999999997</v>
      </c>
    </row>
    <row r="167" spans="1:9" x14ac:dyDescent="0.25">
      <c r="A167" t="s">
        <v>379</v>
      </c>
      <c r="B167" s="2">
        <v>4</v>
      </c>
      <c r="C167" s="2">
        <v>350</v>
      </c>
      <c r="D167" s="49">
        <v>60</v>
      </c>
      <c r="E167" s="2">
        <f t="shared" si="8"/>
        <v>410</v>
      </c>
      <c r="F167" s="2">
        <v>6.1700000000000001E-3</v>
      </c>
      <c r="G167" s="26">
        <f t="shared" si="9"/>
        <v>40.475200000000001</v>
      </c>
      <c r="H167" s="19">
        <f>O8</f>
        <v>15.75</v>
      </c>
      <c r="I167" s="22">
        <f t="shared" si="10"/>
        <v>0.63748440000000006</v>
      </c>
    </row>
    <row r="168" spans="1:9" x14ac:dyDescent="0.25">
      <c r="A168" t="s">
        <v>381</v>
      </c>
      <c r="B168" s="2">
        <v>4</v>
      </c>
      <c r="C168" s="2">
        <v>400</v>
      </c>
      <c r="D168" s="49">
        <v>60</v>
      </c>
      <c r="E168" s="2">
        <f t="shared" si="8"/>
        <v>460</v>
      </c>
      <c r="F168" s="2">
        <v>6.1700000000000001E-3</v>
      </c>
      <c r="G168" s="26">
        <f t="shared" si="9"/>
        <v>45.411200000000001</v>
      </c>
      <c r="H168" s="19">
        <f>O8</f>
        <v>15.75</v>
      </c>
      <c r="I168" s="22">
        <f t="shared" si="10"/>
        <v>0.71522640000000004</v>
      </c>
    </row>
    <row r="169" spans="1:9" x14ac:dyDescent="0.25">
      <c r="A169" t="s">
        <v>383</v>
      </c>
      <c r="B169" s="2">
        <v>4</v>
      </c>
      <c r="C169" s="2">
        <v>500</v>
      </c>
      <c r="D169" s="49">
        <v>60</v>
      </c>
      <c r="E169" s="2">
        <f t="shared" si="8"/>
        <v>560</v>
      </c>
      <c r="F169" s="2">
        <v>6.1700000000000001E-3</v>
      </c>
      <c r="G169" s="26">
        <f t="shared" si="9"/>
        <v>55.283200000000001</v>
      </c>
      <c r="H169" s="19">
        <f>O8</f>
        <v>15.75</v>
      </c>
      <c r="I169" s="22">
        <f t="shared" si="10"/>
        <v>0.8707104</v>
      </c>
    </row>
    <row r="170" spans="1:9" x14ac:dyDescent="0.25">
      <c r="A170" t="s">
        <v>385</v>
      </c>
      <c r="B170" s="2">
        <v>5</v>
      </c>
      <c r="C170" s="2">
        <v>38</v>
      </c>
      <c r="D170" s="49">
        <v>45</v>
      </c>
      <c r="E170" s="2">
        <f t="shared" si="8"/>
        <v>83</v>
      </c>
      <c r="F170" s="2">
        <v>6.1700000000000001E-3</v>
      </c>
      <c r="G170" s="26">
        <f t="shared" si="9"/>
        <v>12.80275</v>
      </c>
      <c r="H170" s="19">
        <f>O9</f>
        <v>15.75</v>
      </c>
      <c r="I170" s="22">
        <f t="shared" si="10"/>
        <v>0.2016433125</v>
      </c>
    </row>
    <row r="171" spans="1:9" x14ac:dyDescent="0.25">
      <c r="A171" t="s">
        <v>387</v>
      </c>
      <c r="B171" s="2">
        <v>5</v>
      </c>
      <c r="C171" s="2">
        <v>80</v>
      </c>
      <c r="D171" s="49">
        <v>60</v>
      </c>
      <c r="E171" s="2">
        <f t="shared" si="8"/>
        <v>140</v>
      </c>
      <c r="F171" s="2">
        <v>6.1700000000000001E-3</v>
      </c>
      <c r="G171" s="26">
        <f t="shared" si="9"/>
        <v>21.594999999999999</v>
      </c>
      <c r="H171" s="19">
        <f>O9</f>
        <v>15.75</v>
      </c>
      <c r="I171" s="22">
        <f t="shared" si="10"/>
        <v>0.34012124999999999</v>
      </c>
    </row>
    <row r="172" spans="1:9" x14ac:dyDescent="0.25">
      <c r="A172" t="s">
        <v>389</v>
      </c>
      <c r="B172" s="2">
        <v>5</v>
      </c>
      <c r="C172" s="2">
        <v>100</v>
      </c>
      <c r="D172" s="49">
        <v>60</v>
      </c>
      <c r="E172" s="2">
        <f t="shared" si="8"/>
        <v>160</v>
      </c>
      <c r="F172" s="2">
        <v>6.1700000000000001E-3</v>
      </c>
      <c r="G172" s="26">
        <f t="shared" si="9"/>
        <v>24.68</v>
      </c>
      <c r="H172" s="19">
        <f>O9</f>
        <v>15.75</v>
      </c>
      <c r="I172" s="22">
        <f t="shared" si="10"/>
        <v>0.38871</v>
      </c>
    </row>
    <row r="173" spans="1:9" x14ac:dyDescent="0.25">
      <c r="A173" t="s">
        <v>391</v>
      </c>
      <c r="B173" s="2">
        <v>5</v>
      </c>
      <c r="C173" s="2">
        <v>125</v>
      </c>
      <c r="D173" s="49">
        <v>60</v>
      </c>
      <c r="E173" s="2">
        <f t="shared" si="8"/>
        <v>185</v>
      </c>
      <c r="F173" s="2">
        <v>6.1700000000000001E-3</v>
      </c>
      <c r="G173" s="26">
        <f t="shared" si="9"/>
        <v>28.536249999999999</v>
      </c>
      <c r="H173" s="19">
        <f>O9</f>
        <v>15.75</v>
      </c>
      <c r="I173" s="22">
        <f t="shared" si="10"/>
        <v>0.44944593749999995</v>
      </c>
    </row>
    <row r="174" spans="1:9" x14ac:dyDescent="0.25">
      <c r="A174" t="s">
        <v>393</v>
      </c>
      <c r="B174" s="2">
        <v>5</v>
      </c>
      <c r="C174" s="2">
        <v>150</v>
      </c>
      <c r="D174" s="49">
        <v>60</v>
      </c>
      <c r="E174" s="2">
        <f t="shared" si="8"/>
        <v>210</v>
      </c>
      <c r="F174" s="2">
        <v>6.1700000000000001E-3</v>
      </c>
      <c r="G174" s="26">
        <f t="shared" si="9"/>
        <v>32.392499999999998</v>
      </c>
      <c r="H174" s="19">
        <f>O9</f>
        <v>15.75</v>
      </c>
      <c r="I174" s="22">
        <f t="shared" si="10"/>
        <v>0.51018187500000001</v>
      </c>
    </row>
    <row r="175" spans="1:9" x14ac:dyDescent="0.25">
      <c r="A175" t="s">
        <v>395</v>
      </c>
      <c r="B175" s="2">
        <v>5</v>
      </c>
      <c r="C175" s="2">
        <v>200</v>
      </c>
      <c r="D175" s="49">
        <v>60</v>
      </c>
      <c r="E175" s="2">
        <f t="shared" si="8"/>
        <v>260</v>
      </c>
      <c r="F175" s="2">
        <v>6.1700000000000001E-3</v>
      </c>
      <c r="G175" s="26">
        <f t="shared" si="9"/>
        <v>40.105000000000004</v>
      </c>
      <c r="H175" s="19">
        <f>O9</f>
        <v>15.75</v>
      </c>
      <c r="I175" s="22">
        <f t="shared" si="10"/>
        <v>0.63165375000000001</v>
      </c>
    </row>
    <row r="176" spans="1:9" x14ac:dyDescent="0.25">
      <c r="A176" t="s">
        <v>397</v>
      </c>
      <c r="B176" s="2">
        <v>5</v>
      </c>
      <c r="C176" s="2">
        <v>250</v>
      </c>
      <c r="D176" s="49">
        <v>60</v>
      </c>
      <c r="E176" s="2">
        <f t="shared" si="8"/>
        <v>310</v>
      </c>
      <c r="F176" s="2">
        <v>6.1700000000000001E-3</v>
      </c>
      <c r="G176" s="26">
        <f t="shared" si="9"/>
        <v>47.817500000000003</v>
      </c>
      <c r="H176" s="19">
        <f>O9</f>
        <v>15.75</v>
      </c>
      <c r="I176" s="22">
        <f t="shared" si="10"/>
        <v>0.75312562500000002</v>
      </c>
    </row>
    <row r="177" spans="1:9" x14ac:dyDescent="0.25">
      <c r="A177" t="s">
        <v>399</v>
      </c>
      <c r="B177" s="2">
        <v>5</v>
      </c>
      <c r="C177" s="2">
        <v>300</v>
      </c>
      <c r="D177" s="49">
        <v>60</v>
      </c>
      <c r="E177" s="2">
        <f t="shared" si="8"/>
        <v>360</v>
      </c>
      <c r="F177" s="2">
        <v>6.1700000000000001E-3</v>
      </c>
      <c r="G177" s="26">
        <f t="shared" si="9"/>
        <v>55.53</v>
      </c>
      <c r="H177" s="19">
        <f>O9</f>
        <v>15.75</v>
      </c>
      <c r="I177" s="22">
        <f t="shared" si="10"/>
        <v>0.87459749999999992</v>
      </c>
    </row>
    <row r="178" spans="1:9" x14ac:dyDescent="0.25">
      <c r="A178" t="s">
        <v>401</v>
      </c>
      <c r="B178" s="2">
        <v>5</v>
      </c>
      <c r="C178" s="2">
        <v>350</v>
      </c>
      <c r="D178" s="49">
        <v>60</v>
      </c>
      <c r="E178" s="2">
        <f t="shared" si="8"/>
        <v>410</v>
      </c>
      <c r="F178" s="2">
        <v>6.1700000000000001E-3</v>
      </c>
      <c r="G178" s="26">
        <f t="shared" si="9"/>
        <v>63.2425</v>
      </c>
      <c r="H178" s="19">
        <f>O9</f>
        <v>15.75</v>
      </c>
      <c r="I178" s="22">
        <f t="shared" si="10"/>
        <v>0.99606937500000003</v>
      </c>
    </row>
    <row r="179" spans="1:9" x14ac:dyDescent="0.25">
      <c r="A179" t="s">
        <v>403</v>
      </c>
      <c r="B179" s="2">
        <v>5</v>
      </c>
      <c r="C179" s="2">
        <v>400</v>
      </c>
      <c r="D179" s="49">
        <v>60</v>
      </c>
      <c r="E179" s="2">
        <f t="shared" si="8"/>
        <v>460</v>
      </c>
      <c r="F179" s="2">
        <v>6.1700000000000001E-3</v>
      </c>
      <c r="G179" s="26">
        <f t="shared" si="9"/>
        <v>70.954999999999998</v>
      </c>
      <c r="H179" s="19">
        <f>O9</f>
        <v>15.75</v>
      </c>
      <c r="I179" s="22">
        <f t="shared" si="10"/>
        <v>1.1175412499999999</v>
      </c>
    </row>
    <row r="180" spans="1:9" x14ac:dyDescent="0.25">
      <c r="A180" t="s">
        <v>405</v>
      </c>
      <c r="B180" s="2">
        <v>5</v>
      </c>
      <c r="C180" s="2">
        <v>500</v>
      </c>
      <c r="D180" s="49">
        <v>60</v>
      </c>
      <c r="E180" s="2">
        <f t="shared" si="8"/>
        <v>560</v>
      </c>
      <c r="F180" s="2">
        <v>6.1700000000000001E-3</v>
      </c>
      <c r="G180" s="26">
        <f t="shared" si="9"/>
        <v>86.38</v>
      </c>
      <c r="H180" s="19">
        <f>O9</f>
        <v>15.75</v>
      </c>
      <c r="I180" s="22">
        <f t="shared" si="10"/>
        <v>1.3604849999999999</v>
      </c>
    </row>
    <row r="181" spans="1:9" x14ac:dyDescent="0.25">
      <c r="A181" t="s">
        <v>456</v>
      </c>
      <c r="B181" s="2">
        <v>6</v>
      </c>
      <c r="C181" s="2">
        <v>38</v>
      </c>
      <c r="D181" s="49">
        <v>45</v>
      </c>
      <c r="E181" s="2">
        <f t="shared" si="8"/>
        <v>83</v>
      </c>
      <c r="F181" s="2">
        <v>6.1700000000000001E-3</v>
      </c>
      <c r="G181" s="26">
        <f t="shared" si="9"/>
        <v>18.435960000000001</v>
      </c>
      <c r="H181" s="19">
        <f>O10</f>
        <v>14.175000000000001</v>
      </c>
      <c r="I181" s="22">
        <f t="shared" si="10"/>
        <v>0.26132973300000001</v>
      </c>
    </row>
    <row r="182" spans="1:9" x14ac:dyDescent="0.25">
      <c r="A182" t="s">
        <v>458</v>
      </c>
      <c r="B182" s="2">
        <v>6</v>
      </c>
      <c r="C182" s="2">
        <v>100</v>
      </c>
      <c r="D182" s="49">
        <v>80</v>
      </c>
      <c r="E182" s="2">
        <f t="shared" si="8"/>
        <v>180</v>
      </c>
      <c r="F182" s="2">
        <v>6.1700000000000001E-3</v>
      </c>
      <c r="G182" s="26">
        <f t="shared" si="9"/>
        <v>39.9816</v>
      </c>
      <c r="H182" s="19">
        <f>O10</f>
        <v>14.175000000000001</v>
      </c>
      <c r="I182" s="22">
        <f t="shared" si="10"/>
        <v>0.56673918000000001</v>
      </c>
    </row>
    <row r="183" spans="1:9" x14ac:dyDescent="0.25">
      <c r="A183" t="s">
        <v>460</v>
      </c>
      <c r="B183" s="2">
        <v>6</v>
      </c>
      <c r="C183" s="2">
        <v>125</v>
      </c>
      <c r="D183" s="49">
        <v>80</v>
      </c>
      <c r="E183" s="2">
        <f t="shared" si="8"/>
        <v>205</v>
      </c>
      <c r="F183" s="2">
        <v>6.1700000000000001E-3</v>
      </c>
      <c r="G183" s="26">
        <f t="shared" si="9"/>
        <v>45.534599999999998</v>
      </c>
      <c r="H183" s="19">
        <f>O10</f>
        <v>14.175000000000001</v>
      </c>
      <c r="I183" s="22">
        <f t="shared" si="10"/>
        <v>0.64545295499999999</v>
      </c>
    </row>
    <row r="184" spans="1:9" x14ac:dyDescent="0.25">
      <c r="A184" t="s">
        <v>462</v>
      </c>
      <c r="B184" s="2">
        <v>6</v>
      </c>
      <c r="C184" s="2">
        <v>150</v>
      </c>
      <c r="D184" s="49">
        <v>80</v>
      </c>
      <c r="E184" s="2">
        <f t="shared" si="8"/>
        <v>230</v>
      </c>
      <c r="F184" s="2">
        <v>6.1700000000000001E-3</v>
      </c>
      <c r="G184" s="26">
        <f t="shared" si="9"/>
        <v>51.087600000000002</v>
      </c>
      <c r="H184" s="19">
        <f>O10</f>
        <v>14.175000000000001</v>
      </c>
      <c r="I184" s="22">
        <f t="shared" si="10"/>
        <v>0.72416672999999998</v>
      </c>
    </row>
    <row r="185" spans="1:9" x14ac:dyDescent="0.25">
      <c r="A185" t="s">
        <v>464</v>
      </c>
      <c r="B185" s="2">
        <v>6</v>
      </c>
      <c r="C185" s="2">
        <v>200</v>
      </c>
      <c r="D185" s="49">
        <v>80</v>
      </c>
      <c r="E185" s="2">
        <f t="shared" si="8"/>
        <v>280</v>
      </c>
      <c r="F185" s="2">
        <v>6.1700000000000001E-3</v>
      </c>
      <c r="G185" s="26">
        <f t="shared" si="9"/>
        <v>62.193600000000004</v>
      </c>
      <c r="H185" s="19">
        <f>O10</f>
        <v>14.175000000000001</v>
      </c>
      <c r="I185" s="22">
        <f t="shared" si="10"/>
        <v>0.88159428000000017</v>
      </c>
    </row>
    <row r="186" spans="1:9" x14ac:dyDescent="0.25">
      <c r="A186" t="s">
        <v>466</v>
      </c>
      <c r="B186" s="2">
        <v>6</v>
      </c>
      <c r="C186" s="2">
        <v>250</v>
      </c>
      <c r="D186" s="49">
        <v>80</v>
      </c>
      <c r="E186" s="2">
        <f t="shared" si="8"/>
        <v>330</v>
      </c>
      <c r="F186" s="2">
        <v>6.1700000000000001E-3</v>
      </c>
      <c r="G186" s="26">
        <f t="shared" si="9"/>
        <v>73.299599999999998</v>
      </c>
      <c r="H186" s="19">
        <f>O10</f>
        <v>14.175000000000001</v>
      </c>
      <c r="I186" s="22">
        <f t="shared" si="10"/>
        <v>1.03902183</v>
      </c>
    </row>
    <row r="187" spans="1:9" x14ac:dyDescent="0.25">
      <c r="A187" t="s">
        <v>468</v>
      </c>
      <c r="B187" s="2">
        <v>6</v>
      </c>
      <c r="C187" s="2">
        <v>300</v>
      </c>
      <c r="D187" s="49">
        <v>80</v>
      </c>
      <c r="E187" s="2">
        <f t="shared" si="8"/>
        <v>380</v>
      </c>
      <c r="F187" s="2">
        <v>6.1700000000000001E-3</v>
      </c>
      <c r="G187" s="26">
        <f t="shared" si="9"/>
        <v>84.405600000000007</v>
      </c>
      <c r="H187" s="19">
        <f>O10</f>
        <v>14.175000000000001</v>
      </c>
      <c r="I187" s="22">
        <f t="shared" si="10"/>
        <v>1.1964493800000002</v>
      </c>
    </row>
    <row r="188" spans="1:9" x14ac:dyDescent="0.25">
      <c r="A188" t="s">
        <v>470</v>
      </c>
      <c r="B188" s="2">
        <v>6</v>
      </c>
      <c r="C188" s="2">
        <v>350</v>
      </c>
      <c r="D188" s="49">
        <v>80</v>
      </c>
      <c r="E188" s="2">
        <f t="shared" si="8"/>
        <v>430</v>
      </c>
      <c r="F188" s="2">
        <v>6.1700000000000001E-3</v>
      </c>
      <c r="G188" s="26">
        <f t="shared" si="9"/>
        <v>95.511600000000001</v>
      </c>
      <c r="H188" s="19">
        <f>O10</f>
        <v>14.175000000000001</v>
      </c>
      <c r="I188" s="22">
        <f t="shared" si="10"/>
        <v>1.3538769300000002</v>
      </c>
    </row>
    <row r="189" spans="1:9" x14ac:dyDescent="0.25">
      <c r="A189" t="s">
        <v>472</v>
      </c>
      <c r="B189" s="2">
        <v>6</v>
      </c>
      <c r="C189" s="2">
        <v>400</v>
      </c>
      <c r="D189" s="49">
        <v>80</v>
      </c>
      <c r="E189" s="2">
        <f t="shared" si="8"/>
        <v>480</v>
      </c>
      <c r="F189" s="2">
        <v>6.1700000000000001E-3</v>
      </c>
      <c r="G189" s="26">
        <f t="shared" si="9"/>
        <v>106.6176</v>
      </c>
      <c r="H189" s="19">
        <f>O10</f>
        <v>14.175000000000001</v>
      </c>
      <c r="I189" s="22">
        <f t="shared" si="10"/>
        <v>1.51130448</v>
      </c>
    </row>
    <row r="190" spans="1:9" x14ac:dyDescent="0.25">
      <c r="A190" t="s">
        <v>474</v>
      </c>
      <c r="B190" s="2">
        <v>6</v>
      </c>
      <c r="C190" s="2">
        <v>450</v>
      </c>
      <c r="D190" s="49">
        <v>80</v>
      </c>
      <c r="E190" s="2">
        <f t="shared" si="8"/>
        <v>530</v>
      </c>
      <c r="F190" s="2">
        <v>6.1700000000000001E-3</v>
      </c>
      <c r="G190" s="26">
        <f t="shared" si="9"/>
        <v>117.7236</v>
      </c>
      <c r="H190" s="19">
        <f>O10</f>
        <v>14.175000000000001</v>
      </c>
      <c r="I190" s="22">
        <f t="shared" si="10"/>
        <v>1.6687320300000001</v>
      </c>
    </row>
    <row r="191" spans="1:9" x14ac:dyDescent="0.25">
      <c r="A191" t="s">
        <v>476</v>
      </c>
      <c r="B191" s="2">
        <v>6</v>
      </c>
      <c r="C191" s="2">
        <v>500</v>
      </c>
      <c r="D191" s="49">
        <v>80</v>
      </c>
      <c r="E191" s="2">
        <f t="shared" si="8"/>
        <v>580</v>
      </c>
      <c r="F191" s="2">
        <v>6.1700000000000001E-3</v>
      </c>
      <c r="G191" s="26">
        <f t="shared" si="9"/>
        <v>128.8296</v>
      </c>
      <c r="H191" s="19">
        <f>O10</f>
        <v>14.175000000000001</v>
      </c>
      <c r="I191" s="22">
        <f t="shared" si="10"/>
        <v>1.8261595800000001</v>
      </c>
    </row>
    <row r="192" spans="1:9" x14ac:dyDescent="0.25">
      <c r="A192" t="s">
        <v>407</v>
      </c>
      <c r="B192" s="2">
        <v>8</v>
      </c>
      <c r="C192" s="2">
        <v>150</v>
      </c>
      <c r="D192" s="49">
        <v>100</v>
      </c>
      <c r="E192" s="2">
        <f t="shared" si="8"/>
        <v>250</v>
      </c>
      <c r="F192" s="2">
        <v>6.1700000000000001E-3</v>
      </c>
      <c r="G192" s="26">
        <f t="shared" si="9"/>
        <v>98.72</v>
      </c>
      <c r="H192" s="19">
        <f>O11</f>
        <v>14.175000000000001</v>
      </c>
      <c r="I192" s="22">
        <f t="shared" si="10"/>
        <v>1.399356</v>
      </c>
    </row>
    <row r="193" spans="1:9" x14ac:dyDescent="0.25">
      <c r="A193" t="s">
        <v>409</v>
      </c>
      <c r="B193" s="2">
        <v>8</v>
      </c>
      <c r="C193" s="2">
        <v>175</v>
      </c>
      <c r="D193" s="49">
        <v>100</v>
      </c>
      <c r="E193" s="2">
        <f t="shared" si="8"/>
        <v>275</v>
      </c>
      <c r="F193" s="2">
        <v>6.1700000000000001E-3</v>
      </c>
      <c r="G193" s="26">
        <f t="shared" si="9"/>
        <v>108.592</v>
      </c>
      <c r="H193" s="19">
        <f>O11</f>
        <v>14.175000000000001</v>
      </c>
      <c r="I193" s="22">
        <f t="shared" si="10"/>
        <v>1.5392916000000001</v>
      </c>
    </row>
    <row r="194" spans="1:9" x14ac:dyDescent="0.25">
      <c r="A194" t="s">
        <v>411</v>
      </c>
      <c r="B194" s="2">
        <v>8</v>
      </c>
      <c r="C194" s="2">
        <v>200</v>
      </c>
      <c r="D194" s="49">
        <v>100</v>
      </c>
      <c r="E194" s="2">
        <f t="shared" si="8"/>
        <v>300</v>
      </c>
      <c r="F194" s="2">
        <v>6.1700000000000001E-3</v>
      </c>
      <c r="G194" s="26">
        <f t="shared" si="9"/>
        <v>118.464</v>
      </c>
      <c r="H194" s="19">
        <f>O11</f>
        <v>14.175000000000001</v>
      </c>
      <c r="I194" s="22">
        <f t="shared" si="10"/>
        <v>1.6792272000000001</v>
      </c>
    </row>
    <row r="195" spans="1:9" x14ac:dyDescent="0.25">
      <c r="A195" t="s">
        <v>413</v>
      </c>
      <c r="B195" s="2">
        <v>8</v>
      </c>
      <c r="C195" s="2">
        <v>250</v>
      </c>
      <c r="D195" s="49">
        <v>100</v>
      </c>
      <c r="E195" s="2">
        <f t="shared" si="8"/>
        <v>350</v>
      </c>
      <c r="F195" s="2">
        <v>6.1700000000000001E-3</v>
      </c>
      <c r="G195" s="26">
        <f t="shared" si="9"/>
        <v>138.208</v>
      </c>
      <c r="H195" s="19">
        <f>O11</f>
        <v>14.175000000000001</v>
      </c>
      <c r="I195" s="22">
        <f t="shared" si="10"/>
        <v>1.9590984</v>
      </c>
    </row>
    <row r="196" spans="1:9" x14ac:dyDescent="0.25">
      <c r="A196" t="s">
        <v>415</v>
      </c>
      <c r="B196" s="2">
        <v>8</v>
      </c>
      <c r="C196" s="2">
        <v>300</v>
      </c>
      <c r="D196" s="49">
        <v>100</v>
      </c>
      <c r="E196" s="2">
        <f t="shared" si="8"/>
        <v>400</v>
      </c>
      <c r="F196" s="2">
        <v>6.1700000000000001E-3</v>
      </c>
      <c r="G196" s="26">
        <f t="shared" si="9"/>
        <v>157.952</v>
      </c>
      <c r="H196" s="19">
        <f>O11</f>
        <v>14.175000000000001</v>
      </c>
      <c r="I196" s="22">
        <f t="shared" si="10"/>
        <v>2.2389695999999999</v>
      </c>
    </row>
    <row r="197" spans="1:9" x14ac:dyDescent="0.25">
      <c r="A197" t="s">
        <v>417</v>
      </c>
      <c r="B197" s="2">
        <v>8</v>
      </c>
      <c r="C197" s="2">
        <v>350</v>
      </c>
      <c r="D197" s="49">
        <v>100</v>
      </c>
      <c r="E197" s="2">
        <f t="shared" si="8"/>
        <v>450</v>
      </c>
      <c r="F197" s="2">
        <v>6.1700000000000001E-3</v>
      </c>
      <c r="G197" s="26">
        <f t="shared" si="9"/>
        <v>177.696</v>
      </c>
      <c r="H197" s="19">
        <f>O11</f>
        <v>14.175000000000001</v>
      </c>
      <c r="I197" s="22">
        <f t="shared" si="10"/>
        <v>2.5188408</v>
      </c>
    </row>
    <row r="198" spans="1:9" x14ac:dyDescent="0.25">
      <c r="A198" t="s">
        <v>419</v>
      </c>
      <c r="B198" s="2">
        <v>8</v>
      </c>
      <c r="C198" s="2">
        <v>400</v>
      </c>
      <c r="D198" s="49">
        <v>100</v>
      </c>
      <c r="E198" s="2">
        <f t="shared" si="8"/>
        <v>500</v>
      </c>
      <c r="F198" s="2">
        <v>6.1700000000000001E-3</v>
      </c>
      <c r="G198" s="26">
        <f t="shared" si="9"/>
        <v>197.44</v>
      </c>
      <c r="H198" s="19">
        <f>O11</f>
        <v>14.175000000000001</v>
      </c>
      <c r="I198" s="22">
        <f t="shared" si="10"/>
        <v>2.7987120000000001</v>
      </c>
    </row>
    <row r="199" spans="1:9" x14ac:dyDescent="0.25">
      <c r="A199" t="s">
        <v>421</v>
      </c>
      <c r="B199" s="2">
        <v>8</v>
      </c>
      <c r="C199" s="2">
        <v>450</v>
      </c>
      <c r="D199" s="49">
        <v>100</v>
      </c>
      <c r="E199" s="2">
        <f t="shared" si="8"/>
        <v>550</v>
      </c>
      <c r="F199" s="2">
        <v>6.1700000000000001E-3</v>
      </c>
      <c r="G199" s="26">
        <f t="shared" si="9"/>
        <v>217.184</v>
      </c>
      <c r="H199" s="19">
        <f>O11</f>
        <v>14.175000000000001</v>
      </c>
      <c r="I199" s="22">
        <f t="shared" si="10"/>
        <v>3.0785832000000002</v>
      </c>
    </row>
    <row r="200" spans="1:9" x14ac:dyDescent="0.25">
      <c r="A200" t="s">
        <v>423</v>
      </c>
      <c r="B200" s="2">
        <v>8</v>
      </c>
      <c r="C200" s="2">
        <v>500</v>
      </c>
      <c r="D200" s="49">
        <v>100</v>
      </c>
      <c r="E200" s="2">
        <f t="shared" ref="E200:E232" si="12">D200+C200</f>
        <v>600</v>
      </c>
      <c r="F200" s="2">
        <v>6.1700000000000001E-3</v>
      </c>
      <c r="G200" s="26">
        <f t="shared" ref="G200:G232" si="13">B200*B200*(C200+D200)*F200</f>
        <v>236.928</v>
      </c>
      <c r="H200" s="19">
        <f>O11</f>
        <v>14.175000000000001</v>
      </c>
      <c r="I200" s="22">
        <f t="shared" si="10"/>
        <v>3.3584544000000003</v>
      </c>
    </row>
    <row r="201" spans="1:9" x14ac:dyDescent="0.25">
      <c r="A201" t="s">
        <v>425</v>
      </c>
      <c r="B201" s="2">
        <v>10</v>
      </c>
      <c r="C201" s="2">
        <v>175</v>
      </c>
      <c r="D201" s="49">
        <v>100</v>
      </c>
      <c r="E201" s="2">
        <f t="shared" si="12"/>
        <v>275</v>
      </c>
      <c r="F201" s="2">
        <v>6.1700000000000001E-3</v>
      </c>
      <c r="G201" s="26">
        <f t="shared" si="13"/>
        <v>169.67500000000001</v>
      </c>
      <c r="H201" s="19">
        <f>O11</f>
        <v>14.175000000000001</v>
      </c>
      <c r="I201" s="22">
        <f t="shared" si="10"/>
        <v>2.4051431249999999</v>
      </c>
    </row>
    <row r="202" spans="1:9" x14ac:dyDescent="0.25">
      <c r="A202" t="s">
        <v>427</v>
      </c>
      <c r="B202" s="2">
        <v>10</v>
      </c>
      <c r="C202" s="2">
        <v>200</v>
      </c>
      <c r="D202" s="49">
        <v>100</v>
      </c>
      <c r="E202" s="2">
        <f t="shared" si="12"/>
        <v>300</v>
      </c>
      <c r="F202" s="2">
        <v>6.1700000000000001E-3</v>
      </c>
      <c r="G202" s="26">
        <f t="shared" si="13"/>
        <v>185.1</v>
      </c>
      <c r="H202" s="19">
        <f>O11</f>
        <v>14.175000000000001</v>
      </c>
      <c r="I202" s="22">
        <f t="shared" ref="I202:I232" si="14">G202*H202/1000</f>
        <v>2.6237925</v>
      </c>
    </row>
    <row r="203" spans="1:9" x14ac:dyDescent="0.25">
      <c r="A203" t="s">
        <v>429</v>
      </c>
      <c r="B203" s="2">
        <v>10</v>
      </c>
      <c r="C203" s="2">
        <v>250</v>
      </c>
      <c r="D203" s="49">
        <v>100</v>
      </c>
      <c r="E203" s="2">
        <f t="shared" si="12"/>
        <v>350</v>
      </c>
      <c r="F203" s="2">
        <v>6.1700000000000001E-3</v>
      </c>
      <c r="G203" s="26">
        <f t="shared" si="13"/>
        <v>215.95000000000002</v>
      </c>
      <c r="H203" s="19">
        <f>O11</f>
        <v>14.175000000000001</v>
      </c>
      <c r="I203" s="22">
        <f t="shared" si="14"/>
        <v>3.0610912500000005</v>
      </c>
    </row>
    <row r="204" spans="1:9" x14ac:dyDescent="0.25">
      <c r="A204" t="s">
        <v>431</v>
      </c>
      <c r="B204" s="2">
        <v>10</v>
      </c>
      <c r="C204" s="2">
        <v>300</v>
      </c>
      <c r="D204" s="49">
        <v>100</v>
      </c>
      <c r="E204" s="2">
        <f t="shared" si="12"/>
        <v>400</v>
      </c>
      <c r="F204" s="2">
        <v>6.1700000000000001E-3</v>
      </c>
      <c r="G204" s="26">
        <f t="shared" si="13"/>
        <v>246.8</v>
      </c>
      <c r="H204" s="19">
        <f>O11</f>
        <v>14.175000000000001</v>
      </c>
      <c r="I204" s="22">
        <f t="shared" si="14"/>
        <v>3.4983900000000001</v>
      </c>
    </row>
    <row r="205" spans="1:9" x14ac:dyDescent="0.25">
      <c r="A205" t="s">
        <v>433</v>
      </c>
      <c r="B205" s="2">
        <v>10</v>
      </c>
      <c r="C205" s="2">
        <v>350</v>
      </c>
      <c r="D205" s="49">
        <v>100</v>
      </c>
      <c r="E205" s="2">
        <f t="shared" si="12"/>
        <v>450</v>
      </c>
      <c r="F205" s="2">
        <v>6.1700000000000001E-3</v>
      </c>
      <c r="G205" s="26">
        <f t="shared" si="13"/>
        <v>277.65000000000003</v>
      </c>
      <c r="H205" s="19">
        <f>O11</f>
        <v>14.175000000000001</v>
      </c>
      <c r="I205" s="22">
        <f t="shared" si="14"/>
        <v>3.9356887500000006</v>
      </c>
    </row>
    <row r="206" spans="1:9" x14ac:dyDescent="0.25">
      <c r="A206" t="s">
        <v>435</v>
      </c>
      <c r="B206" s="2">
        <v>10</v>
      </c>
      <c r="C206" s="2">
        <v>400</v>
      </c>
      <c r="D206" s="49">
        <v>100</v>
      </c>
      <c r="E206" s="2">
        <f t="shared" si="12"/>
        <v>500</v>
      </c>
      <c r="F206" s="2">
        <v>6.1700000000000001E-3</v>
      </c>
      <c r="G206" s="26">
        <f t="shared" si="13"/>
        <v>308.5</v>
      </c>
      <c r="H206" s="19">
        <f>O11</f>
        <v>14.175000000000001</v>
      </c>
      <c r="I206" s="22">
        <f t="shared" si="14"/>
        <v>4.3729874999999998</v>
      </c>
    </row>
    <row r="207" spans="1:9" x14ac:dyDescent="0.25">
      <c r="A207" t="s">
        <v>437</v>
      </c>
      <c r="B207" s="2">
        <v>10</v>
      </c>
      <c r="C207" s="2">
        <v>450</v>
      </c>
      <c r="D207" s="49">
        <v>100</v>
      </c>
      <c r="E207" s="2">
        <f t="shared" si="12"/>
        <v>550</v>
      </c>
      <c r="F207" s="2">
        <v>6.1700000000000001E-3</v>
      </c>
      <c r="G207" s="26">
        <f t="shared" si="13"/>
        <v>339.35</v>
      </c>
      <c r="H207" s="19">
        <f>O11</f>
        <v>14.175000000000001</v>
      </c>
      <c r="I207" s="22">
        <f t="shared" si="14"/>
        <v>4.8102862499999999</v>
      </c>
    </row>
    <row r="208" spans="1:9" x14ac:dyDescent="0.25">
      <c r="A208" t="s">
        <v>439</v>
      </c>
      <c r="B208" s="2">
        <v>10</v>
      </c>
      <c r="C208" s="2">
        <v>500</v>
      </c>
      <c r="D208" s="49">
        <v>100</v>
      </c>
      <c r="E208" s="2">
        <f t="shared" si="12"/>
        <v>600</v>
      </c>
      <c r="F208" s="2">
        <v>6.1700000000000001E-3</v>
      </c>
      <c r="G208" s="26">
        <f t="shared" si="13"/>
        <v>370.2</v>
      </c>
      <c r="H208" s="19">
        <f>O11</f>
        <v>14.175000000000001</v>
      </c>
      <c r="I208" s="22">
        <f t="shared" si="14"/>
        <v>5.2475849999999999</v>
      </c>
    </row>
    <row r="209" spans="1:9" x14ac:dyDescent="0.25">
      <c r="A209" t="s">
        <v>301</v>
      </c>
      <c r="B209" s="2">
        <v>3</v>
      </c>
      <c r="C209" s="2">
        <v>60</v>
      </c>
      <c r="D209" s="49">
        <v>60</v>
      </c>
      <c r="E209" s="2">
        <f t="shared" si="12"/>
        <v>120</v>
      </c>
      <c r="F209" s="2">
        <v>6.1700000000000001E-3</v>
      </c>
      <c r="G209" s="26">
        <f t="shared" si="13"/>
        <v>6.6635999999999997</v>
      </c>
      <c r="H209" s="19">
        <f>O7</f>
        <v>0.36749999999999999</v>
      </c>
      <c r="I209" s="22">
        <f>H209</f>
        <v>0.36749999999999999</v>
      </c>
    </row>
    <row r="210" spans="1:9" x14ac:dyDescent="0.25">
      <c r="A210" t="s">
        <v>303</v>
      </c>
      <c r="B210" s="2">
        <v>3</v>
      </c>
      <c r="C210" s="2">
        <v>60</v>
      </c>
      <c r="D210" s="49">
        <v>60</v>
      </c>
      <c r="E210" s="2">
        <f t="shared" si="12"/>
        <v>120</v>
      </c>
      <c r="F210" s="2">
        <v>6.1700000000000001E-3</v>
      </c>
      <c r="G210" s="26">
        <f t="shared" si="13"/>
        <v>6.6635999999999997</v>
      </c>
      <c r="H210" s="19">
        <f>O7</f>
        <v>0.36749999999999999</v>
      </c>
      <c r="I210" s="22">
        <f>H210</f>
        <v>0.36749999999999999</v>
      </c>
    </row>
    <row r="211" spans="1:9" x14ac:dyDescent="0.25">
      <c r="A211" t="s">
        <v>305</v>
      </c>
      <c r="B211" s="2">
        <v>3</v>
      </c>
      <c r="C211" s="2">
        <v>60</v>
      </c>
      <c r="D211" s="49">
        <v>60</v>
      </c>
      <c r="E211" s="2">
        <f t="shared" si="12"/>
        <v>120</v>
      </c>
      <c r="F211" s="2">
        <v>6.1700000000000001E-3</v>
      </c>
      <c r="G211" s="26">
        <f t="shared" si="13"/>
        <v>6.6635999999999997</v>
      </c>
      <c r="H211" s="19">
        <f>O7</f>
        <v>0.36749999999999999</v>
      </c>
      <c r="I211" s="22">
        <f>H211</f>
        <v>0.36749999999999999</v>
      </c>
    </row>
    <row r="212" spans="1:9" x14ac:dyDescent="0.25">
      <c r="A212" t="s">
        <v>307</v>
      </c>
      <c r="B212" s="2">
        <v>3</v>
      </c>
      <c r="C212" s="2">
        <v>60</v>
      </c>
      <c r="D212" s="49">
        <v>60</v>
      </c>
      <c r="E212" s="2">
        <f t="shared" si="12"/>
        <v>120</v>
      </c>
      <c r="F212" s="2">
        <v>6.1700000000000001E-3</v>
      </c>
      <c r="G212" s="26">
        <f t="shared" si="13"/>
        <v>6.6635999999999997</v>
      </c>
      <c r="H212" s="19">
        <f>O7</f>
        <v>0.36749999999999999</v>
      </c>
      <c r="I212" s="22">
        <f>H212</f>
        <v>0.36749999999999999</v>
      </c>
    </row>
    <row r="213" spans="1:9" x14ac:dyDescent="0.25">
      <c r="A213" t="s">
        <v>309</v>
      </c>
      <c r="B213" s="2">
        <v>4</v>
      </c>
      <c r="C213" s="2">
        <v>80</v>
      </c>
      <c r="D213" s="49">
        <v>60</v>
      </c>
      <c r="E213" s="2">
        <f t="shared" si="12"/>
        <v>140</v>
      </c>
      <c r="F213" s="2">
        <v>6.1700000000000001E-3</v>
      </c>
      <c r="G213" s="26">
        <f t="shared" si="13"/>
        <v>13.8208</v>
      </c>
      <c r="H213" s="19">
        <f>O8</f>
        <v>15.75</v>
      </c>
      <c r="I213" s="22">
        <f t="shared" si="14"/>
        <v>0.2176776</v>
      </c>
    </row>
    <row r="214" spans="1:9" x14ac:dyDescent="0.25">
      <c r="A214" t="s">
        <v>311</v>
      </c>
      <c r="B214" s="2">
        <v>4</v>
      </c>
      <c r="C214" s="2">
        <v>80</v>
      </c>
      <c r="D214" s="49">
        <v>60</v>
      </c>
      <c r="E214" s="2">
        <f t="shared" si="12"/>
        <v>140</v>
      </c>
      <c r="F214" s="2">
        <v>6.1700000000000001E-3</v>
      </c>
      <c r="G214" s="26">
        <f t="shared" si="13"/>
        <v>13.8208</v>
      </c>
      <c r="H214" s="19">
        <f>O8</f>
        <v>15.75</v>
      </c>
      <c r="I214" s="22">
        <f t="shared" si="14"/>
        <v>0.2176776</v>
      </c>
    </row>
    <row r="215" spans="1:9" x14ac:dyDescent="0.25">
      <c r="A215" t="s">
        <v>313</v>
      </c>
      <c r="B215" s="2">
        <v>5</v>
      </c>
      <c r="C215" s="2">
        <v>100</v>
      </c>
      <c r="D215" s="49">
        <v>60</v>
      </c>
      <c r="E215" s="2">
        <f t="shared" si="12"/>
        <v>160</v>
      </c>
      <c r="F215" s="2">
        <v>6.1700000000000001E-3</v>
      </c>
      <c r="G215" s="26">
        <f t="shared" si="13"/>
        <v>24.68</v>
      </c>
      <c r="H215" s="19">
        <f>O9</f>
        <v>15.75</v>
      </c>
      <c r="I215" s="22">
        <f t="shared" si="14"/>
        <v>0.38871</v>
      </c>
    </row>
    <row r="216" spans="1:9" x14ac:dyDescent="0.25">
      <c r="A216" t="s">
        <v>315</v>
      </c>
      <c r="B216" s="2">
        <v>5</v>
      </c>
      <c r="C216" s="2">
        <v>100</v>
      </c>
      <c r="D216" s="49">
        <v>60</v>
      </c>
      <c r="E216" s="2">
        <f t="shared" si="12"/>
        <v>160</v>
      </c>
      <c r="F216" s="2">
        <v>6.1700000000000001E-3</v>
      </c>
      <c r="G216" s="26">
        <f t="shared" si="13"/>
        <v>24.68</v>
      </c>
      <c r="H216" s="19">
        <f>O9</f>
        <v>15.75</v>
      </c>
      <c r="I216" s="22">
        <f t="shared" si="14"/>
        <v>0.38871</v>
      </c>
    </row>
    <row r="217" spans="1:9" x14ac:dyDescent="0.25">
      <c r="A217" t="s">
        <v>317</v>
      </c>
      <c r="B217" s="2">
        <v>6</v>
      </c>
      <c r="C217" s="2">
        <v>100</v>
      </c>
      <c r="D217" s="49">
        <v>80</v>
      </c>
      <c r="E217" s="2">
        <f t="shared" si="12"/>
        <v>180</v>
      </c>
      <c r="F217" s="2">
        <v>6.1700000000000001E-3</v>
      </c>
      <c r="G217" s="26">
        <f t="shared" si="13"/>
        <v>39.9816</v>
      </c>
      <c r="H217" s="19">
        <f>O10</f>
        <v>14.175000000000001</v>
      </c>
      <c r="I217" s="22">
        <f t="shared" si="14"/>
        <v>0.56673918000000001</v>
      </c>
    </row>
    <row r="218" spans="1:9" x14ac:dyDescent="0.25">
      <c r="A218" t="s">
        <v>319</v>
      </c>
      <c r="B218" s="2">
        <v>7</v>
      </c>
      <c r="C218" s="2">
        <v>125</v>
      </c>
      <c r="D218" s="49">
        <v>80</v>
      </c>
      <c r="E218" s="2">
        <f t="shared" si="12"/>
        <v>205</v>
      </c>
      <c r="F218" s="2">
        <v>6.1700000000000001E-3</v>
      </c>
      <c r="G218" s="26">
        <f t="shared" si="13"/>
        <v>61.977650000000004</v>
      </c>
      <c r="H218" s="19">
        <f>O11</f>
        <v>14.175000000000001</v>
      </c>
      <c r="I218" s="22">
        <f t="shared" si="14"/>
        <v>0.87853318875000008</v>
      </c>
    </row>
    <row r="219" spans="1:9" ht="18.75" customHeight="1" x14ac:dyDescent="0.25">
      <c r="A219" t="s">
        <v>321</v>
      </c>
      <c r="B219" s="2">
        <v>8</v>
      </c>
      <c r="C219" s="2">
        <v>150</v>
      </c>
      <c r="D219" s="49">
        <v>100</v>
      </c>
      <c r="E219" s="2">
        <f t="shared" si="12"/>
        <v>250</v>
      </c>
      <c r="F219" s="2">
        <v>6.1700000000000001E-3</v>
      </c>
      <c r="G219" s="26">
        <f t="shared" si="13"/>
        <v>98.72</v>
      </c>
      <c r="H219" s="19">
        <f>O11</f>
        <v>14.175000000000001</v>
      </c>
      <c r="I219" s="22">
        <f t="shared" si="14"/>
        <v>1.399356</v>
      </c>
    </row>
    <row r="220" spans="1:9" x14ac:dyDescent="0.25">
      <c r="A220" t="s">
        <v>323</v>
      </c>
      <c r="B220" s="2">
        <v>8</v>
      </c>
      <c r="C220" s="2">
        <v>200</v>
      </c>
      <c r="D220" s="49">
        <v>100</v>
      </c>
      <c r="E220" s="2">
        <f t="shared" si="12"/>
        <v>300</v>
      </c>
      <c r="F220" s="2">
        <v>6.1700000000000001E-3</v>
      </c>
      <c r="G220" s="26">
        <f t="shared" si="13"/>
        <v>118.464</v>
      </c>
      <c r="H220" s="19">
        <f>O11</f>
        <v>14.175000000000001</v>
      </c>
      <c r="I220" s="22">
        <f t="shared" si="14"/>
        <v>1.6792272000000001</v>
      </c>
    </row>
    <row r="221" spans="1:9" x14ac:dyDescent="0.25">
      <c r="A221" t="s">
        <v>325</v>
      </c>
      <c r="B221" s="2">
        <v>3</v>
      </c>
      <c r="C221" s="2">
        <v>60</v>
      </c>
      <c r="D221" s="49">
        <v>60</v>
      </c>
      <c r="E221" s="2">
        <f t="shared" si="12"/>
        <v>120</v>
      </c>
      <c r="F221" s="2">
        <v>6.1700000000000001E-3</v>
      </c>
      <c r="G221" s="26">
        <f t="shared" si="13"/>
        <v>6.6635999999999997</v>
      </c>
      <c r="H221" s="19">
        <f>O7</f>
        <v>0.36749999999999999</v>
      </c>
      <c r="I221" s="22">
        <f>H221</f>
        <v>0.36749999999999999</v>
      </c>
    </row>
    <row r="222" spans="1:9" x14ac:dyDescent="0.25">
      <c r="A222" t="s">
        <v>327</v>
      </c>
      <c r="B222" s="2">
        <v>3</v>
      </c>
      <c r="C222" s="2">
        <v>60</v>
      </c>
      <c r="D222" s="49">
        <v>60</v>
      </c>
      <c r="E222" s="2">
        <f t="shared" si="12"/>
        <v>120</v>
      </c>
      <c r="F222" s="2">
        <v>6.1700000000000001E-3</v>
      </c>
      <c r="G222" s="26">
        <f t="shared" si="13"/>
        <v>6.6635999999999997</v>
      </c>
      <c r="H222" s="19">
        <f>O7</f>
        <v>0.36749999999999999</v>
      </c>
      <c r="I222" s="22">
        <f>H222</f>
        <v>0.36749999999999999</v>
      </c>
    </row>
    <row r="223" spans="1:9" x14ac:dyDescent="0.25">
      <c r="A223" t="s">
        <v>329</v>
      </c>
      <c r="B223" s="2">
        <v>3</v>
      </c>
      <c r="C223" s="2">
        <v>60</v>
      </c>
      <c r="D223" s="49">
        <v>60</v>
      </c>
      <c r="E223" s="2">
        <f t="shared" si="12"/>
        <v>120</v>
      </c>
      <c r="F223" s="2">
        <v>6.1700000000000001E-3</v>
      </c>
      <c r="G223" s="26">
        <f t="shared" si="13"/>
        <v>6.6635999999999997</v>
      </c>
      <c r="H223" s="19">
        <f>O7</f>
        <v>0.36749999999999999</v>
      </c>
      <c r="I223" s="22">
        <f>H223</f>
        <v>0.36749999999999999</v>
      </c>
    </row>
    <row r="224" spans="1:9" x14ac:dyDescent="0.25">
      <c r="A224" t="s">
        <v>331</v>
      </c>
      <c r="B224" s="2">
        <v>3</v>
      </c>
      <c r="C224" s="2">
        <v>60</v>
      </c>
      <c r="D224" s="49">
        <v>60</v>
      </c>
      <c r="E224" s="2">
        <f t="shared" si="12"/>
        <v>120</v>
      </c>
      <c r="F224" s="2">
        <v>6.1700000000000001E-3</v>
      </c>
      <c r="G224" s="26">
        <f t="shared" si="13"/>
        <v>6.6635999999999997</v>
      </c>
      <c r="H224" s="19">
        <f>O7</f>
        <v>0.36749999999999999</v>
      </c>
      <c r="I224" s="22">
        <f>H224</f>
        <v>0.36749999999999999</v>
      </c>
    </row>
    <row r="225" spans="1:10" x14ac:dyDescent="0.25">
      <c r="A225" t="s">
        <v>333</v>
      </c>
      <c r="B225" s="2">
        <v>4</v>
      </c>
      <c r="C225" s="2">
        <v>80</v>
      </c>
      <c r="D225" s="49">
        <v>60</v>
      </c>
      <c r="E225" s="2">
        <f t="shared" si="12"/>
        <v>140</v>
      </c>
      <c r="F225" s="2">
        <v>6.1700000000000001E-3</v>
      </c>
      <c r="G225" s="26">
        <f t="shared" si="13"/>
        <v>13.8208</v>
      </c>
      <c r="H225" s="19">
        <f>O8</f>
        <v>15.75</v>
      </c>
      <c r="I225" s="22">
        <f t="shared" si="14"/>
        <v>0.2176776</v>
      </c>
    </row>
    <row r="226" spans="1:10" x14ac:dyDescent="0.25">
      <c r="A226" t="s">
        <v>335</v>
      </c>
      <c r="B226" s="2">
        <v>4</v>
      </c>
      <c r="C226" s="2">
        <v>80</v>
      </c>
      <c r="D226" s="49">
        <v>60</v>
      </c>
      <c r="E226" s="2">
        <f t="shared" si="12"/>
        <v>140</v>
      </c>
      <c r="F226" s="2">
        <v>6.1700000000000001E-3</v>
      </c>
      <c r="G226" s="26">
        <f t="shared" si="13"/>
        <v>13.8208</v>
      </c>
      <c r="H226" s="19">
        <f>O8</f>
        <v>15.75</v>
      </c>
      <c r="I226" s="22">
        <f t="shared" si="14"/>
        <v>0.2176776</v>
      </c>
    </row>
    <row r="227" spans="1:10" x14ac:dyDescent="0.25">
      <c r="A227" t="s">
        <v>337</v>
      </c>
      <c r="B227" s="2">
        <v>5</v>
      </c>
      <c r="C227" s="2">
        <v>100</v>
      </c>
      <c r="D227" s="49">
        <v>60</v>
      </c>
      <c r="E227" s="2">
        <f t="shared" si="12"/>
        <v>160</v>
      </c>
      <c r="F227" s="2">
        <v>6.1700000000000001E-3</v>
      </c>
      <c r="G227" s="26">
        <f t="shared" si="13"/>
        <v>24.68</v>
      </c>
      <c r="H227" s="19">
        <f>O9</f>
        <v>15.75</v>
      </c>
      <c r="I227" s="22">
        <f t="shared" si="14"/>
        <v>0.38871</v>
      </c>
    </row>
    <row r="228" spans="1:10" x14ac:dyDescent="0.25">
      <c r="A228" t="s">
        <v>339</v>
      </c>
      <c r="B228" s="2">
        <v>5</v>
      </c>
      <c r="C228" s="2">
        <v>100</v>
      </c>
      <c r="D228" s="49">
        <v>60</v>
      </c>
      <c r="E228" s="2">
        <f t="shared" si="12"/>
        <v>160</v>
      </c>
      <c r="F228" s="2">
        <v>6.1700000000000001E-3</v>
      </c>
      <c r="G228" s="26">
        <f t="shared" si="13"/>
        <v>24.68</v>
      </c>
      <c r="H228" s="19">
        <f>O9</f>
        <v>15.75</v>
      </c>
      <c r="I228" s="22">
        <f t="shared" si="14"/>
        <v>0.38871</v>
      </c>
    </row>
    <row r="229" spans="1:10" x14ac:dyDescent="0.25">
      <c r="A229" t="s">
        <v>341</v>
      </c>
      <c r="B229" s="2">
        <v>6</v>
      </c>
      <c r="C229" s="2">
        <v>100</v>
      </c>
      <c r="D229" s="49">
        <v>80</v>
      </c>
      <c r="E229" s="2">
        <f t="shared" si="12"/>
        <v>180</v>
      </c>
      <c r="F229" s="2">
        <v>6.1700000000000001E-3</v>
      </c>
      <c r="G229" s="26">
        <f t="shared" si="13"/>
        <v>39.9816</v>
      </c>
      <c r="H229" s="19">
        <f>O10</f>
        <v>14.175000000000001</v>
      </c>
      <c r="I229" s="22">
        <f t="shared" si="14"/>
        <v>0.56673918000000001</v>
      </c>
    </row>
    <row r="230" spans="1:10" x14ac:dyDescent="0.25">
      <c r="A230" t="s">
        <v>343</v>
      </c>
      <c r="B230" s="2">
        <v>7</v>
      </c>
      <c r="C230" s="2">
        <v>125</v>
      </c>
      <c r="D230" s="49">
        <v>80</v>
      </c>
      <c r="E230" s="2">
        <f t="shared" si="12"/>
        <v>205</v>
      </c>
      <c r="F230" s="2">
        <v>6.1700000000000001E-3</v>
      </c>
      <c r="G230" s="26">
        <f t="shared" si="13"/>
        <v>61.977650000000004</v>
      </c>
      <c r="H230" s="19">
        <f>O11</f>
        <v>14.175000000000001</v>
      </c>
      <c r="I230" s="22">
        <f t="shared" si="14"/>
        <v>0.87853318875000008</v>
      </c>
    </row>
    <row r="231" spans="1:10" x14ac:dyDescent="0.25">
      <c r="A231" t="s">
        <v>345</v>
      </c>
      <c r="B231" s="2">
        <v>8</v>
      </c>
      <c r="C231" s="2">
        <v>150</v>
      </c>
      <c r="D231" s="49">
        <v>100</v>
      </c>
      <c r="E231" s="2">
        <f t="shared" si="12"/>
        <v>250</v>
      </c>
      <c r="F231" s="2">
        <v>6.1700000000000001E-3</v>
      </c>
      <c r="G231" s="26">
        <f t="shared" si="13"/>
        <v>98.72</v>
      </c>
      <c r="H231" s="19">
        <f>O11</f>
        <v>14.175000000000001</v>
      </c>
      <c r="I231" s="22">
        <f t="shared" si="14"/>
        <v>1.399356</v>
      </c>
    </row>
    <row r="232" spans="1:10" x14ac:dyDescent="0.25">
      <c r="A232" t="s">
        <v>347</v>
      </c>
      <c r="B232" s="2">
        <v>8</v>
      </c>
      <c r="C232" s="2">
        <v>200</v>
      </c>
      <c r="D232" s="49">
        <v>100</v>
      </c>
      <c r="E232" s="2">
        <f t="shared" si="12"/>
        <v>300</v>
      </c>
      <c r="F232" s="2">
        <v>6.1700000000000001E-3</v>
      </c>
      <c r="G232" s="26">
        <f t="shared" si="13"/>
        <v>118.464</v>
      </c>
      <c r="H232" s="19">
        <f>O11</f>
        <v>14.175000000000001</v>
      </c>
      <c r="I232" s="22">
        <f t="shared" si="14"/>
        <v>1.6792272000000001</v>
      </c>
    </row>
    <row r="237" spans="1:10" x14ac:dyDescent="0.25">
      <c r="A237" t="s">
        <v>958</v>
      </c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25">
      <c r="A238" t="s">
        <v>0</v>
      </c>
      <c r="B238" s="2" t="s">
        <v>443</v>
      </c>
      <c r="C238" s="2" t="s">
        <v>452</v>
      </c>
      <c r="D238" s="2" t="s">
        <v>454</v>
      </c>
      <c r="E238" s="2" t="s">
        <v>830</v>
      </c>
      <c r="F238" s="2" t="s">
        <v>450</v>
      </c>
      <c r="G238" s="2" t="s">
        <v>831</v>
      </c>
      <c r="H238" s="19" t="s">
        <v>446</v>
      </c>
      <c r="I238" s="21" t="s">
        <v>448</v>
      </c>
      <c r="J238" s="2"/>
    </row>
    <row r="239" spans="1:10" x14ac:dyDescent="0.25">
      <c r="A239" t="s">
        <v>833</v>
      </c>
      <c r="B239" s="2">
        <v>5</v>
      </c>
      <c r="C239" s="2">
        <v>75</v>
      </c>
      <c r="D239" s="2">
        <v>90</v>
      </c>
      <c r="E239" s="2">
        <v>165</v>
      </c>
      <c r="F239" s="2">
        <v>7.8499999999999993E-3</v>
      </c>
      <c r="G239" s="2">
        <v>32.381249999999994</v>
      </c>
      <c r="H239" s="2">
        <v>10</v>
      </c>
      <c r="I239" s="22">
        <f t="shared" ref="I239:I294" si="15">G239*H239/1000</f>
        <v>0.32381249999999995</v>
      </c>
      <c r="J239" s="2"/>
    </row>
    <row r="240" spans="1:10" x14ac:dyDescent="0.25">
      <c r="A240" t="s">
        <v>835</v>
      </c>
      <c r="B240" s="2">
        <v>5</v>
      </c>
      <c r="C240" s="2">
        <v>100</v>
      </c>
      <c r="D240" s="2">
        <v>90</v>
      </c>
      <c r="E240" s="2">
        <v>190</v>
      </c>
      <c r="F240" s="2">
        <v>7.8499999999999993E-3</v>
      </c>
      <c r="G240" s="2">
        <v>37.287499999999994</v>
      </c>
      <c r="H240" s="2">
        <v>10</v>
      </c>
      <c r="I240" s="22">
        <f t="shared" si="15"/>
        <v>0.37287499999999996</v>
      </c>
      <c r="J240" s="2"/>
    </row>
    <row r="241" spans="1:10" x14ac:dyDescent="0.25">
      <c r="A241" t="s">
        <v>837</v>
      </c>
      <c r="B241" s="2">
        <v>5</v>
      </c>
      <c r="C241" s="2">
        <v>150</v>
      </c>
      <c r="D241" s="2">
        <v>90</v>
      </c>
      <c r="E241" s="2">
        <v>240</v>
      </c>
      <c r="F241" s="2">
        <v>7.8499999999999993E-3</v>
      </c>
      <c r="G241" s="2">
        <v>47.099999999999994</v>
      </c>
      <c r="H241" s="2">
        <v>10</v>
      </c>
      <c r="I241" s="22">
        <f t="shared" si="15"/>
        <v>0.47099999999999992</v>
      </c>
      <c r="J241" s="2"/>
    </row>
    <row r="242" spans="1:10" x14ac:dyDescent="0.25">
      <c r="A242" t="s">
        <v>839</v>
      </c>
      <c r="B242" s="2">
        <v>5</v>
      </c>
      <c r="C242" s="2">
        <v>200</v>
      </c>
      <c r="D242" s="2">
        <v>90</v>
      </c>
      <c r="E242" s="2">
        <v>290</v>
      </c>
      <c r="F242" s="2">
        <v>7.8499999999999993E-3</v>
      </c>
      <c r="G242" s="2">
        <v>56.912499999999994</v>
      </c>
      <c r="H242" s="2">
        <v>10</v>
      </c>
      <c r="I242" s="22">
        <f t="shared" si="15"/>
        <v>0.56912499999999999</v>
      </c>
      <c r="J242" s="2"/>
    </row>
    <row r="243" spans="1:10" x14ac:dyDescent="0.25">
      <c r="A243" t="s">
        <v>841</v>
      </c>
      <c r="B243" s="2">
        <v>5</v>
      </c>
      <c r="C243" s="2">
        <v>250</v>
      </c>
      <c r="D243" s="2">
        <v>90</v>
      </c>
      <c r="E243" s="2">
        <v>340</v>
      </c>
      <c r="F243" s="2">
        <v>7.8499999999999993E-3</v>
      </c>
      <c r="G243" s="2">
        <v>66.724999999999994</v>
      </c>
      <c r="H243" s="2">
        <v>10</v>
      </c>
      <c r="I243" s="22">
        <f t="shared" si="15"/>
        <v>0.66725000000000001</v>
      </c>
      <c r="J243" s="2"/>
    </row>
    <row r="244" spans="1:10" x14ac:dyDescent="0.25">
      <c r="A244" t="s">
        <v>843</v>
      </c>
      <c r="B244" s="2">
        <v>5</v>
      </c>
      <c r="C244" s="2">
        <v>300</v>
      </c>
      <c r="D244" s="2">
        <v>90</v>
      </c>
      <c r="E244" s="2">
        <v>390</v>
      </c>
      <c r="F244" s="2">
        <v>7.8499999999999993E-3</v>
      </c>
      <c r="G244" s="2">
        <v>76.537499999999994</v>
      </c>
      <c r="H244" s="2">
        <v>10</v>
      </c>
      <c r="I244" s="22">
        <f t="shared" si="15"/>
        <v>0.76537500000000003</v>
      </c>
      <c r="J244" s="2"/>
    </row>
    <row r="245" spans="1:10" x14ac:dyDescent="0.25">
      <c r="A245" t="s">
        <v>845</v>
      </c>
      <c r="B245" s="2">
        <v>6</v>
      </c>
      <c r="C245" s="2">
        <v>100</v>
      </c>
      <c r="D245" s="2">
        <v>110</v>
      </c>
      <c r="E245" s="2">
        <v>210</v>
      </c>
      <c r="F245" s="2">
        <v>7.8499999999999993E-3</v>
      </c>
      <c r="G245" s="2">
        <v>59.345999999999997</v>
      </c>
      <c r="H245" s="2">
        <v>9</v>
      </c>
      <c r="I245" s="22">
        <f t="shared" si="15"/>
        <v>0.53411399999999987</v>
      </c>
      <c r="J245" s="2"/>
    </row>
    <row r="246" spans="1:10" x14ac:dyDescent="0.25">
      <c r="A246" t="s">
        <v>847</v>
      </c>
      <c r="B246" s="2">
        <v>6</v>
      </c>
      <c r="C246" s="2">
        <v>125</v>
      </c>
      <c r="D246" s="2">
        <v>110</v>
      </c>
      <c r="E246" s="2">
        <v>235</v>
      </c>
      <c r="F246" s="2">
        <v>7.8499999999999993E-3</v>
      </c>
      <c r="G246" s="2">
        <v>66.411000000000001</v>
      </c>
      <c r="H246" s="2">
        <v>9</v>
      </c>
      <c r="I246" s="22">
        <f t="shared" si="15"/>
        <v>0.59769900000000009</v>
      </c>
      <c r="J246" s="2"/>
    </row>
    <row r="247" spans="1:10" x14ac:dyDescent="0.25">
      <c r="A247" t="s">
        <v>849</v>
      </c>
      <c r="B247" s="2">
        <v>6</v>
      </c>
      <c r="C247" s="2">
        <v>150</v>
      </c>
      <c r="D247" s="2">
        <v>110</v>
      </c>
      <c r="E247" s="2">
        <v>260</v>
      </c>
      <c r="F247" s="2">
        <v>7.8499999999999993E-3</v>
      </c>
      <c r="G247" s="2">
        <v>73.475999999999999</v>
      </c>
      <c r="H247" s="2">
        <v>9</v>
      </c>
      <c r="I247" s="22">
        <f t="shared" si="15"/>
        <v>0.66128399999999998</v>
      </c>
      <c r="J247" s="2"/>
    </row>
    <row r="248" spans="1:10" x14ac:dyDescent="0.25">
      <c r="A248" t="s">
        <v>851</v>
      </c>
      <c r="B248" s="2">
        <v>6</v>
      </c>
      <c r="C248" s="2">
        <v>200</v>
      </c>
      <c r="D248" s="2">
        <v>110</v>
      </c>
      <c r="E248" s="2">
        <v>310</v>
      </c>
      <c r="F248" s="2">
        <v>7.8499999999999993E-3</v>
      </c>
      <c r="G248" s="2">
        <v>87.605999999999995</v>
      </c>
      <c r="H248" s="2">
        <v>9</v>
      </c>
      <c r="I248" s="22">
        <f t="shared" si="15"/>
        <v>0.78845399999999999</v>
      </c>
      <c r="J248" s="2"/>
    </row>
    <row r="249" spans="1:10" x14ac:dyDescent="0.25">
      <c r="A249" t="s">
        <v>853</v>
      </c>
      <c r="B249" s="2">
        <v>6</v>
      </c>
      <c r="C249" s="2">
        <v>250</v>
      </c>
      <c r="D249" s="2">
        <v>110</v>
      </c>
      <c r="E249" s="2">
        <v>360</v>
      </c>
      <c r="F249" s="2">
        <v>7.8499999999999993E-3</v>
      </c>
      <c r="G249" s="2">
        <v>101.73599999999999</v>
      </c>
      <c r="H249" s="2">
        <v>9</v>
      </c>
      <c r="I249" s="22">
        <f t="shared" si="15"/>
        <v>0.91562399999999988</v>
      </c>
      <c r="J249" s="2"/>
    </row>
    <row r="250" spans="1:10" x14ac:dyDescent="0.25">
      <c r="A250" t="s">
        <v>855</v>
      </c>
      <c r="B250" s="2">
        <v>6</v>
      </c>
      <c r="C250" s="2">
        <v>300</v>
      </c>
      <c r="D250" s="2">
        <v>110</v>
      </c>
      <c r="E250" s="2">
        <v>410</v>
      </c>
      <c r="F250" s="2">
        <v>7.8499999999999993E-3</v>
      </c>
      <c r="G250" s="2">
        <v>115.86599999999999</v>
      </c>
      <c r="H250" s="2">
        <v>9</v>
      </c>
      <c r="I250" s="22">
        <f t="shared" si="15"/>
        <v>1.0427939999999998</v>
      </c>
      <c r="J250" s="2"/>
    </row>
    <row r="251" spans="1:10" x14ac:dyDescent="0.25">
      <c r="A251" t="s">
        <v>857</v>
      </c>
      <c r="B251" s="2">
        <v>6</v>
      </c>
      <c r="C251" s="2">
        <v>350</v>
      </c>
      <c r="D251" s="2">
        <v>110</v>
      </c>
      <c r="E251" s="2">
        <v>460</v>
      </c>
      <c r="F251" s="2">
        <v>7.8499999999999993E-3</v>
      </c>
      <c r="G251" s="2">
        <v>129.99599999999998</v>
      </c>
      <c r="H251" s="2">
        <v>9</v>
      </c>
      <c r="I251" s="22">
        <f t="shared" si="15"/>
        <v>1.169964</v>
      </c>
      <c r="J251" s="2"/>
    </row>
    <row r="252" spans="1:10" x14ac:dyDescent="0.25">
      <c r="A252" t="s">
        <v>859</v>
      </c>
      <c r="B252" s="2">
        <v>6</v>
      </c>
      <c r="C252" s="2">
        <v>400</v>
      </c>
      <c r="D252" s="2">
        <v>110</v>
      </c>
      <c r="E252" s="2">
        <v>510</v>
      </c>
      <c r="F252" s="2">
        <v>7.8499999999999993E-3</v>
      </c>
      <c r="G252" s="2">
        <v>144.12599999999998</v>
      </c>
      <c r="H252" s="2">
        <v>9</v>
      </c>
      <c r="I252" s="22">
        <f t="shared" si="15"/>
        <v>1.2971339999999998</v>
      </c>
      <c r="J252" s="2"/>
    </row>
    <row r="253" spans="1:10" x14ac:dyDescent="0.25">
      <c r="A253" t="s">
        <v>861</v>
      </c>
      <c r="B253" s="2">
        <v>8</v>
      </c>
      <c r="C253" s="2">
        <v>125</v>
      </c>
      <c r="D253" s="2">
        <v>125</v>
      </c>
      <c r="E253" s="2">
        <v>250</v>
      </c>
      <c r="F253" s="2">
        <v>7.8499999999999993E-3</v>
      </c>
      <c r="G253" s="2">
        <v>125.6</v>
      </c>
      <c r="H253" s="2">
        <v>9</v>
      </c>
      <c r="I253" s="22">
        <f t="shared" si="15"/>
        <v>1.1303999999999998</v>
      </c>
      <c r="J253" s="2"/>
    </row>
    <row r="254" spans="1:10" x14ac:dyDescent="0.25">
      <c r="A254" t="s">
        <v>863</v>
      </c>
      <c r="B254" s="2">
        <v>8</v>
      </c>
      <c r="C254" s="2">
        <v>150</v>
      </c>
      <c r="D254" s="2">
        <v>125</v>
      </c>
      <c r="E254" s="2">
        <v>275</v>
      </c>
      <c r="F254" s="2">
        <v>7.8499999999999993E-3</v>
      </c>
      <c r="G254" s="2">
        <v>138.16</v>
      </c>
      <c r="H254" s="2">
        <v>9</v>
      </c>
      <c r="I254" s="22">
        <f t="shared" si="15"/>
        <v>1.2434400000000001</v>
      </c>
      <c r="J254" s="2"/>
    </row>
    <row r="255" spans="1:10" x14ac:dyDescent="0.25">
      <c r="A255" t="s">
        <v>865</v>
      </c>
      <c r="B255" s="2">
        <v>8</v>
      </c>
      <c r="C255" s="2">
        <v>200</v>
      </c>
      <c r="D255" s="2">
        <v>125</v>
      </c>
      <c r="E255" s="2">
        <v>325</v>
      </c>
      <c r="F255" s="2">
        <v>7.8499999999999993E-3</v>
      </c>
      <c r="G255" s="2">
        <v>163.27999999999997</v>
      </c>
      <c r="H255" s="2">
        <v>9</v>
      </c>
      <c r="I255" s="22">
        <f t="shared" si="15"/>
        <v>1.4695199999999997</v>
      </c>
      <c r="J255" s="2"/>
    </row>
    <row r="256" spans="1:10" x14ac:dyDescent="0.25">
      <c r="A256" t="s">
        <v>867</v>
      </c>
      <c r="B256" s="2">
        <v>8</v>
      </c>
      <c r="C256" s="2">
        <v>250</v>
      </c>
      <c r="D256" s="2">
        <v>125</v>
      </c>
      <c r="E256" s="2">
        <v>375</v>
      </c>
      <c r="F256" s="2">
        <v>7.8499999999999993E-3</v>
      </c>
      <c r="G256" s="2">
        <v>188.39999999999998</v>
      </c>
      <c r="H256" s="2">
        <v>9</v>
      </c>
      <c r="I256" s="22">
        <f t="shared" si="15"/>
        <v>1.6956</v>
      </c>
      <c r="J256" s="2"/>
    </row>
    <row r="257" spans="1:10" x14ac:dyDescent="0.25">
      <c r="A257" t="s">
        <v>869</v>
      </c>
      <c r="B257" s="2">
        <v>8</v>
      </c>
      <c r="C257" s="2">
        <v>300</v>
      </c>
      <c r="D257" s="2">
        <v>125</v>
      </c>
      <c r="E257" s="2">
        <v>425</v>
      </c>
      <c r="F257" s="2">
        <v>7.8499999999999993E-3</v>
      </c>
      <c r="G257" s="2">
        <v>213.51999999999998</v>
      </c>
      <c r="H257" s="2">
        <v>9</v>
      </c>
      <c r="I257" s="22">
        <f t="shared" si="15"/>
        <v>1.9216799999999998</v>
      </c>
      <c r="J257" s="2"/>
    </row>
    <row r="258" spans="1:10" x14ac:dyDescent="0.25">
      <c r="A258" t="s">
        <v>871</v>
      </c>
      <c r="B258" s="2">
        <v>8</v>
      </c>
      <c r="C258" s="2">
        <v>350</v>
      </c>
      <c r="D258" s="2">
        <v>125</v>
      </c>
      <c r="E258" s="2">
        <v>475</v>
      </c>
      <c r="F258" s="2">
        <v>7.8499999999999993E-3</v>
      </c>
      <c r="G258" s="2">
        <v>238.64</v>
      </c>
      <c r="H258" s="2">
        <v>9</v>
      </c>
      <c r="I258" s="22">
        <f t="shared" si="15"/>
        <v>2.1477599999999999</v>
      </c>
      <c r="J258" s="2"/>
    </row>
    <row r="259" spans="1:10" x14ac:dyDescent="0.25">
      <c r="A259" t="s">
        <v>873</v>
      </c>
      <c r="B259" s="2">
        <v>8</v>
      </c>
      <c r="C259" s="2">
        <v>400</v>
      </c>
      <c r="D259" s="2">
        <v>125</v>
      </c>
      <c r="E259" s="2">
        <v>525</v>
      </c>
      <c r="F259" s="2">
        <v>7.8499999999999993E-3</v>
      </c>
      <c r="G259" s="2">
        <v>263.76</v>
      </c>
      <c r="H259" s="2">
        <v>9</v>
      </c>
      <c r="I259" s="22">
        <f t="shared" si="15"/>
        <v>2.37384</v>
      </c>
      <c r="J259" s="2"/>
    </row>
    <row r="260" spans="1:10" x14ac:dyDescent="0.25">
      <c r="A260" t="s">
        <v>875</v>
      </c>
      <c r="B260" s="2">
        <v>8</v>
      </c>
      <c r="C260" s="2">
        <v>450</v>
      </c>
      <c r="D260" s="2">
        <v>125</v>
      </c>
      <c r="E260" s="2">
        <v>575</v>
      </c>
      <c r="F260" s="2">
        <v>7.8499999999999993E-3</v>
      </c>
      <c r="G260" s="2">
        <v>288.88</v>
      </c>
      <c r="H260" s="2">
        <v>9</v>
      </c>
      <c r="I260" s="22">
        <f t="shared" si="15"/>
        <v>2.59992</v>
      </c>
      <c r="J260" s="2"/>
    </row>
    <row r="261" spans="1:10" x14ac:dyDescent="0.25">
      <c r="A261" t="s">
        <v>877</v>
      </c>
      <c r="B261" s="2">
        <v>8</v>
      </c>
      <c r="C261" s="2">
        <v>500</v>
      </c>
      <c r="D261" s="2">
        <v>125</v>
      </c>
      <c r="E261" s="2">
        <v>625</v>
      </c>
      <c r="F261" s="2">
        <v>7.8499999999999993E-3</v>
      </c>
      <c r="G261" s="2">
        <v>314</v>
      </c>
      <c r="H261" s="2">
        <v>9</v>
      </c>
      <c r="I261" s="22">
        <f t="shared" si="15"/>
        <v>2.8260000000000001</v>
      </c>
      <c r="J261" s="2"/>
    </row>
    <row r="262" spans="1:10" x14ac:dyDescent="0.25">
      <c r="A262" t="s">
        <v>879</v>
      </c>
      <c r="B262" s="2">
        <v>4</v>
      </c>
      <c r="C262" s="2">
        <v>75</v>
      </c>
      <c r="D262" s="2">
        <v>98</v>
      </c>
      <c r="E262" s="2">
        <v>173</v>
      </c>
      <c r="F262" s="2">
        <v>7.8499999999999993E-3</v>
      </c>
      <c r="G262" s="2">
        <v>21.7288</v>
      </c>
      <c r="H262" s="2">
        <v>10</v>
      </c>
      <c r="I262" s="22">
        <f t="shared" si="15"/>
        <v>0.21728800000000001</v>
      </c>
      <c r="J262" s="2"/>
    </row>
    <row r="263" spans="1:10" x14ac:dyDescent="0.25">
      <c r="A263" t="s">
        <v>881</v>
      </c>
      <c r="B263" s="2">
        <v>4</v>
      </c>
      <c r="C263" s="2">
        <v>100</v>
      </c>
      <c r="D263" s="2">
        <v>98</v>
      </c>
      <c r="E263" s="2">
        <v>198</v>
      </c>
      <c r="F263" s="2">
        <v>7.8499999999999993E-3</v>
      </c>
      <c r="G263" s="2">
        <v>24.868799999999997</v>
      </c>
      <c r="H263" s="2">
        <v>10</v>
      </c>
      <c r="I263" s="22">
        <f t="shared" si="15"/>
        <v>0.24868799999999996</v>
      </c>
      <c r="J263" s="2"/>
    </row>
    <row r="264" spans="1:10" x14ac:dyDescent="0.25">
      <c r="A264" t="s">
        <v>883</v>
      </c>
      <c r="B264" s="2">
        <v>5</v>
      </c>
      <c r="C264" s="2">
        <v>100</v>
      </c>
      <c r="D264" s="2">
        <v>98</v>
      </c>
      <c r="E264" s="2">
        <v>198</v>
      </c>
      <c r="F264" s="2">
        <v>7.8499999999999993E-3</v>
      </c>
      <c r="G264" s="2">
        <v>38.857499999999995</v>
      </c>
      <c r="H264" s="2">
        <v>10</v>
      </c>
      <c r="I264" s="22">
        <f t="shared" si="15"/>
        <v>0.38857499999999995</v>
      </c>
      <c r="J264" s="2"/>
    </row>
    <row r="265" spans="1:10" x14ac:dyDescent="0.25">
      <c r="A265" t="s">
        <v>885</v>
      </c>
      <c r="B265" s="2">
        <v>5</v>
      </c>
      <c r="C265" s="2">
        <v>125</v>
      </c>
      <c r="D265" s="2">
        <v>98</v>
      </c>
      <c r="E265" s="2">
        <v>223</v>
      </c>
      <c r="F265" s="2">
        <v>7.8499999999999993E-3</v>
      </c>
      <c r="G265" s="2">
        <v>43.763749999999995</v>
      </c>
      <c r="H265" s="2">
        <v>10</v>
      </c>
      <c r="I265" s="22">
        <f t="shared" si="15"/>
        <v>0.43763749999999996</v>
      </c>
      <c r="J265" s="2"/>
    </row>
    <row r="266" spans="1:10" x14ac:dyDescent="0.25">
      <c r="A266" t="s">
        <v>887</v>
      </c>
      <c r="B266" s="2">
        <v>5</v>
      </c>
      <c r="C266" s="2">
        <v>150</v>
      </c>
      <c r="D266" s="2">
        <v>98</v>
      </c>
      <c r="E266" s="2">
        <v>248</v>
      </c>
      <c r="F266" s="2">
        <v>7.8499999999999993E-3</v>
      </c>
      <c r="G266" s="2">
        <v>48.669999999999995</v>
      </c>
      <c r="H266" s="2">
        <v>10</v>
      </c>
      <c r="I266" s="22">
        <f t="shared" si="15"/>
        <v>0.48669999999999991</v>
      </c>
      <c r="J266" s="2"/>
    </row>
    <row r="267" spans="1:10" x14ac:dyDescent="0.25">
      <c r="A267" t="s">
        <v>889</v>
      </c>
      <c r="B267" s="2">
        <v>5</v>
      </c>
      <c r="C267" s="2">
        <v>200</v>
      </c>
      <c r="D267" s="2">
        <v>98</v>
      </c>
      <c r="E267" s="2">
        <v>298</v>
      </c>
      <c r="F267" s="2">
        <v>7.8499999999999993E-3</v>
      </c>
      <c r="G267" s="2">
        <v>58.482499999999995</v>
      </c>
      <c r="H267" s="2">
        <v>10</v>
      </c>
      <c r="I267" s="22">
        <f t="shared" si="15"/>
        <v>0.58482499999999993</v>
      </c>
      <c r="J267" s="2"/>
    </row>
    <row r="268" spans="1:10" x14ac:dyDescent="0.25">
      <c r="A268" t="s">
        <v>891</v>
      </c>
      <c r="B268" s="2">
        <v>5</v>
      </c>
      <c r="C268" s="2">
        <v>250</v>
      </c>
      <c r="D268" s="2">
        <v>98</v>
      </c>
      <c r="E268" s="2">
        <v>348</v>
      </c>
      <c r="F268" s="2">
        <v>7.8499999999999993E-3</v>
      </c>
      <c r="G268" s="2">
        <v>68.294999999999987</v>
      </c>
      <c r="H268" s="2">
        <v>10</v>
      </c>
      <c r="I268" s="22">
        <f t="shared" si="15"/>
        <v>0.68294999999999983</v>
      </c>
      <c r="J268" s="2"/>
    </row>
    <row r="269" spans="1:10" x14ac:dyDescent="0.25">
      <c r="A269" t="s">
        <v>893</v>
      </c>
      <c r="B269" s="2">
        <v>5</v>
      </c>
      <c r="C269" s="2">
        <v>300</v>
      </c>
      <c r="D269" s="2">
        <v>98</v>
      </c>
      <c r="E269" s="2">
        <v>398</v>
      </c>
      <c r="F269" s="2">
        <v>7.8499999999999993E-3</v>
      </c>
      <c r="G269" s="2">
        <v>78.107499999999987</v>
      </c>
      <c r="H269" s="2">
        <v>10</v>
      </c>
      <c r="I269" s="22">
        <f t="shared" si="15"/>
        <v>0.78107499999999985</v>
      </c>
      <c r="J269" s="2"/>
    </row>
    <row r="270" spans="1:10" x14ac:dyDescent="0.25">
      <c r="A270" t="s">
        <v>895</v>
      </c>
      <c r="B270" s="2">
        <v>6</v>
      </c>
      <c r="C270" s="2">
        <v>100</v>
      </c>
      <c r="D270" s="2">
        <v>119</v>
      </c>
      <c r="E270" s="2">
        <v>219</v>
      </c>
      <c r="F270" s="2">
        <v>7.8499999999999993E-3</v>
      </c>
      <c r="G270" s="2">
        <v>61.889399999999995</v>
      </c>
      <c r="H270" s="2">
        <v>9</v>
      </c>
      <c r="I270" s="22">
        <f t="shared" si="15"/>
        <v>0.55700459999999996</v>
      </c>
      <c r="J270" s="2"/>
    </row>
    <row r="271" spans="1:10" x14ac:dyDescent="0.25">
      <c r="A271" t="s">
        <v>897</v>
      </c>
      <c r="B271" s="2">
        <v>6</v>
      </c>
      <c r="C271" s="2">
        <v>125</v>
      </c>
      <c r="D271" s="2">
        <v>119</v>
      </c>
      <c r="E271" s="2">
        <v>244</v>
      </c>
      <c r="F271" s="2">
        <v>7.8499999999999993E-3</v>
      </c>
      <c r="G271" s="2">
        <v>68.954399999999993</v>
      </c>
      <c r="H271" s="2">
        <v>9</v>
      </c>
      <c r="I271" s="22">
        <f t="shared" si="15"/>
        <v>0.62058959999999985</v>
      </c>
      <c r="J271" s="2"/>
    </row>
    <row r="272" spans="1:10" x14ac:dyDescent="0.25">
      <c r="A272" t="s">
        <v>899</v>
      </c>
      <c r="B272" s="2">
        <v>6</v>
      </c>
      <c r="C272" s="2">
        <v>150</v>
      </c>
      <c r="D272" s="2">
        <v>119</v>
      </c>
      <c r="E272" s="2">
        <v>269</v>
      </c>
      <c r="F272" s="2">
        <v>7.8499999999999993E-3</v>
      </c>
      <c r="G272" s="2">
        <v>76.01939999999999</v>
      </c>
      <c r="H272" s="2">
        <v>9</v>
      </c>
      <c r="I272" s="22">
        <f t="shared" si="15"/>
        <v>0.68417459999999997</v>
      </c>
      <c r="J272" s="2"/>
    </row>
    <row r="273" spans="1:10" x14ac:dyDescent="0.25">
      <c r="A273" t="s">
        <v>901</v>
      </c>
      <c r="B273" s="2">
        <v>6</v>
      </c>
      <c r="C273" s="2">
        <v>200</v>
      </c>
      <c r="D273" s="2">
        <v>119</v>
      </c>
      <c r="E273" s="2">
        <v>319</v>
      </c>
      <c r="F273" s="2">
        <v>7.8499999999999993E-3</v>
      </c>
      <c r="G273" s="2">
        <v>90.149399999999986</v>
      </c>
      <c r="H273" s="2">
        <v>9</v>
      </c>
      <c r="I273" s="22">
        <f t="shared" si="15"/>
        <v>0.81134459999999986</v>
      </c>
      <c r="J273" s="2"/>
    </row>
    <row r="274" spans="1:10" x14ac:dyDescent="0.25">
      <c r="A274" t="s">
        <v>903</v>
      </c>
      <c r="B274" s="2">
        <v>6</v>
      </c>
      <c r="C274" s="2">
        <v>250</v>
      </c>
      <c r="D274" s="2">
        <v>119</v>
      </c>
      <c r="E274" s="2">
        <v>369</v>
      </c>
      <c r="F274" s="2">
        <v>7.8499999999999993E-3</v>
      </c>
      <c r="G274" s="2">
        <v>104.2794</v>
      </c>
      <c r="H274" s="2">
        <v>9</v>
      </c>
      <c r="I274" s="22">
        <f t="shared" si="15"/>
        <v>0.93851459999999998</v>
      </c>
      <c r="J274" s="2"/>
    </row>
    <row r="275" spans="1:10" x14ac:dyDescent="0.25">
      <c r="A275" t="s">
        <v>905</v>
      </c>
      <c r="B275" s="2">
        <v>6</v>
      </c>
      <c r="C275" s="2">
        <v>300</v>
      </c>
      <c r="D275" s="2">
        <v>119</v>
      </c>
      <c r="E275" s="2">
        <v>419</v>
      </c>
      <c r="F275" s="2">
        <v>7.8499999999999993E-3</v>
      </c>
      <c r="G275" s="2">
        <v>118.40939999999999</v>
      </c>
      <c r="H275" s="2">
        <v>9</v>
      </c>
      <c r="I275" s="22">
        <f t="shared" si="15"/>
        <v>1.0656845999999998</v>
      </c>
      <c r="J275" s="2"/>
    </row>
    <row r="276" spans="1:10" x14ac:dyDescent="0.25">
      <c r="A276" t="s">
        <v>907</v>
      </c>
      <c r="B276" s="2">
        <v>6</v>
      </c>
      <c r="C276" s="2">
        <v>350</v>
      </c>
      <c r="D276" s="2">
        <v>119</v>
      </c>
      <c r="E276" s="2">
        <v>469</v>
      </c>
      <c r="F276" s="2">
        <v>7.8499999999999993E-3</v>
      </c>
      <c r="G276" s="2">
        <v>132.5394</v>
      </c>
      <c r="H276" s="2">
        <v>9</v>
      </c>
      <c r="I276" s="22">
        <f t="shared" si="15"/>
        <v>1.1928546000000002</v>
      </c>
      <c r="J276" s="2"/>
    </row>
    <row r="277" spans="1:10" x14ac:dyDescent="0.25">
      <c r="A277" t="s">
        <v>909</v>
      </c>
      <c r="B277" s="2">
        <v>6</v>
      </c>
      <c r="C277" s="2">
        <v>400</v>
      </c>
      <c r="D277" s="2">
        <v>119</v>
      </c>
      <c r="E277" s="2">
        <v>519</v>
      </c>
      <c r="F277" s="2">
        <v>7.8499999999999993E-3</v>
      </c>
      <c r="G277" s="2">
        <v>146.6694</v>
      </c>
      <c r="H277" s="2">
        <v>9</v>
      </c>
      <c r="I277" s="22">
        <f t="shared" si="15"/>
        <v>1.3200246</v>
      </c>
      <c r="J277" s="2"/>
    </row>
    <row r="278" spans="1:10" x14ac:dyDescent="0.25">
      <c r="A278" t="s">
        <v>911</v>
      </c>
      <c r="B278" s="2">
        <v>7</v>
      </c>
      <c r="C278" s="2">
        <v>150</v>
      </c>
      <c r="D278" s="2">
        <v>134</v>
      </c>
      <c r="E278" s="2">
        <v>284</v>
      </c>
      <c r="F278" s="2">
        <v>7.8499999999999993E-3</v>
      </c>
      <c r="G278" s="2">
        <v>109.24059999999999</v>
      </c>
      <c r="H278" s="2">
        <v>9</v>
      </c>
      <c r="I278" s="22">
        <f t="shared" si="15"/>
        <v>0.98316539999999986</v>
      </c>
      <c r="J278" s="2"/>
    </row>
    <row r="279" spans="1:10" x14ac:dyDescent="0.25">
      <c r="A279" t="s">
        <v>913</v>
      </c>
      <c r="B279" s="2">
        <v>7</v>
      </c>
      <c r="C279" s="2">
        <v>175</v>
      </c>
      <c r="D279" s="2">
        <v>134</v>
      </c>
      <c r="E279" s="2">
        <v>309</v>
      </c>
      <c r="F279" s="2">
        <v>7.8499999999999993E-3</v>
      </c>
      <c r="G279" s="2">
        <v>118.85684999999999</v>
      </c>
      <c r="H279" s="2">
        <v>9</v>
      </c>
      <c r="I279" s="22">
        <f t="shared" si="15"/>
        <v>1.0697116499999999</v>
      </c>
      <c r="J279" s="2"/>
    </row>
    <row r="280" spans="1:10" x14ac:dyDescent="0.25">
      <c r="A280" t="s">
        <v>915</v>
      </c>
      <c r="B280" s="2">
        <v>7</v>
      </c>
      <c r="C280" s="2">
        <v>200</v>
      </c>
      <c r="D280" s="2">
        <v>134</v>
      </c>
      <c r="E280" s="2">
        <v>334</v>
      </c>
      <c r="F280" s="2">
        <v>7.8499999999999993E-3</v>
      </c>
      <c r="G280" s="2">
        <v>128.47309999999999</v>
      </c>
      <c r="H280" s="2">
        <v>9</v>
      </c>
      <c r="I280" s="22">
        <f t="shared" si="15"/>
        <v>1.1562578999999997</v>
      </c>
      <c r="J280" s="2"/>
    </row>
    <row r="281" spans="1:10" x14ac:dyDescent="0.25">
      <c r="A281" t="s">
        <v>917</v>
      </c>
      <c r="B281" s="2">
        <v>7</v>
      </c>
      <c r="C281" s="2">
        <v>250</v>
      </c>
      <c r="D281" s="2">
        <v>134</v>
      </c>
      <c r="E281" s="2">
        <v>384</v>
      </c>
      <c r="F281" s="2">
        <v>7.8499999999999993E-3</v>
      </c>
      <c r="G281" s="2">
        <v>147.70559999999998</v>
      </c>
      <c r="H281" s="2">
        <v>9</v>
      </c>
      <c r="I281" s="22">
        <f t="shared" si="15"/>
        <v>1.3293503999999998</v>
      </c>
      <c r="J281" s="2"/>
    </row>
    <row r="282" spans="1:10" x14ac:dyDescent="0.25">
      <c r="A282" t="s">
        <v>919</v>
      </c>
      <c r="B282" s="2">
        <v>7</v>
      </c>
      <c r="C282" s="2">
        <v>300</v>
      </c>
      <c r="D282" s="2">
        <v>134</v>
      </c>
      <c r="E282" s="2">
        <v>434</v>
      </c>
      <c r="F282" s="2">
        <v>7.8499999999999993E-3</v>
      </c>
      <c r="G282" s="2">
        <v>166.93809999999999</v>
      </c>
      <c r="H282" s="2">
        <v>9</v>
      </c>
      <c r="I282" s="22">
        <f t="shared" si="15"/>
        <v>1.5024428999999999</v>
      </c>
      <c r="J282" s="2"/>
    </row>
    <row r="283" spans="1:10" x14ac:dyDescent="0.25">
      <c r="A283" t="s">
        <v>921</v>
      </c>
      <c r="B283" s="2">
        <v>7</v>
      </c>
      <c r="C283" s="2">
        <v>350</v>
      </c>
      <c r="D283" s="2">
        <v>134</v>
      </c>
      <c r="E283" s="2">
        <v>484</v>
      </c>
      <c r="F283" s="2">
        <v>7.8499999999999993E-3</v>
      </c>
      <c r="G283" s="2">
        <v>186.17059999999998</v>
      </c>
      <c r="H283" s="2">
        <v>9</v>
      </c>
      <c r="I283" s="22">
        <f t="shared" si="15"/>
        <v>1.6755353999999998</v>
      </c>
      <c r="J283" s="2"/>
    </row>
    <row r="284" spans="1:10" x14ac:dyDescent="0.25">
      <c r="A284" t="s">
        <v>923</v>
      </c>
      <c r="B284" s="2">
        <v>7</v>
      </c>
      <c r="C284" s="2">
        <v>400</v>
      </c>
      <c r="D284" s="2">
        <v>134</v>
      </c>
      <c r="E284" s="2">
        <v>534</v>
      </c>
      <c r="F284" s="2">
        <v>7.8499999999999993E-3</v>
      </c>
      <c r="G284" s="2">
        <v>205.40309999999999</v>
      </c>
      <c r="H284" s="2">
        <v>9</v>
      </c>
      <c r="I284" s="22">
        <f t="shared" si="15"/>
        <v>1.8486278999999999</v>
      </c>
      <c r="J284" s="2"/>
    </row>
    <row r="285" spans="1:10" x14ac:dyDescent="0.25">
      <c r="A285" t="s">
        <v>925</v>
      </c>
      <c r="B285" s="2">
        <v>7</v>
      </c>
      <c r="C285" s="2">
        <v>450</v>
      </c>
      <c r="D285" s="2">
        <v>134</v>
      </c>
      <c r="E285" s="2">
        <v>584</v>
      </c>
      <c r="F285" s="2">
        <v>7.8499999999999993E-3</v>
      </c>
      <c r="G285" s="2">
        <v>224.63559999999998</v>
      </c>
      <c r="H285" s="2">
        <v>9</v>
      </c>
      <c r="I285" s="22">
        <f t="shared" si="15"/>
        <v>2.0217204</v>
      </c>
      <c r="J285" s="2"/>
    </row>
    <row r="286" spans="1:10" x14ac:dyDescent="0.25">
      <c r="A286" t="s">
        <v>927</v>
      </c>
      <c r="B286" s="2">
        <v>7</v>
      </c>
      <c r="C286" s="2">
        <v>500</v>
      </c>
      <c r="D286" s="2">
        <v>134</v>
      </c>
      <c r="E286" s="2">
        <v>634</v>
      </c>
      <c r="F286" s="2">
        <v>7.8499999999999993E-3</v>
      </c>
      <c r="G286" s="2">
        <v>243.86809999999997</v>
      </c>
      <c r="H286" s="2">
        <v>9</v>
      </c>
      <c r="I286" s="22">
        <f t="shared" si="15"/>
        <v>2.1948129000000001</v>
      </c>
      <c r="J286" s="2"/>
    </row>
    <row r="287" spans="1:10" x14ac:dyDescent="0.25">
      <c r="A287" t="s">
        <v>929</v>
      </c>
      <c r="B287" s="2">
        <v>8</v>
      </c>
      <c r="C287" s="2">
        <v>175</v>
      </c>
      <c r="D287" s="2">
        <v>134</v>
      </c>
      <c r="E287" s="2">
        <v>309</v>
      </c>
      <c r="F287" s="2">
        <v>7.8499999999999993E-3</v>
      </c>
      <c r="G287" s="2">
        <v>155.24159999999998</v>
      </c>
      <c r="H287" s="2">
        <v>9</v>
      </c>
      <c r="I287" s="22">
        <f t="shared" si="15"/>
        <v>1.3971743999999999</v>
      </c>
      <c r="J287" s="2"/>
    </row>
    <row r="288" spans="1:10" x14ac:dyDescent="0.25">
      <c r="A288" t="s">
        <v>931</v>
      </c>
      <c r="B288" s="2">
        <v>8</v>
      </c>
      <c r="C288" s="2">
        <v>200</v>
      </c>
      <c r="D288" s="2">
        <v>134</v>
      </c>
      <c r="E288" s="2">
        <v>334</v>
      </c>
      <c r="F288" s="2">
        <v>7.8499999999999993E-3</v>
      </c>
      <c r="G288" s="2">
        <v>167.80159999999998</v>
      </c>
      <c r="H288" s="2">
        <v>9</v>
      </c>
      <c r="I288" s="22">
        <f t="shared" si="15"/>
        <v>1.5102143999999997</v>
      </c>
      <c r="J288" s="2"/>
    </row>
    <row r="289" spans="1:10" x14ac:dyDescent="0.25">
      <c r="A289" t="s">
        <v>933</v>
      </c>
      <c r="B289" s="2">
        <v>8</v>
      </c>
      <c r="C289" s="2">
        <v>250</v>
      </c>
      <c r="D289" s="2">
        <v>134</v>
      </c>
      <c r="E289" s="2">
        <v>384</v>
      </c>
      <c r="F289" s="2">
        <v>7.8499999999999993E-3</v>
      </c>
      <c r="G289" s="2">
        <v>192.92159999999998</v>
      </c>
      <c r="H289" s="2">
        <v>9</v>
      </c>
      <c r="I289" s="22">
        <f t="shared" si="15"/>
        <v>1.7362943999999998</v>
      </c>
      <c r="J289" s="2"/>
    </row>
    <row r="290" spans="1:10" x14ac:dyDescent="0.25">
      <c r="A290" t="s">
        <v>935</v>
      </c>
      <c r="B290" s="2">
        <v>8</v>
      </c>
      <c r="C290" s="2">
        <v>300</v>
      </c>
      <c r="D290" s="2">
        <v>134</v>
      </c>
      <c r="E290" s="2">
        <v>434</v>
      </c>
      <c r="F290" s="2">
        <v>7.8499999999999993E-3</v>
      </c>
      <c r="G290" s="2">
        <v>218.04159999999999</v>
      </c>
      <c r="H290" s="2">
        <v>9</v>
      </c>
      <c r="I290" s="22">
        <f t="shared" si="15"/>
        <v>1.9623743999999999</v>
      </c>
      <c r="J290" s="2"/>
    </row>
    <row r="291" spans="1:10" x14ac:dyDescent="0.25">
      <c r="A291" t="s">
        <v>937</v>
      </c>
      <c r="B291" s="2">
        <v>8</v>
      </c>
      <c r="C291" s="2">
        <v>350</v>
      </c>
      <c r="D291" s="2">
        <v>134</v>
      </c>
      <c r="E291" s="2">
        <v>484</v>
      </c>
      <c r="F291" s="2">
        <v>7.8499999999999993E-3</v>
      </c>
      <c r="G291" s="2">
        <v>243.16159999999999</v>
      </c>
      <c r="H291" s="2">
        <v>9</v>
      </c>
      <c r="I291" s="22">
        <f t="shared" si="15"/>
        <v>2.1884543999999999</v>
      </c>
      <c r="J291" s="2"/>
    </row>
    <row r="292" spans="1:10" x14ac:dyDescent="0.25">
      <c r="A292" t="s">
        <v>939</v>
      </c>
      <c r="B292" s="2">
        <v>8</v>
      </c>
      <c r="C292" s="2">
        <v>400</v>
      </c>
      <c r="D292" s="2">
        <v>134</v>
      </c>
      <c r="E292" s="2">
        <v>534</v>
      </c>
      <c r="F292" s="2">
        <v>7.8499999999999993E-3</v>
      </c>
      <c r="G292" s="2">
        <v>268.28159999999997</v>
      </c>
      <c r="H292" s="2">
        <v>9</v>
      </c>
      <c r="I292" s="22">
        <f t="shared" si="15"/>
        <v>2.4145343999999995</v>
      </c>
      <c r="J292" s="2"/>
    </row>
    <row r="293" spans="1:10" x14ac:dyDescent="0.25">
      <c r="A293" t="s">
        <v>941</v>
      </c>
      <c r="B293" s="2">
        <v>8</v>
      </c>
      <c r="C293" s="2">
        <v>450</v>
      </c>
      <c r="D293" s="2">
        <v>134</v>
      </c>
      <c r="E293" s="2">
        <v>584</v>
      </c>
      <c r="F293" s="2">
        <v>7.8499999999999993E-3</v>
      </c>
      <c r="G293" s="2">
        <v>293.40159999999997</v>
      </c>
      <c r="H293" s="2">
        <v>9</v>
      </c>
      <c r="I293" s="22">
        <f t="shared" si="15"/>
        <v>2.6406144</v>
      </c>
      <c r="J293" s="2"/>
    </row>
    <row r="294" spans="1:10" x14ac:dyDescent="0.25">
      <c r="A294" t="s">
        <v>943</v>
      </c>
      <c r="B294" s="2">
        <v>8</v>
      </c>
      <c r="C294" s="2">
        <v>500</v>
      </c>
      <c r="D294" s="2">
        <v>134</v>
      </c>
      <c r="E294" s="2">
        <v>634</v>
      </c>
      <c r="F294" s="2">
        <v>7.8499999999999993E-3</v>
      </c>
      <c r="G294" s="2">
        <v>318.52159999999998</v>
      </c>
      <c r="H294" s="2">
        <v>9</v>
      </c>
      <c r="I294" s="22">
        <f t="shared" si="15"/>
        <v>2.8666943999999996</v>
      </c>
      <c r="J294" s="2"/>
    </row>
  </sheetData>
  <phoneticPr fontId="1" type="noConversion"/>
  <pageMargins left="0.7" right="0.7" top="0.75" bottom="0.75" header="0.3" footer="0.3"/>
  <ignoredErrors>
    <ignoredError sqref="H14 H58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31"/>
  <sheetViews>
    <sheetView workbookViewId="0">
      <selection activeCell="K227" sqref="K227"/>
    </sheetView>
  </sheetViews>
  <sheetFormatPr defaultRowHeight="16.5" x14ac:dyDescent="0.25"/>
  <cols>
    <col min="1" max="1" width="15.625" customWidth="1"/>
    <col min="2" max="16" width="10.625" customWidth="1"/>
  </cols>
  <sheetData>
    <row r="1" spans="1:14" ht="21" x14ac:dyDescent="0.25">
      <c r="A1" s="25" t="s">
        <v>577</v>
      </c>
    </row>
    <row r="4" spans="1:14" ht="17.25" thickBot="1" x14ac:dyDescent="0.3"/>
    <row r="5" spans="1:14" x14ac:dyDescent="0.25">
      <c r="A5" t="s">
        <v>0</v>
      </c>
      <c r="B5" s="2" t="s">
        <v>443</v>
      </c>
      <c r="C5" s="2" t="s">
        <v>647</v>
      </c>
      <c r="D5" s="2" t="s">
        <v>449</v>
      </c>
      <c r="E5" s="2"/>
      <c r="F5" s="2"/>
      <c r="G5" s="61" t="s">
        <v>590</v>
      </c>
      <c r="H5" s="37" t="s">
        <v>591</v>
      </c>
      <c r="I5" s="37" t="s">
        <v>592</v>
      </c>
      <c r="J5" s="37" t="s">
        <v>1007</v>
      </c>
      <c r="K5" s="37" t="s">
        <v>764</v>
      </c>
      <c r="L5" s="44" t="s">
        <v>447</v>
      </c>
      <c r="M5" s="2"/>
      <c r="N5" s="2"/>
    </row>
    <row r="6" spans="1:14" x14ac:dyDescent="0.25">
      <c r="A6" t="s">
        <v>11</v>
      </c>
      <c r="B6" s="2">
        <v>3</v>
      </c>
      <c r="C6" s="34">
        <f>L6</f>
        <v>0.31900000000000006</v>
      </c>
      <c r="D6" s="20">
        <f>C6</f>
        <v>0.31900000000000006</v>
      </c>
      <c r="E6" s="3"/>
      <c r="F6" s="2"/>
      <c r="G6" s="62" t="s">
        <v>578</v>
      </c>
      <c r="H6" s="40">
        <v>0.09</v>
      </c>
      <c r="I6" s="40">
        <v>0.2</v>
      </c>
      <c r="J6" s="40">
        <f>I6+H6</f>
        <v>0.29000000000000004</v>
      </c>
      <c r="K6" s="40">
        <v>1.1000000000000001</v>
      </c>
      <c r="L6" s="70">
        <f>K6*J6</f>
        <v>0.31900000000000006</v>
      </c>
      <c r="M6" s="2"/>
      <c r="N6" s="2"/>
    </row>
    <row r="7" spans="1:14" x14ac:dyDescent="0.25">
      <c r="A7" t="s">
        <v>13</v>
      </c>
      <c r="B7" s="2">
        <v>3</v>
      </c>
      <c r="C7" s="34">
        <f>L6</f>
        <v>0.31900000000000006</v>
      </c>
      <c r="D7" s="20">
        <f t="shared" ref="D7:D70" si="0">C7</f>
        <v>0.31900000000000006</v>
      </c>
      <c r="E7" s="3"/>
      <c r="F7" s="2"/>
      <c r="G7" s="62" t="s">
        <v>579</v>
      </c>
      <c r="H7" s="40">
        <v>0.09</v>
      </c>
      <c r="I7" s="40">
        <v>0.2</v>
      </c>
      <c r="J7" s="40">
        <f t="shared" ref="J7:J17" si="1">I7+H7</f>
        <v>0.29000000000000004</v>
      </c>
      <c r="K7" s="40">
        <v>1.1000000000000001</v>
      </c>
      <c r="L7" s="70">
        <f t="shared" ref="L7:L17" si="2">K7*J7</f>
        <v>0.31900000000000006</v>
      </c>
      <c r="M7" s="2"/>
      <c r="N7" s="2"/>
    </row>
    <row r="8" spans="1:14" x14ac:dyDescent="0.25">
      <c r="A8" t="s">
        <v>15</v>
      </c>
      <c r="B8" s="2">
        <v>3</v>
      </c>
      <c r="C8" s="34">
        <f>L6</f>
        <v>0.31900000000000006</v>
      </c>
      <c r="D8" s="20">
        <f t="shared" si="0"/>
        <v>0.31900000000000006</v>
      </c>
      <c r="E8" s="3"/>
      <c r="F8" s="2"/>
      <c r="G8" s="62" t="s">
        <v>580</v>
      </c>
      <c r="H8" s="40">
        <v>0.18</v>
      </c>
      <c r="I8" s="40">
        <v>0.2</v>
      </c>
      <c r="J8" s="40">
        <f t="shared" si="1"/>
        <v>0.38</v>
      </c>
      <c r="K8" s="40">
        <v>1.1000000000000001</v>
      </c>
      <c r="L8" s="70">
        <f t="shared" si="2"/>
        <v>0.41800000000000004</v>
      </c>
      <c r="M8" s="2"/>
      <c r="N8" s="2"/>
    </row>
    <row r="9" spans="1:14" x14ac:dyDescent="0.25">
      <c r="A9" t="s">
        <v>17</v>
      </c>
      <c r="B9" s="2">
        <v>3</v>
      </c>
      <c r="C9" s="34">
        <f>L6</f>
        <v>0.31900000000000006</v>
      </c>
      <c r="D9" s="20">
        <f t="shared" si="0"/>
        <v>0.31900000000000006</v>
      </c>
      <c r="E9" s="3"/>
      <c r="F9" s="2"/>
      <c r="G9" s="62" t="s">
        <v>581</v>
      </c>
      <c r="H9" s="40">
        <v>0.21</v>
      </c>
      <c r="I9" s="40">
        <v>0.2</v>
      </c>
      <c r="J9" s="40">
        <f t="shared" si="1"/>
        <v>0.41000000000000003</v>
      </c>
      <c r="K9" s="40">
        <v>1.1000000000000001</v>
      </c>
      <c r="L9" s="70">
        <f t="shared" si="2"/>
        <v>0.45100000000000007</v>
      </c>
      <c r="M9" s="2"/>
      <c r="N9" s="2"/>
    </row>
    <row r="10" spans="1:14" x14ac:dyDescent="0.25">
      <c r="A10" t="s">
        <v>19</v>
      </c>
      <c r="B10" s="2">
        <v>3</v>
      </c>
      <c r="C10" s="34">
        <f>L6</f>
        <v>0.31900000000000006</v>
      </c>
      <c r="D10" s="20">
        <f t="shared" si="0"/>
        <v>0.31900000000000006</v>
      </c>
      <c r="E10" s="3"/>
      <c r="F10" s="2"/>
      <c r="G10" s="62" t="s">
        <v>582</v>
      </c>
      <c r="H10" s="40">
        <v>0.23</v>
      </c>
      <c r="I10" s="40">
        <v>0.2</v>
      </c>
      <c r="J10" s="40">
        <f t="shared" si="1"/>
        <v>0.43000000000000005</v>
      </c>
      <c r="K10" s="40">
        <v>1.1000000000000001</v>
      </c>
      <c r="L10" s="70">
        <f t="shared" si="2"/>
        <v>0.47300000000000009</v>
      </c>
      <c r="M10" s="2"/>
      <c r="N10" s="2"/>
    </row>
    <row r="11" spans="1:14" x14ac:dyDescent="0.25">
      <c r="A11" t="s">
        <v>21</v>
      </c>
      <c r="B11" s="2">
        <v>3</v>
      </c>
      <c r="C11" s="34">
        <f>L6</f>
        <v>0.31900000000000006</v>
      </c>
      <c r="D11" s="20">
        <f t="shared" si="0"/>
        <v>0.31900000000000006</v>
      </c>
      <c r="E11" s="3"/>
      <c r="F11" s="2"/>
      <c r="G11" s="62" t="s">
        <v>583</v>
      </c>
      <c r="H11" s="40">
        <v>0.23</v>
      </c>
      <c r="I11" s="40">
        <v>0.2</v>
      </c>
      <c r="J11" s="40">
        <f t="shared" si="1"/>
        <v>0.43000000000000005</v>
      </c>
      <c r="K11" s="40">
        <v>1.1000000000000001</v>
      </c>
      <c r="L11" s="70">
        <f t="shared" si="2"/>
        <v>0.47300000000000009</v>
      </c>
      <c r="M11" s="2"/>
      <c r="N11" s="2"/>
    </row>
    <row r="12" spans="1:14" x14ac:dyDescent="0.25">
      <c r="A12" t="s">
        <v>23</v>
      </c>
      <c r="B12" s="2">
        <v>3</v>
      </c>
      <c r="C12" s="34">
        <f>L6</f>
        <v>0.31900000000000006</v>
      </c>
      <c r="D12" s="20">
        <f t="shared" si="0"/>
        <v>0.31900000000000006</v>
      </c>
      <c r="E12" s="3"/>
      <c r="F12" s="2"/>
      <c r="G12" s="62" t="s">
        <v>584</v>
      </c>
      <c r="H12" s="40">
        <v>0.09</v>
      </c>
      <c r="I12" s="40">
        <v>0.2</v>
      </c>
      <c r="J12" s="40">
        <f t="shared" si="1"/>
        <v>0.29000000000000004</v>
      </c>
      <c r="K12" s="40">
        <v>1.1000000000000001</v>
      </c>
      <c r="L12" s="70">
        <f t="shared" si="2"/>
        <v>0.31900000000000006</v>
      </c>
      <c r="M12" s="2"/>
      <c r="N12" s="2"/>
    </row>
    <row r="13" spans="1:14" x14ac:dyDescent="0.25">
      <c r="A13" t="s">
        <v>25</v>
      </c>
      <c r="B13" s="2">
        <v>3</v>
      </c>
      <c r="C13" s="34">
        <f>L6</f>
        <v>0.31900000000000006</v>
      </c>
      <c r="D13" s="20">
        <f t="shared" si="0"/>
        <v>0.31900000000000006</v>
      </c>
      <c r="E13" s="3"/>
      <c r="F13" s="2"/>
      <c r="G13" s="62" t="s">
        <v>585</v>
      </c>
      <c r="H13" s="40">
        <v>0.09</v>
      </c>
      <c r="I13" s="40">
        <v>0.2</v>
      </c>
      <c r="J13" s="40">
        <f t="shared" si="1"/>
        <v>0.29000000000000004</v>
      </c>
      <c r="K13" s="40">
        <v>1.1000000000000001</v>
      </c>
      <c r="L13" s="70">
        <f t="shared" si="2"/>
        <v>0.31900000000000006</v>
      </c>
      <c r="M13" s="2"/>
      <c r="N13" s="2"/>
    </row>
    <row r="14" spans="1:14" x14ac:dyDescent="0.25">
      <c r="A14" t="s">
        <v>35</v>
      </c>
      <c r="B14" s="2">
        <v>5</v>
      </c>
      <c r="C14" s="34">
        <f>L8</f>
        <v>0.41800000000000004</v>
      </c>
      <c r="D14" s="20">
        <f t="shared" si="0"/>
        <v>0.41800000000000004</v>
      </c>
      <c r="E14" s="3"/>
      <c r="F14" s="2"/>
      <c r="G14" s="62" t="s">
        <v>586</v>
      </c>
      <c r="H14" s="40">
        <v>0.16</v>
      </c>
      <c r="I14" s="40">
        <v>0.2</v>
      </c>
      <c r="J14" s="40">
        <f t="shared" si="1"/>
        <v>0.36</v>
      </c>
      <c r="K14" s="40">
        <v>1.1000000000000001</v>
      </c>
      <c r="L14" s="70">
        <f t="shared" si="2"/>
        <v>0.39600000000000002</v>
      </c>
      <c r="M14" s="2"/>
      <c r="N14" s="2"/>
    </row>
    <row r="15" spans="1:14" x14ac:dyDescent="0.25">
      <c r="A15" t="s">
        <v>27</v>
      </c>
      <c r="B15" s="2">
        <v>5</v>
      </c>
      <c r="C15" s="34">
        <f>L8</f>
        <v>0.41800000000000004</v>
      </c>
      <c r="D15" s="20">
        <f t="shared" si="0"/>
        <v>0.41800000000000004</v>
      </c>
      <c r="E15" s="3"/>
      <c r="F15" s="2"/>
      <c r="G15" s="62" t="s">
        <v>587</v>
      </c>
      <c r="H15" s="40">
        <v>0.16</v>
      </c>
      <c r="I15" s="40">
        <v>0.2</v>
      </c>
      <c r="J15" s="40">
        <f t="shared" si="1"/>
        <v>0.36</v>
      </c>
      <c r="K15" s="40">
        <v>1.1000000000000001</v>
      </c>
      <c r="L15" s="70">
        <f t="shared" si="2"/>
        <v>0.39600000000000002</v>
      </c>
      <c r="M15" s="2"/>
      <c r="N15" s="2"/>
    </row>
    <row r="16" spans="1:14" x14ac:dyDescent="0.25">
      <c r="A16" t="s">
        <v>29</v>
      </c>
      <c r="B16" s="2">
        <v>5</v>
      </c>
      <c r="C16" s="34">
        <f>L8</f>
        <v>0.41800000000000004</v>
      </c>
      <c r="D16" s="20">
        <f t="shared" si="0"/>
        <v>0.41800000000000004</v>
      </c>
      <c r="E16" s="3"/>
      <c r="F16" s="2"/>
      <c r="G16" s="62" t="s">
        <v>588</v>
      </c>
      <c r="H16" s="40">
        <v>0.18</v>
      </c>
      <c r="I16" s="40">
        <v>0.2</v>
      </c>
      <c r="J16" s="40">
        <f t="shared" si="1"/>
        <v>0.38</v>
      </c>
      <c r="K16" s="40">
        <v>1.1000000000000001</v>
      </c>
      <c r="L16" s="70">
        <f t="shared" si="2"/>
        <v>0.41800000000000004</v>
      </c>
      <c r="M16" s="2"/>
      <c r="N16" s="2"/>
    </row>
    <row r="17" spans="1:14" ht="17.25" thickBot="1" x14ac:dyDescent="0.3">
      <c r="A17" t="s">
        <v>31</v>
      </c>
      <c r="B17" s="2">
        <v>5</v>
      </c>
      <c r="C17" s="34">
        <f>L8</f>
        <v>0.41800000000000004</v>
      </c>
      <c r="D17" s="20">
        <f t="shared" si="0"/>
        <v>0.41800000000000004</v>
      </c>
      <c r="E17" s="3"/>
      <c r="F17" s="2"/>
      <c r="G17" s="65" t="s">
        <v>589</v>
      </c>
      <c r="H17" s="43">
        <v>0.23</v>
      </c>
      <c r="I17" s="43">
        <v>0.2</v>
      </c>
      <c r="J17" s="43">
        <f t="shared" si="1"/>
        <v>0.43000000000000005</v>
      </c>
      <c r="K17" s="43">
        <v>1.1000000000000001</v>
      </c>
      <c r="L17" s="71">
        <f t="shared" si="2"/>
        <v>0.47300000000000009</v>
      </c>
      <c r="M17" s="2"/>
      <c r="N17" s="2"/>
    </row>
    <row r="18" spans="1:14" x14ac:dyDescent="0.25">
      <c r="A18" t="s">
        <v>33</v>
      </c>
      <c r="B18" s="2">
        <v>5</v>
      </c>
      <c r="C18" s="34">
        <f>L8</f>
        <v>0.41800000000000004</v>
      </c>
      <c r="D18" s="20">
        <f t="shared" si="0"/>
        <v>0.41800000000000004</v>
      </c>
      <c r="E18" s="3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t="s">
        <v>37</v>
      </c>
      <c r="B19" s="2">
        <v>5</v>
      </c>
      <c r="C19" s="34">
        <f>L8</f>
        <v>0.41800000000000004</v>
      </c>
      <c r="D19" s="20">
        <f t="shared" si="0"/>
        <v>0.41800000000000004</v>
      </c>
      <c r="E19" s="3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 t="s">
        <v>39</v>
      </c>
      <c r="B20" s="2">
        <v>5</v>
      </c>
      <c r="C20" s="34">
        <f>L8</f>
        <v>0.41800000000000004</v>
      </c>
      <c r="D20" s="20">
        <f t="shared" si="0"/>
        <v>0.41800000000000004</v>
      </c>
      <c r="E20" s="3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5">
      <c r="A21" t="s">
        <v>41</v>
      </c>
      <c r="B21" s="2">
        <v>5</v>
      </c>
      <c r="C21" s="34">
        <f>L8</f>
        <v>0.41800000000000004</v>
      </c>
      <c r="D21" s="20">
        <f t="shared" si="0"/>
        <v>0.41800000000000004</v>
      </c>
      <c r="E21" s="3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 t="s">
        <v>43</v>
      </c>
      <c r="B22" s="2">
        <v>5</v>
      </c>
      <c r="C22" s="34">
        <f>L8</f>
        <v>0.41800000000000004</v>
      </c>
      <c r="D22" s="20">
        <f t="shared" si="0"/>
        <v>0.41800000000000004</v>
      </c>
      <c r="E22" s="3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5">
      <c r="A23" t="s">
        <v>45</v>
      </c>
      <c r="B23" s="2">
        <v>5</v>
      </c>
      <c r="C23" s="34">
        <f>L8</f>
        <v>0.41800000000000004</v>
      </c>
      <c r="D23" s="20">
        <f t="shared" si="0"/>
        <v>0.41800000000000004</v>
      </c>
      <c r="E23" s="3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5">
      <c r="A24" t="s">
        <v>47</v>
      </c>
      <c r="B24" s="2">
        <v>5</v>
      </c>
      <c r="C24" s="34">
        <f>L8</f>
        <v>0.41800000000000004</v>
      </c>
      <c r="D24" s="20">
        <f t="shared" si="0"/>
        <v>0.41800000000000004</v>
      </c>
      <c r="E24" s="3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5">
      <c r="A25" t="s">
        <v>49</v>
      </c>
      <c r="B25" s="2">
        <v>6</v>
      </c>
      <c r="C25" s="34">
        <f>L9</f>
        <v>0.45100000000000007</v>
      </c>
      <c r="D25" s="20">
        <f t="shared" si="0"/>
        <v>0.45100000000000007</v>
      </c>
      <c r="E25" s="3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5">
      <c r="A26" t="s">
        <v>51</v>
      </c>
      <c r="B26" s="2">
        <v>6</v>
      </c>
      <c r="C26" s="34">
        <f>L9</f>
        <v>0.45100000000000007</v>
      </c>
      <c r="D26" s="20">
        <f t="shared" si="0"/>
        <v>0.45100000000000007</v>
      </c>
      <c r="E26" s="3"/>
      <c r="F26" s="2"/>
      <c r="G26" s="2"/>
      <c r="H26" s="2"/>
      <c r="I26" s="2"/>
      <c r="J26" s="2"/>
      <c r="K26" s="2"/>
      <c r="L26" s="2"/>
      <c r="M26" s="2"/>
    </row>
    <row r="27" spans="1:14" x14ac:dyDescent="0.25">
      <c r="A27" t="s">
        <v>53</v>
      </c>
      <c r="B27" s="2">
        <v>6</v>
      </c>
      <c r="C27" s="34">
        <f>L9</f>
        <v>0.45100000000000007</v>
      </c>
      <c r="D27" s="20">
        <f t="shared" si="0"/>
        <v>0.45100000000000007</v>
      </c>
      <c r="E27" s="3"/>
      <c r="F27" s="2"/>
      <c r="G27" s="2"/>
      <c r="H27" s="2"/>
      <c r="I27" s="2"/>
      <c r="J27" s="2"/>
      <c r="K27" s="2"/>
      <c r="L27" s="2"/>
      <c r="M27" s="2"/>
    </row>
    <row r="28" spans="1:14" x14ac:dyDescent="0.25">
      <c r="A28" t="s">
        <v>55</v>
      </c>
      <c r="B28" s="2">
        <v>6</v>
      </c>
      <c r="C28" s="34">
        <f>L9</f>
        <v>0.45100000000000007</v>
      </c>
      <c r="D28" s="20">
        <f t="shared" si="0"/>
        <v>0.45100000000000007</v>
      </c>
      <c r="E28" s="3"/>
      <c r="F28" s="2"/>
      <c r="G28" s="2"/>
      <c r="H28" s="2"/>
      <c r="I28" s="2"/>
      <c r="J28" s="2"/>
      <c r="K28" s="2"/>
      <c r="L28" s="2"/>
      <c r="M28" s="2"/>
    </row>
    <row r="29" spans="1:14" x14ac:dyDescent="0.25">
      <c r="A29" t="s">
        <v>57</v>
      </c>
      <c r="B29" s="2">
        <v>6</v>
      </c>
      <c r="C29" s="34">
        <f>L9</f>
        <v>0.45100000000000007</v>
      </c>
      <c r="D29" s="20">
        <f t="shared" si="0"/>
        <v>0.45100000000000007</v>
      </c>
      <c r="E29" s="3"/>
      <c r="F29" s="2"/>
      <c r="G29" s="2"/>
      <c r="H29" s="2"/>
      <c r="I29" s="2"/>
      <c r="J29" s="2"/>
      <c r="K29" s="2"/>
      <c r="L29" s="2"/>
      <c r="M29" s="2"/>
    </row>
    <row r="30" spans="1:14" x14ac:dyDescent="0.25">
      <c r="A30" t="s">
        <v>59</v>
      </c>
      <c r="B30" s="2">
        <v>6</v>
      </c>
      <c r="C30" s="34">
        <f>L9</f>
        <v>0.45100000000000007</v>
      </c>
      <c r="D30" s="20">
        <f t="shared" si="0"/>
        <v>0.45100000000000007</v>
      </c>
      <c r="E30" s="3"/>
      <c r="F30" s="2"/>
      <c r="G30" s="2"/>
      <c r="H30" s="2"/>
      <c r="I30" s="2"/>
      <c r="J30" s="2"/>
      <c r="K30" s="2"/>
      <c r="L30" s="2"/>
      <c r="M30" s="2"/>
    </row>
    <row r="31" spans="1:14" x14ac:dyDescent="0.25">
      <c r="A31" t="s">
        <v>61</v>
      </c>
      <c r="B31" s="2">
        <v>6</v>
      </c>
      <c r="C31" s="34">
        <f>L9</f>
        <v>0.45100000000000007</v>
      </c>
      <c r="D31" s="20">
        <f t="shared" si="0"/>
        <v>0.45100000000000007</v>
      </c>
      <c r="E31" s="3"/>
      <c r="F31" s="2"/>
      <c r="G31" s="2"/>
      <c r="H31" s="2"/>
      <c r="I31" s="2"/>
      <c r="J31" s="2"/>
      <c r="K31" s="2"/>
      <c r="L31" s="2"/>
      <c r="M31" s="2"/>
    </row>
    <row r="32" spans="1:14" x14ac:dyDescent="0.25">
      <c r="A32" t="s">
        <v>63</v>
      </c>
      <c r="B32" s="2">
        <v>6</v>
      </c>
      <c r="C32" s="34">
        <f>L9</f>
        <v>0.45100000000000007</v>
      </c>
      <c r="D32" s="20">
        <f t="shared" si="0"/>
        <v>0.45100000000000007</v>
      </c>
      <c r="E32" s="3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t="s">
        <v>65</v>
      </c>
      <c r="B33" s="2">
        <v>6</v>
      </c>
      <c r="C33" s="34">
        <f>L9</f>
        <v>0.45100000000000007</v>
      </c>
      <c r="D33" s="20">
        <f t="shared" si="0"/>
        <v>0.45100000000000007</v>
      </c>
      <c r="E33" s="3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t="s">
        <v>67</v>
      </c>
      <c r="B34" s="2">
        <v>6</v>
      </c>
      <c r="C34" s="34">
        <f>L9</f>
        <v>0.45100000000000007</v>
      </c>
      <c r="D34" s="20">
        <f t="shared" si="0"/>
        <v>0.45100000000000007</v>
      </c>
      <c r="E34" s="3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t="s">
        <v>69</v>
      </c>
      <c r="B35" s="2">
        <v>8</v>
      </c>
      <c r="C35" s="34">
        <f>L10</f>
        <v>0.47300000000000009</v>
      </c>
      <c r="D35" s="20">
        <f t="shared" si="0"/>
        <v>0.47300000000000009</v>
      </c>
      <c r="E35" s="3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t="s">
        <v>71</v>
      </c>
      <c r="B36" s="2">
        <v>8</v>
      </c>
      <c r="C36" s="34">
        <f>L10</f>
        <v>0.47300000000000009</v>
      </c>
      <c r="D36" s="20">
        <f t="shared" si="0"/>
        <v>0.47300000000000009</v>
      </c>
      <c r="E36" s="3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t="s">
        <v>75</v>
      </c>
      <c r="B37" s="2">
        <v>8</v>
      </c>
      <c r="C37" s="34">
        <f>L10</f>
        <v>0.47300000000000009</v>
      </c>
      <c r="D37" s="20">
        <f t="shared" si="0"/>
        <v>0.47300000000000009</v>
      </c>
      <c r="E37" s="3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t="s">
        <v>73</v>
      </c>
      <c r="B38" s="2">
        <v>8</v>
      </c>
      <c r="C38" s="34">
        <f>L10</f>
        <v>0.47300000000000009</v>
      </c>
      <c r="D38" s="20">
        <f t="shared" si="0"/>
        <v>0.47300000000000009</v>
      </c>
      <c r="E38" s="3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t="s">
        <v>77</v>
      </c>
      <c r="B39" s="2">
        <v>8</v>
      </c>
      <c r="C39" s="34">
        <f>L10</f>
        <v>0.47300000000000009</v>
      </c>
      <c r="D39" s="20">
        <f t="shared" si="0"/>
        <v>0.47300000000000009</v>
      </c>
      <c r="E39" s="3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t="s">
        <v>79</v>
      </c>
      <c r="B40" s="2">
        <v>8</v>
      </c>
      <c r="C40" s="34">
        <f>L10</f>
        <v>0.47300000000000009</v>
      </c>
      <c r="D40" s="20">
        <f t="shared" si="0"/>
        <v>0.47300000000000009</v>
      </c>
      <c r="E40" s="3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t="s">
        <v>81</v>
      </c>
      <c r="B41" s="2">
        <v>8</v>
      </c>
      <c r="C41" s="34">
        <f>L10</f>
        <v>0.47300000000000009</v>
      </c>
      <c r="D41" s="20">
        <f t="shared" si="0"/>
        <v>0.47300000000000009</v>
      </c>
      <c r="E41" s="3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t="s">
        <v>83</v>
      </c>
      <c r="B42" s="2">
        <v>8</v>
      </c>
      <c r="C42" s="34">
        <f>L10</f>
        <v>0.47300000000000009</v>
      </c>
      <c r="D42" s="20">
        <f t="shared" si="0"/>
        <v>0.47300000000000009</v>
      </c>
      <c r="E42" s="3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t="s">
        <v>85</v>
      </c>
      <c r="B43" s="2">
        <v>8</v>
      </c>
      <c r="C43" s="34">
        <f>L10</f>
        <v>0.47300000000000009</v>
      </c>
      <c r="D43" s="20">
        <f t="shared" si="0"/>
        <v>0.47300000000000009</v>
      </c>
      <c r="E43" s="3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t="s">
        <v>87</v>
      </c>
      <c r="B44" s="2">
        <v>8</v>
      </c>
      <c r="C44" s="34">
        <f>L10</f>
        <v>0.47300000000000009</v>
      </c>
      <c r="D44" s="20">
        <f t="shared" si="0"/>
        <v>0.47300000000000009</v>
      </c>
      <c r="E44" s="3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t="s">
        <v>167</v>
      </c>
      <c r="B45" s="2">
        <v>10</v>
      </c>
      <c r="C45" s="34">
        <f>L11</f>
        <v>0.47300000000000009</v>
      </c>
      <c r="D45" s="20">
        <f t="shared" si="0"/>
        <v>0.47300000000000009</v>
      </c>
      <c r="E45" s="3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t="s">
        <v>169</v>
      </c>
      <c r="B46" s="2">
        <v>10</v>
      </c>
      <c r="C46" s="34">
        <f>L11</f>
        <v>0.47300000000000009</v>
      </c>
      <c r="D46" s="20">
        <f t="shared" si="0"/>
        <v>0.47300000000000009</v>
      </c>
      <c r="E46" s="3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t="s">
        <v>171</v>
      </c>
      <c r="B47" s="2">
        <v>10</v>
      </c>
      <c r="C47" s="34">
        <f>L11</f>
        <v>0.47300000000000009</v>
      </c>
      <c r="D47" s="20">
        <f t="shared" si="0"/>
        <v>0.47300000000000009</v>
      </c>
      <c r="E47" s="3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t="s">
        <v>173</v>
      </c>
      <c r="B48" s="2">
        <v>10</v>
      </c>
      <c r="C48" s="34">
        <f>L11</f>
        <v>0.47300000000000009</v>
      </c>
      <c r="D48" s="20">
        <f t="shared" si="0"/>
        <v>0.47300000000000009</v>
      </c>
      <c r="E48" s="3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t="s">
        <v>175</v>
      </c>
      <c r="B49" s="2">
        <v>10</v>
      </c>
      <c r="C49" s="34">
        <f>L11</f>
        <v>0.47300000000000009</v>
      </c>
      <c r="D49" s="20">
        <f t="shared" si="0"/>
        <v>0.47300000000000009</v>
      </c>
      <c r="E49" s="3"/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t="s">
        <v>89</v>
      </c>
      <c r="B50" s="2">
        <v>3</v>
      </c>
      <c r="C50" s="34">
        <f>L6</f>
        <v>0.31900000000000006</v>
      </c>
      <c r="D50" s="20">
        <f t="shared" si="0"/>
        <v>0.31900000000000006</v>
      </c>
      <c r="E50" s="3"/>
      <c r="F50" s="2"/>
      <c r="G50" s="2"/>
      <c r="H50" s="2"/>
      <c r="I50" s="2"/>
      <c r="J50" s="2"/>
      <c r="K50" s="2"/>
      <c r="L50" s="2"/>
      <c r="M50" s="2"/>
    </row>
    <row r="51" spans="1:13" x14ac:dyDescent="0.25">
      <c r="A51" t="s">
        <v>91</v>
      </c>
      <c r="B51" s="2">
        <v>3</v>
      </c>
      <c r="C51" s="34">
        <f>L6</f>
        <v>0.31900000000000006</v>
      </c>
      <c r="D51" s="20">
        <f t="shared" si="0"/>
        <v>0.31900000000000006</v>
      </c>
      <c r="E51" s="3"/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t="s">
        <v>93</v>
      </c>
      <c r="B52" s="2">
        <v>3</v>
      </c>
      <c r="C52" s="34">
        <f>L6</f>
        <v>0.31900000000000006</v>
      </c>
      <c r="D52" s="20">
        <f t="shared" si="0"/>
        <v>0.31900000000000006</v>
      </c>
      <c r="E52" s="3"/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 t="s">
        <v>95</v>
      </c>
      <c r="B53" s="2">
        <v>3</v>
      </c>
      <c r="C53" s="34">
        <f>L6</f>
        <v>0.31900000000000006</v>
      </c>
      <c r="D53" s="20">
        <f t="shared" si="0"/>
        <v>0.31900000000000006</v>
      </c>
      <c r="E53" s="3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t="s">
        <v>97</v>
      </c>
      <c r="B54" s="2">
        <v>3</v>
      </c>
      <c r="C54" s="34">
        <f>L6</f>
        <v>0.31900000000000006</v>
      </c>
      <c r="D54" s="20">
        <f t="shared" si="0"/>
        <v>0.31900000000000006</v>
      </c>
      <c r="E54" s="3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t="s">
        <v>99</v>
      </c>
      <c r="B55" s="2">
        <v>3</v>
      </c>
      <c r="C55" s="34">
        <f>L6</f>
        <v>0.31900000000000006</v>
      </c>
      <c r="D55" s="20">
        <f t="shared" si="0"/>
        <v>0.31900000000000006</v>
      </c>
      <c r="E55" s="3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t="s">
        <v>101</v>
      </c>
      <c r="B56" s="2">
        <v>3</v>
      </c>
      <c r="C56" s="34">
        <f>L6</f>
        <v>0.31900000000000006</v>
      </c>
      <c r="D56" s="20">
        <f t="shared" si="0"/>
        <v>0.31900000000000006</v>
      </c>
      <c r="E56" s="3"/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t="s">
        <v>103</v>
      </c>
      <c r="B57" s="2">
        <v>3</v>
      </c>
      <c r="C57" s="34">
        <f>L6</f>
        <v>0.31900000000000006</v>
      </c>
      <c r="D57" s="20">
        <f t="shared" si="0"/>
        <v>0.31900000000000006</v>
      </c>
      <c r="E57" s="3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t="s">
        <v>105</v>
      </c>
      <c r="B58" s="2">
        <v>5</v>
      </c>
      <c r="C58" s="34">
        <f>L8</f>
        <v>0.41800000000000004</v>
      </c>
      <c r="D58" s="20">
        <f t="shared" si="0"/>
        <v>0.41800000000000004</v>
      </c>
      <c r="E58" s="3"/>
      <c r="F58" s="2"/>
      <c r="G58" s="2"/>
      <c r="H58" s="2"/>
      <c r="I58" s="2"/>
      <c r="J58" s="2"/>
      <c r="K58" s="2"/>
      <c r="L58" s="2"/>
      <c r="M58" s="2"/>
    </row>
    <row r="59" spans="1:13" x14ac:dyDescent="0.25">
      <c r="A59" t="s">
        <v>107</v>
      </c>
      <c r="B59" s="2">
        <v>5</v>
      </c>
      <c r="C59" s="34">
        <f>L8</f>
        <v>0.41800000000000004</v>
      </c>
      <c r="D59" s="20">
        <f t="shared" si="0"/>
        <v>0.41800000000000004</v>
      </c>
      <c r="E59" s="3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t="s">
        <v>109</v>
      </c>
      <c r="B60" s="2">
        <v>5</v>
      </c>
      <c r="C60" s="34">
        <f>L8</f>
        <v>0.41800000000000004</v>
      </c>
      <c r="D60" s="20">
        <f t="shared" si="0"/>
        <v>0.41800000000000004</v>
      </c>
      <c r="E60" s="3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t="s">
        <v>111</v>
      </c>
      <c r="B61" s="2">
        <v>5</v>
      </c>
      <c r="C61" s="34">
        <f>L8</f>
        <v>0.41800000000000004</v>
      </c>
      <c r="D61" s="20">
        <f t="shared" si="0"/>
        <v>0.41800000000000004</v>
      </c>
      <c r="E61" s="3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t="s">
        <v>113</v>
      </c>
      <c r="B62" s="2">
        <v>5</v>
      </c>
      <c r="C62" s="34">
        <f>L8</f>
        <v>0.41800000000000004</v>
      </c>
      <c r="D62" s="20">
        <f t="shared" si="0"/>
        <v>0.41800000000000004</v>
      </c>
      <c r="E62" s="3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t="s">
        <v>115</v>
      </c>
      <c r="B63" s="2">
        <v>5</v>
      </c>
      <c r="C63" s="34">
        <f>L8</f>
        <v>0.41800000000000004</v>
      </c>
      <c r="D63" s="20">
        <f t="shared" si="0"/>
        <v>0.41800000000000004</v>
      </c>
      <c r="E63" s="3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t="s">
        <v>117</v>
      </c>
      <c r="B64" s="2">
        <v>5</v>
      </c>
      <c r="C64" s="34">
        <f>L8</f>
        <v>0.41800000000000004</v>
      </c>
      <c r="D64" s="20">
        <f t="shared" si="0"/>
        <v>0.41800000000000004</v>
      </c>
      <c r="E64" s="3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t="s">
        <v>119</v>
      </c>
      <c r="B65" s="2">
        <v>5</v>
      </c>
      <c r="C65" s="34">
        <f>L8</f>
        <v>0.41800000000000004</v>
      </c>
      <c r="D65" s="20">
        <f t="shared" si="0"/>
        <v>0.41800000000000004</v>
      </c>
      <c r="E65" s="3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t="s">
        <v>121</v>
      </c>
      <c r="B66" s="2">
        <v>5</v>
      </c>
      <c r="C66" s="34">
        <f>L8</f>
        <v>0.41800000000000004</v>
      </c>
      <c r="D66" s="20">
        <f t="shared" si="0"/>
        <v>0.41800000000000004</v>
      </c>
      <c r="E66" s="3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t="s">
        <v>123</v>
      </c>
      <c r="B67" s="2">
        <v>5</v>
      </c>
      <c r="C67" s="34">
        <f>L8</f>
        <v>0.41800000000000004</v>
      </c>
      <c r="D67" s="20">
        <f t="shared" si="0"/>
        <v>0.41800000000000004</v>
      </c>
      <c r="E67" s="3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t="s">
        <v>125</v>
      </c>
      <c r="B68" s="2">
        <v>5</v>
      </c>
      <c r="C68" s="34">
        <f>L8</f>
        <v>0.41800000000000004</v>
      </c>
      <c r="D68" s="20">
        <f t="shared" si="0"/>
        <v>0.41800000000000004</v>
      </c>
      <c r="E68" s="3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t="s">
        <v>127</v>
      </c>
      <c r="B69" s="2">
        <v>6</v>
      </c>
      <c r="C69" s="34">
        <f>L9</f>
        <v>0.45100000000000007</v>
      </c>
      <c r="D69" s="20">
        <f t="shared" si="0"/>
        <v>0.45100000000000007</v>
      </c>
      <c r="E69" s="3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t="s">
        <v>129</v>
      </c>
      <c r="B70" s="2">
        <v>6</v>
      </c>
      <c r="C70" s="34">
        <f>L9</f>
        <v>0.45100000000000007</v>
      </c>
      <c r="D70" s="20">
        <f t="shared" si="0"/>
        <v>0.45100000000000007</v>
      </c>
      <c r="E70" s="3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t="s">
        <v>131</v>
      </c>
      <c r="B71" s="2">
        <v>6</v>
      </c>
      <c r="C71" s="34">
        <f>L9</f>
        <v>0.45100000000000007</v>
      </c>
      <c r="D71" s="20">
        <f t="shared" ref="D71:D134" si="3">C71</f>
        <v>0.45100000000000007</v>
      </c>
      <c r="E71" s="3"/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t="s">
        <v>133</v>
      </c>
      <c r="B72" s="2">
        <v>6</v>
      </c>
      <c r="C72" s="34">
        <f>L9</f>
        <v>0.45100000000000007</v>
      </c>
      <c r="D72" s="20">
        <f t="shared" si="3"/>
        <v>0.45100000000000007</v>
      </c>
      <c r="E72" s="3"/>
      <c r="F72" s="2"/>
      <c r="G72" s="2"/>
      <c r="H72" s="2"/>
      <c r="I72" s="2"/>
      <c r="J72" s="2"/>
      <c r="K72" s="2"/>
      <c r="L72" s="2"/>
      <c r="M72" s="2"/>
    </row>
    <row r="73" spans="1:13" x14ac:dyDescent="0.25">
      <c r="A73" t="s">
        <v>135</v>
      </c>
      <c r="B73" s="2">
        <v>6</v>
      </c>
      <c r="C73" s="34">
        <f>L9</f>
        <v>0.45100000000000007</v>
      </c>
      <c r="D73" s="20">
        <f t="shared" si="3"/>
        <v>0.45100000000000007</v>
      </c>
      <c r="E73" s="3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t="s">
        <v>137</v>
      </c>
      <c r="B74" s="2">
        <v>6</v>
      </c>
      <c r="C74" s="34">
        <f>L9</f>
        <v>0.45100000000000007</v>
      </c>
      <c r="D74" s="20">
        <f t="shared" si="3"/>
        <v>0.45100000000000007</v>
      </c>
      <c r="E74" s="3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t="s">
        <v>139</v>
      </c>
      <c r="B75" s="2">
        <v>6</v>
      </c>
      <c r="C75" s="34">
        <f>L9</f>
        <v>0.45100000000000007</v>
      </c>
      <c r="D75" s="20">
        <f t="shared" si="3"/>
        <v>0.45100000000000007</v>
      </c>
      <c r="E75" s="3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t="s">
        <v>141</v>
      </c>
      <c r="B76" s="2">
        <v>6</v>
      </c>
      <c r="C76" s="34">
        <f>L9</f>
        <v>0.45100000000000007</v>
      </c>
      <c r="D76" s="20">
        <f t="shared" si="3"/>
        <v>0.45100000000000007</v>
      </c>
      <c r="E76" s="3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t="s">
        <v>143</v>
      </c>
      <c r="B77" s="2">
        <v>6</v>
      </c>
      <c r="C77" s="34">
        <f>L9</f>
        <v>0.45100000000000007</v>
      </c>
      <c r="D77" s="20">
        <f t="shared" si="3"/>
        <v>0.45100000000000007</v>
      </c>
      <c r="E77" s="3"/>
      <c r="F77" s="2"/>
      <c r="G77" s="2"/>
      <c r="H77" s="2"/>
      <c r="I77" s="2"/>
      <c r="J77" s="2"/>
      <c r="K77" s="2"/>
      <c r="L77" s="2"/>
      <c r="M77" s="2"/>
    </row>
    <row r="78" spans="1:13" x14ac:dyDescent="0.25">
      <c r="A78" t="s">
        <v>145</v>
      </c>
      <c r="B78" s="2">
        <v>6</v>
      </c>
      <c r="C78" s="34">
        <f>L9</f>
        <v>0.45100000000000007</v>
      </c>
      <c r="D78" s="20">
        <f t="shared" si="3"/>
        <v>0.45100000000000007</v>
      </c>
      <c r="E78" s="3"/>
      <c r="F78" s="2"/>
      <c r="G78" s="2"/>
      <c r="H78" s="2"/>
      <c r="I78" s="2"/>
      <c r="J78" s="2"/>
      <c r="K78" s="2"/>
      <c r="L78" s="2"/>
      <c r="M78" s="2"/>
    </row>
    <row r="79" spans="1:13" x14ac:dyDescent="0.25">
      <c r="A79" t="s">
        <v>147</v>
      </c>
      <c r="B79" s="2">
        <v>8</v>
      </c>
      <c r="C79" s="34">
        <f>L10</f>
        <v>0.47300000000000009</v>
      </c>
      <c r="D79" s="20">
        <f t="shared" si="3"/>
        <v>0.47300000000000009</v>
      </c>
      <c r="E79" s="3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t="s">
        <v>149</v>
      </c>
      <c r="B80" s="2">
        <v>8</v>
      </c>
      <c r="C80" s="34">
        <f>L10</f>
        <v>0.47300000000000009</v>
      </c>
      <c r="D80" s="20">
        <f t="shared" si="3"/>
        <v>0.47300000000000009</v>
      </c>
      <c r="E80" s="3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t="s">
        <v>151</v>
      </c>
      <c r="B81" s="2">
        <v>8</v>
      </c>
      <c r="C81" s="34">
        <f>L10</f>
        <v>0.47300000000000009</v>
      </c>
      <c r="D81" s="20">
        <f t="shared" si="3"/>
        <v>0.47300000000000009</v>
      </c>
      <c r="E81" s="3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t="s">
        <v>153</v>
      </c>
      <c r="B82" s="2">
        <v>8</v>
      </c>
      <c r="C82" s="34">
        <f>L10</f>
        <v>0.47300000000000009</v>
      </c>
      <c r="D82" s="20">
        <f t="shared" si="3"/>
        <v>0.47300000000000009</v>
      </c>
      <c r="E82" s="3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t="s">
        <v>155</v>
      </c>
      <c r="B83" s="2">
        <v>8</v>
      </c>
      <c r="C83" s="34">
        <f>L10</f>
        <v>0.47300000000000009</v>
      </c>
      <c r="D83" s="20">
        <f t="shared" si="3"/>
        <v>0.47300000000000009</v>
      </c>
      <c r="E83" s="3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t="s">
        <v>157</v>
      </c>
      <c r="B84" s="2">
        <v>8</v>
      </c>
      <c r="C84" s="34">
        <f>L10</f>
        <v>0.47300000000000009</v>
      </c>
      <c r="D84" s="20">
        <f t="shared" si="3"/>
        <v>0.47300000000000009</v>
      </c>
      <c r="E84" s="3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t="s">
        <v>159</v>
      </c>
      <c r="B85" s="2">
        <v>8</v>
      </c>
      <c r="C85" s="34">
        <f>L10</f>
        <v>0.47300000000000009</v>
      </c>
      <c r="D85" s="20">
        <f t="shared" si="3"/>
        <v>0.47300000000000009</v>
      </c>
      <c r="E85" s="3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t="s">
        <v>161</v>
      </c>
      <c r="B86" s="2">
        <v>8</v>
      </c>
      <c r="C86" s="34">
        <f>L10</f>
        <v>0.47300000000000009</v>
      </c>
      <c r="D86" s="20">
        <f t="shared" si="3"/>
        <v>0.47300000000000009</v>
      </c>
      <c r="E86" s="3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t="s">
        <v>163</v>
      </c>
      <c r="B87" s="2">
        <v>8</v>
      </c>
      <c r="C87" s="34">
        <f>L10</f>
        <v>0.47300000000000009</v>
      </c>
      <c r="D87" s="20">
        <f t="shared" si="3"/>
        <v>0.47300000000000009</v>
      </c>
      <c r="E87" s="3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t="s">
        <v>165</v>
      </c>
      <c r="B88" s="2">
        <v>8</v>
      </c>
      <c r="C88" s="34">
        <f>L10</f>
        <v>0.47300000000000009</v>
      </c>
      <c r="D88" s="20">
        <f t="shared" si="3"/>
        <v>0.47300000000000009</v>
      </c>
      <c r="E88" s="3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t="s">
        <v>177</v>
      </c>
      <c r="B89" s="2">
        <v>10</v>
      </c>
      <c r="C89" s="34">
        <f>L11</f>
        <v>0.47300000000000009</v>
      </c>
      <c r="D89" s="20">
        <f t="shared" si="3"/>
        <v>0.47300000000000009</v>
      </c>
      <c r="E89" s="3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t="s">
        <v>179</v>
      </c>
      <c r="B90" s="2">
        <v>10</v>
      </c>
      <c r="C90" s="34">
        <f>L11</f>
        <v>0.47300000000000009</v>
      </c>
      <c r="D90" s="20">
        <f t="shared" si="3"/>
        <v>0.47300000000000009</v>
      </c>
      <c r="E90" s="3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t="s">
        <v>181</v>
      </c>
      <c r="B91" s="2">
        <v>10</v>
      </c>
      <c r="C91" s="34">
        <f>L11</f>
        <v>0.47300000000000009</v>
      </c>
      <c r="D91" s="20">
        <f t="shared" si="3"/>
        <v>0.47300000000000009</v>
      </c>
      <c r="E91" s="3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t="s">
        <v>183</v>
      </c>
      <c r="B92" s="2">
        <v>10</v>
      </c>
      <c r="C92" s="34">
        <f>L11</f>
        <v>0.47300000000000009</v>
      </c>
      <c r="D92" s="20">
        <f t="shared" si="3"/>
        <v>0.47300000000000009</v>
      </c>
      <c r="E92" s="3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t="s">
        <v>185</v>
      </c>
      <c r="B93" s="2">
        <v>10</v>
      </c>
      <c r="C93" s="34">
        <f>L11</f>
        <v>0.47300000000000009</v>
      </c>
      <c r="D93" s="20">
        <f t="shared" si="3"/>
        <v>0.47300000000000009</v>
      </c>
      <c r="E93" s="3"/>
      <c r="F93" s="2"/>
      <c r="G93" s="2"/>
      <c r="H93" s="2"/>
      <c r="I93" s="2"/>
      <c r="J93" s="2"/>
      <c r="K93" s="2"/>
      <c r="L93" s="2"/>
      <c r="M93" s="2"/>
    </row>
    <row r="94" spans="1:13" x14ac:dyDescent="0.25">
      <c r="A94" t="s">
        <v>299</v>
      </c>
      <c r="B94" s="2">
        <v>3</v>
      </c>
      <c r="C94" s="34">
        <f>L12</f>
        <v>0.31900000000000006</v>
      </c>
      <c r="D94" s="20">
        <f t="shared" si="3"/>
        <v>0.31900000000000006</v>
      </c>
      <c r="E94" s="3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t="s">
        <v>187</v>
      </c>
      <c r="B95" s="2">
        <v>3</v>
      </c>
      <c r="C95" s="34">
        <f>L12</f>
        <v>0.31900000000000006</v>
      </c>
      <c r="D95" s="20">
        <f t="shared" si="3"/>
        <v>0.31900000000000006</v>
      </c>
      <c r="E95" s="3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t="s">
        <v>189</v>
      </c>
      <c r="B96" s="2">
        <v>3</v>
      </c>
      <c r="C96" s="34">
        <f>L12</f>
        <v>0.31900000000000006</v>
      </c>
      <c r="D96" s="20">
        <f t="shared" si="3"/>
        <v>0.31900000000000006</v>
      </c>
      <c r="E96" s="3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t="s">
        <v>191</v>
      </c>
      <c r="B97" s="2">
        <v>3</v>
      </c>
      <c r="C97" s="34">
        <f>L12</f>
        <v>0.31900000000000006</v>
      </c>
      <c r="D97" s="20">
        <f t="shared" si="3"/>
        <v>0.31900000000000006</v>
      </c>
      <c r="E97" s="3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A98" t="s">
        <v>193</v>
      </c>
      <c r="B98" s="2">
        <v>3</v>
      </c>
      <c r="C98" s="34">
        <f>L12</f>
        <v>0.31900000000000006</v>
      </c>
      <c r="D98" s="20">
        <f t="shared" si="3"/>
        <v>0.31900000000000006</v>
      </c>
      <c r="E98" s="3"/>
      <c r="F98" s="2"/>
      <c r="G98" s="2"/>
      <c r="H98" s="2"/>
      <c r="I98" s="2"/>
      <c r="J98" s="2"/>
      <c r="K98" s="2"/>
      <c r="L98" s="2"/>
      <c r="M98" s="2"/>
    </row>
    <row r="99" spans="1:13" x14ac:dyDescent="0.25">
      <c r="A99" t="s">
        <v>195</v>
      </c>
      <c r="B99" s="2">
        <v>3</v>
      </c>
      <c r="C99" s="34">
        <f>L12</f>
        <v>0.31900000000000006</v>
      </c>
      <c r="D99" s="20">
        <f t="shared" si="3"/>
        <v>0.31900000000000006</v>
      </c>
      <c r="E99" s="3"/>
      <c r="F99" s="2"/>
      <c r="G99" s="2"/>
      <c r="H99" s="2"/>
      <c r="I99" s="2"/>
      <c r="J99" s="2"/>
      <c r="K99" s="2"/>
      <c r="L99" s="2"/>
      <c r="M99" s="2"/>
    </row>
    <row r="100" spans="1:13" x14ac:dyDescent="0.25">
      <c r="A100" t="s">
        <v>199</v>
      </c>
      <c r="B100" s="2">
        <v>3</v>
      </c>
      <c r="C100" s="34">
        <f>L12</f>
        <v>0.31900000000000006</v>
      </c>
      <c r="D100" s="20">
        <f t="shared" si="3"/>
        <v>0.31900000000000006</v>
      </c>
      <c r="E100" s="3"/>
      <c r="F100" s="2"/>
      <c r="G100" s="2"/>
      <c r="H100" s="2"/>
      <c r="I100" s="2"/>
      <c r="J100" s="2"/>
      <c r="K100" s="2"/>
      <c r="L100" s="2"/>
      <c r="M100" s="2"/>
    </row>
    <row r="101" spans="1:13" x14ac:dyDescent="0.25">
      <c r="A101" t="s">
        <v>197</v>
      </c>
      <c r="B101" s="2">
        <v>3</v>
      </c>
      <c r="C101" s="34">
        <f>L12</f>
        <v>0.31900000000000006</v>
      </c>
      <c r="D101" s="20">
        <f t="shared" si="3"/>
        <v>0.31900000000000006</v>
      </c>
      <c r="E101" s="3"/>
      <c r="F101" s="2"/>
      <c r="G101" s="2"/>
      <c r="H101" s="2"/>
      <c r="I101" s="2"/>
      <c r="J101" s="2"/>
      <c r="K101" s="2"/>
      <c r="L101" s="2"/>
      <c r="M101" s="2"/>
    </row>
    <row r="102" spans="1:13" x14ac:dyDescent="0.25">
      <c r="A102" t="s">
        <v>201</v>
      </c>
      <c r="B102" s="2">
        <v>4</v>
      </c>
      <c r="C102" s="34">
        <f>L13</f>
        <v>0.31900000000000006</v>
      </c>
      <c r="D102" s="20">
        <f t="shared" si="3"/>
        <v>0.31900000000000006</v>
      </c>
      <c r="E102" s="3"/>
      <c r="F102" s="2"/>
      <c r="G102" s="2"/>
      <c r="H102" s="2"/>
      <c r="I102" s="2"/>
      <c r="J102" s="2"/>
      <c r="K102" s="2"/>
      <c r="L102" s="2"/>
      <c r="M102" s="2"/>
    </row>
    <row r="103" spans="1:13" x14ac:dyDescent="0.25">
      <c r="A103" t="s">
        <v>203</v>
      </c>
      <c r="B103" s="2">
        <v>4</v>
      </c>
      <c r="C103" s="34">
        <f>L13</f>
        <v>0.31900000000000006</v>
      </c>
      <c r="D103" s="20">
        <f t="shared" si="3"/>
        <v>0.31900000000000006</v>
      </c>
      <c r="E103" s="3"/>
      <c r="F103" s="2"/>
      <c r="G103" s="2"/>
      <c r="H103" s="2"/>
      <c r="I103" s="2"/>
      <c r="J103" s="2"/>
      <c r="K103" s="2"/>
      <c r="L103" s="2"/>
      <c r="M103" s="2"/>
    </row>
    <row r="104" spans="1:13" x14ac:dyDescent="0.25">
      <c r="A104" t="s">
        <v>205</v>
      </c>
      <c r="B104" s="2">
        <v>4</v>
      </c>
      <c r="C104" s="34">
        <f>L13</f>
        <v>0.31900000000000006</v>
      </c>
      <c r="D104" s="20">
        <f t="shared" si="3"/>
        <v>0.31900000000000006</v>
      </c>
      <c r="E104" s="3"/>
      <c r="F104" s="2"/>
      <c r="G104" s="2"/>
      <c r="H104" s="2"/>
      <c r="I104" s="2"/>
      <c r="J104" s="2"/>
      <c r="K104" s="2"/>
      <c r="L104" s="2"/>
      <c r="M104" s="2"/>
    </row>
    <row r="105" spans="1:13" x14ac:dyDescent="0.25">
      <c r="A105" t="s">
        <v>207</v>
      </c>
      <c r="B105" s="2">
        <v>4</v>
      </c>
      <c r="C105" s="34">
        <f>L13</f>
        <v>0.31900000000000006</v>
      </c>
      <c r="D105" s="20">
        <f t="shared" si="3"/>
        <v>0.31900000000000006</v>
      </c>
      <c r="E105" s="3"/>
      <c r="F105" s="2"/>
      <c r="G105" s="2"/>
      <c r="H105" s="2"/>
      <c r="I105" s="2"/>
      <c r="J105" s="2"/>
      <c r="K105" s="2"/>
      <c r="L105" s="2"/>
      <c r="M105" s="2"/>
    </row>
    <row r="106" spans="1:13" x14ac:dyDescent="0.25">
      <c r="A106" t="s">
        <v>209</v>
      </c>
      <c r="B106" s="2">
        <v>4</v>
      </c>
      <c r="C106" s="34">
        <f>L13</f>
        <v>0.31900000000000006</v>
      </c>
      <c r="D106" s="20">
        <f t="shared" si="3"/>
        <v>0.31900000000000006</v>
      </c>
      <c r="E106" s="3"/>
      <c r="F106" s="2"/>
      <c r="G106" s="2"/>
      <c r="H106" s="2"/>
      <c r="I106" s="2"/>
      <c r="J106" s="2"/>
      <c r="K106" s="2"/>
      <c r="L106" s="2"/>
      <c r="M106" s="2"/>
    </row>
    <row r="107" spans="1:13" x14ac:dyDescent="0.25">
      <c r="A107" t="s">
        <v>217</v>
      </c>
      <c r="B107" s="2">
        <v>4</v>
      </c>
      <c r="C107" s="34">
        <f>L13</f>
        <v>0.31900000000000006</v>
      </c>
      <c r="D107" s="20">
        <f t="shared" si="3"/>
        <v>0.31900000000000006</v>
      </c>
      <c r="E107" s="3"/>
      <c r="F107" s="2"/>
      <c r="G107" s="2"/>
      <c r="H107" s="2"/>
      <c r="I107" s="2"/>
      <c r="J107" s="2"/>
      <c r="K107" s="2"/>
      <c r="L107" s="2"/>
      <c r="M107" s="2"/>
    </row>
    <row r="108" spans="1:13" x14ac:dyDescent="0.25">
      <c r="A108" t="s">
        <v>211</v>
      </c>
      <c r="B108" s="2">
        <v>4</v>
      </c>
      <c r="C108" s="34">
        <f>L13</f>
        <v>0.31900000000000006</v>
      </c>
      <c r="D108" s="20">
        <f t="shared" si="3"/>
        <v>0.31900000000000006</v>
      </c>
      <c r="E108" s="3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t="s">
        <v>213</v>
      </c>
      <c r="B109" s="2">
        <v>4</v>
      </c>
      <c r="C109" s="34">
        <f>L13</f>
        <v>0.31900000000000006</v>
      </c>
      <c r="D109" s="20">
        <f t="shared" si="3"/>
        <v>0.31900000000000006</v>
      </c>
      <c r="E109" s="3"/>
      <c r="F109" s="2"/>
      <c r="G109" s="2"/>
      <c r="H109" s="2"/>
      <c r="I109" s="2"/>
      <c r="J109" s="2"/>
      <c r="K109" s="2"/>
      <c r="L109" s="2"/>
      <c r="M109" s="2"/>
    </row>
    <row r="110" spans="1:13" x14ac:dyDescent="0.25">
      <c r="A110" t="s">
        <v>215</v>
      </c>
      <c r="B110" s="2">
        <v>4</v>
      </c>
      <c r="C110" s="34">
        <f>L13</f>
        <v>0.31900000000000006</v>
      </c>
      <c r="D110" s="20">
        <f t="shared" si="3"/>
        <v>0.31900000000000006</v>
      </c>
      <c r="E110" s="3"/>
      <c r="F110" s="2"/>
      <c r="G110" s="2"/>
      <c r="H110" s="2"/>
      <c r="I110" s="2"/>
      <c r="J110" s="2"/>
      <c r="K110" s="2"/>
      <c r="L110" s="2"/>
      <c r="M110" s="2"/>
    </row>
    <row r="111" spans="1:13" x14ac:dyDescent="0.25">
      <c r="A111" t="s">
        <v>219</v>
      </c>
      <c r="B111" s="2">
        <v>4</v>
      </c>
      <c r="C111" s="34">
        <f>L13</f>
        <v>0.31900000000000006</v>
      </c>
      <c r="D111" s="20">
        <f t="shared" si="3"/>
        <v>0.31900000000000006</v>
      </c>
      <c r="E111" s="3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t="s">
        <v>295</v>
      </c>
      <c r="B112" s="2">
        <v>5</v>
      </c>
      <c r="C112" s="34">
        <f>L14</f>
        <v>0.39600000000000002</v>
      </c>
      <c r="D112" s="20">
        <f t="shared" si="3"/>
        <v>0.39600000000000002</v>
      </c>
      <c r="E112" s="3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t="s">
        <v>221</v>
      </c>
      <c r="B113" s="2">
        <v>5</v>
      </c>
      <c r="C113" s="34">
        <f>L14</f>
        <v>0.39600000000000002</v>
      </c>
      <c r="D113" s="20">
        <f t="shared" si="3"/>
        <v>0.39600000000000002</v>
      </c>
      <c r="E113" s="3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t="s">
        <v>223</v>
      </c>
      <c r="B114" s="2">
        <v>5</v>
      </c>
      <c r="C114" s="34">
        <f>L14</f>
        <v>0.39600000000000002</v>
      </c>
      <c r="D114" s="20">
        <f t="shared" si="3"/>
        <v>0.39600000000000002</v>
      </c>
      <c r="E114" s="3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t="s">
        <v>225</v>
      </c>
      <c r="B115" s="2">
        <v>5</v>
      </c>
      <c r="C115" s="34">
        <f>L14</f>
        <v>0.39600000000000002</v>
      </c>
      <c r="D115" s="20">
        <f t="shared" si="3"/>
        <v>0.39600000000000002</v>
      </c>
      <c r="E115" s="3"/>
      <c r="F115" s="2"/>
      <c r="G115" s="2"/>
      <c r="H115" s="2"/>
      <c r="I115" s="2"/>
      <c r="J115" s="2"/>
      <c r="K115" s="2"/>
      <c r="L115" s="2"/>
      <c r="M115" s="2"/>
    </row>
    <row r="116" spans="1:13" x14ac:dyDescent="0.25">
      <c r="A116" t="s">
        <v>227</v>
      </c>
      <c r="B116" s="2">
        <v>5</v>
      </c>
      <c r="C116" s="34">
        <f>L14</f>
        <v>0.39600000000000002</v>
      </c>
      <c r="D116" s="20">
        <f t="shared" si="3"/>
        <v>0.39600000000000002</v>
      </c>
      <c r="E116" s="3"/>
      <c r="F116" s="2"/>
      <c r="G116" s="2"/>
      <c r="H116" s="2"/>
      <c r="I116" s="2"/>
      <c r="J116" s="2"/>
      <c r="K116" s="2"/>
      <c r="L116" s="2"/>
      <c r="M116" s="2"/>
    </row>
    <row r="117" spans="1:13" x14ac:dyDescent="0.25">
      <c r="A117" t="s">
        <v>229</v>
      </c>
      <c r="B117" s="2">
        <v>5</v>
      </c>
      <c r="C117" s="34">
        <f>L14</f>
        <v>0.39600000000000002</v>
      </c>
      <c r="D117" s="20">
        <f t="shared" si="3"/>
        <v>0.39600000000000002</v>
      </c>
      <c r="E117" s="3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t="s">
        <v>231</v>
      </c>
      <c r="B118" s="2">
        <v>5</v>
      </c>
      <c r="C118" s="34">
        <f>L14</f>
        <v>0.39600000000000002</v>
      </c>
      <c r="D118" s="20">
        <f t="shared" si="3"/>
        <v>0.39600000000000002</v>
      </c>
      <c r="E118" s="3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t="s">
        <v>233</v>
      </c>
      <c r="B119" s="2">
        <v>5</v>
      </c>
      <c r="C119" s="34">
        <f>L14</f>
        <v>0.39600000000000002</v>
      </c>
      <c r="D119" s="20">
        <f t="shared" si="3"/>
        <v>0.39600000000000002</v>
      </c>
      <c r="E119" s="3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t="s">
        <v>235</v>
      </c>
      <c r="B120" s="2">
        <v>5</v>
      </c>
      <c r="C120" s="34">
        <f>L14</f>
        <v>0.39600000000000002</v>
      </c>
      <c r="D120" s="20">
        <f t="shared" si="3"/>
        <v>0.39600000000000002</v>
      </c>
      <c r="E120" s="3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t="s">
        <v>237</v>
      </c>
      <c r="B121" s="2">
        <v>5</v>
      </c>
      <c r="C121" s="34">
        <f>L14</f>
        <v>0.39600000000000002</v>
      </c>
      <c r="D121" s="20">
        <f t="shared" si="3"/>
        <v>0.39600000000000002</v>
      </c>
      <c r="E121" s="3"/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t="s">
        <v>239</v>
      </c>
      <c r="B122" s="2">
        <v>5</v>
      </c>
      <c r="C122" s="34">
        <f>L14</f>
        <v>0.39600000000000002</v>
      </c>
      <c r="D122" s="20">
        <f t="shared" si="3"/>
        <v>0.39600000000000002</v>
      </c>
      <c r="E122" s="3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t="s">
        <v>297</v>
      </c>
      <c r="B123" s="2">
        <v>6</v>
      </c>
      <c r="C123" s="34">
        <f>L15</f>
        <v>0.39600000000000002</v>
      </c>
      <c r="D123" s="20">
        <f t="shared" si="3"/>
        <v>0.39600000000000002</v>
      </c>
      <c r="E123" s="3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t="s">
        <v>241</v>
      </c>
      <c r="B124" s="2">
        <v>6</v>
      </c>
      <c r="C124" s="34">
        <f>L15</f>
        <v>0.39600000000000002</v>
      </c>
      <c r="D124" s="20">
        <f t="shared" si="3"/>
        <v>0.39600000000000002</v>
      </c>
      <c r="E124" s="3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t="s">
        <v>243</v>
      </c>
      <c r="B125" s="2">
        <v>6</v>
      </c>
      <c r="C125" s="34">
        <f>L15</f>
        <v>0.39600000000000002</v>
      </c>
      <c r="D125" s="20">
        <f t="shared" si="3"/>
        <v>0.39600000000000002</v>
      </c>
      <c r="E125" s="3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t="s">
        <v>245</v>
      </c>
      <c r="B126" s="2">
        <v>6</v>
      </c>
      <c r="C126" s="34">
        <f>L15</f>
        <v>0.39600000000000002</v>
      </c>
      <c r="D126" s="20">
        <f t="shared" si="3"/>
        <v>0.39600000000000002</v>
      </c>
      <c r="E126" s="3"/>
      <c r="F126" s="2"/>
      <c r="G126" s="2"/>
      <c r="H126" s="2"/>
      <c r="I126" s="2"/>
      <c r="J126" s="2"/>
      <c r="K126" s="2"/>
      <c r="L126" s="2"/>
      <c r="M126" s="2"/>
    </row>
    <row r="127" spans="1:13" x14ac:dyDescent="0.25">
      <c r="A127" t="s">
        <v>247</v>
      </c>
      <c r="B127" s="2">
        <v>6</v>
      </c>
      <c r="C127" s="34">
        <f>L15</f>
        <v>0.39600000000000002</v>
      </c>
      <c r="D127" s="20">
        <f t="shared" si="3"/>
        <v>0.39600000000000002</v>
      </c>
      <c r="E127" s="3"/>
      <c r="F127" s="2"/>
      <c r="G127" s="2"/>
      <c r="H127" s="2"/>
      <c r="I127" s="2"/>
      <c r="J127" s="2"/>
      <c r="K127" s="2"/>
      <c r="L127" s="2"/>
      <c r="M127" s="2"/>
    </row>
    <row r="128" spans="1:13" x14ac:dyDescent="0.25">
      <c r="A128" t="s">
        <v>249</v>
      </c>
      <c r="B128" s="2">
        <v>6</v>
      </c>
      <c r="C128" s="34">
        <f>L15</f>
        <v>0.39600000000000002</v>
      </c>
      <c r="D128" s="20">
        <f t="shared" si="3"/>
        <v>0.39600000000000002</v>
      </c>
      <c r="E128" s="3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t="s">
        <v>251</v>
      </c>
      <c r="B129" s="2">
        <v>6</v>
      </c>
      <c r="C129" s="34">
        <f>L15</f>
        <v>0.39600000000000002</v>
      </c>
      <c r="D129" s="20">
        <f t="shared" si="3"/>
        <v>0.39600000000000002</v>
      </c>
      <c r="E129" s="3"/>
      <c r="F129" s="2"/>
      <c r="G129" s="2"/>
      <c r="H129" s="2"/>
      <c r="I129" s="2"/>
      <c r="J129" s="2"/>
      <c r="K129" s="2"/>
      <c r="L129" s="2"/>
      <c r="M129" s="2"/>
    </row>
    <row r="130" spans="1:13" x14ac:dyDescent="0.25">
      <c r="A130" t="s">
        <v>253</v>
      </c>
      <c r="B130" s="2">
        <v>6</v>
      </c>
      <c r="C130" s="34">
        <f>L15</f>
        <v>0.39600000000000002</v>
      </c>
      <c r="D130" s="20">
        <f t="shared" si="3"/>
        <v>0.39600000000000002</v>
      </c>
      <c r="E130" s="3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t="s">
        <v>255</v>
      </c>
      <c r="B131" s="2">
        <v>6</v>
      </c>
      <c r="C131" s="34">
        <f>L15</f>
        <v>0.39600000000000002</v>
      </c>
      <c r="D131" s="20">
        <f t="shared" si="3"/>
        <v>0.39600000000000002</v>
      </c>
      <c r="E131" s="3"/>
      <c r="F131" s="2"/>
      <c r="G131" s="2"/>
      <c r="H131" s="2"/>
      <c r="I131" s="2"/>
      <c r="J131" s="2"/>
      <c r="K131" s="2"/>
      <c r="L131" s="2"/>
      <c r="M131" s="2"/>
    </row>
    <row r="132" spans="1:13" x14ac:dyDescent="0.25">
      <c r="A132" t="s">
        <v>257</v>
      </c>
      <c r="B132" s="2">
        <v>6</v>
      </c>
      <c r="C132" s="34">
        <f>L15</f>
        <v>0.39600000000000002</v>
      </c>
      <c r="D132" s="20">
        <f t="shared" si="3"/>
        <v>0.39600000000000002</v>
      </c>
      <c r="E132" s="3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t="s">
        <v>259</v>
      </c>
      <c r="B133" s="2">
        <v>6</v>
      </c>
      <c r="C133" s="34">
        <f>L15</f>
        <v>0.39600000000000002</v>
      </c>
      <c r="D133" s="20">
        <f t="shared" si="3"/>
        <v>0.39600000000000002</v>
      </c>
      <c r="E133" s="3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t="s">
        <v>261</v>
      </c>
      <c r="B134" s="2">
        <v>7</v>
      </c>
      <c r="C134" s="34">
        <f>L16</f>
        <v>0.41800000000000004</v>
      </c>
      <c r="D134" s="20">
        <f t="shared" si="3"/>
        <v>0.41800000000000004</v>
      </c>
      <c r="E134" s="3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t="s">
        <v>263</v>
      </c>
      <c r="B135" s="2">
        <v>7</v>
      </c>
      <c r="C135" s="34">
        <f>L16</f>
        <v>0.41800000000000004</v>
      </c>
      <c r="D135" s="20">
        <f t="shared" ref="D135:D198" si="4">C135</f>
        <v>0.41800000000000004</v>
      </c>
      <c r="E135" s="3"/>
      <c r="F135" s="2"/>
      <c r="G135" s="2"/>
      <c r="H135" s="2"/>
      <c r="I135" s="2"/>
      <c r="J135" s="2"/>
      <c r="K135" s="2"/>
      <c r="L135" s="2"/>
      <c r="M135" s="2"/>
    </row>
    <row r="136" spans="1:13" x14ac:dyDescent="0.25">
      <c r="A136" t="s">
        <v>265</v>
      </c>
      <c r="B136" s="2">
        <v>7</v>
      </c>
      <c r="C136" s="34">
        <f>L16</f>
        <v>0.41800000000000004</v>
      </c>
      <c r="D136" s="20">
        <f t="shared" si="4"/>
        <v>0.41800000000000004</v>
      </c>
      <c r="E136" s="3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t="s">
        <v>267</v>
      </c>
      <c r="B137" s="2">
        <v>7</v>
      </c>
      <c r="C137" s="34">
        <f>L16</f>
        <v>0.41800000000000004</v>
      </c>
      <c r="D137" s="20">
        <f t="shared" si="4"/>
        <v>0.41800000000000004</v>
      </c>
      <c r="E137" s="3"/>
      <c r="F137" s="2"/>
      <c r="G137" s="2"/>
      <c r="H137" s="2"/>
      <c r="I137" s="2"/>
      <c r="J137" s="2"/>
      <c r="K137" s="2"/>
      <c r="L137" s="2"/>
      <c r="M137" s="2"/>
    </row>
    <row r="138" spans="1:13" x14ac:dyDescent="0.25">
      <c r="A138" t="s">
        <v>269</v>
      </c>
      <c r="B138" s="2">
        <v>7</v>
      </c>
      <c r="C138" s="34">
        <f>L16</f>
        <v>0.41800000000000004</v>
      </c>
      <c r="D138" s="20">
        <f t="shared" si="4"/>
        <v>0.41800000000000004</v>
      </c>
      <c r="E138" s="3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t="s">
        <v>271</v>
      </c>
      <c r="B139" s="2">
        <v>7</v>
      </c>
      <c r="C139" s="34">
        <f>L16</f>
        <v>0.41800000000000004</v>
      </c>
      <c r="D139" s="20">
        <f t="shared" si="4"/>
        <v>0.41800000000000004</v>
      </c>
      <c r="E139" s="3"/>
      <c r="F139" s="2"/>
      <c r="G139" s="2"/>
      <c r="H139" s="2"/>
      <c r="I139" s="2"/>
      <c r="J139" s="2"/>
      <c r="K139" s="2"/>
      <c r="L139" s="2"/>
      <c r="M139" s="2"/>
    </row>
    <row r="140" spans="1:13" x14ac:dyDescent="0.25">
      <c r="A140" t="s">
        <v>273</v>
      </c>
      <c r="B140" s="2">
        <v>7</v>
      </c>
      <c r="C140" s="34">
        <f>L16</f>
        <v>0.41800000000000004</v>
      </c>
      <c r="D140" s="20">
        <f t="shared" si="4"/>
        <v>0.41800000000000004</v>
      </c>
      <c r="E140" s="3"/>
      <c r="F140" s="2"/>
      <c r="G140" s="2"/>
      <c r="H140" s="2"/>
      <c r="I140" s="2"/>
      <c r="J140" s="2"/>
      <c r="K140" s="2"/>
      <c r="L140" s="2"/>
      <c r="M140" s="2"/>
    </row>
    <row r="141" spans="1:13" x14ac:dyDescent="0.25">
      <c r="A141" t="s">
        <v>275</v>
      </c>
      <c r="B141" s="2">
        <v>7</v>
      </c>
      <c r="C141" s="34">
        <f>L16</f>
        <v>0.41800000000000004</v>
      </c>
      <c r="D141" s="20">
        <f t="shared" si="4"/>
        <v>0.41800000000000004</v>
      </c>
      <c r="E141" s="3"/>
      <c r="F141" s="2"/>
      <c r="G141" s="2"/>
      <c r="H141" s="2"/>
      <c r="I141" s="2"/>
      <c r="J141" s="2"/>
      <c r="K141" s="2"/>
      <c r="L141" s="2"/>
      <c r="M141" s="2"/>
    </row>
    <row r="142" spans="1:13" x14ac:dyDescent="0.25">
      <c r="A142" t="s">
        <v>277</v>
      </c>
      <c r="B142" s="2">
        <v>7</v>
      </c>
      <c r="C142" s="34">
        <f>L16</f>
        <v>0.41800000000000004</v>
      </c>
      <c r="D142" s="20">
        <f t="shared" si="4"/>
        <v>0.41800000000000004</v>
      </c>
      <c r="E142" s="3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t="s">
        <v>279</v>
      </c>
      <c r="B143" s="2">
        <v>8</v>
      </c>
      <c r="C143" s="34">
        <f>L17</f>
        <v>0.47300000000000009</v>
      </c>
      <c r="D143" s="20">
        <f t="shared" si="4"/>
        <v>0.47300000000000009</v>
      </c>
      <c r="E143" s="3"/>
      <c r="F143" s="2"/>
      <c r="G143" s="2"/>
      <c r="H143" s="2"/>
      <c r="I143" s="2"/>
      <c r="J143" s="2"/>
      <c r="K143" s="2"/>
      <c r="L143" s="2"/>
      <c r="M143" s="2"/>
    </row>
    <row r="144" spans="1:13" x14ac:dyDescent="0.25">
      <c r="A144" t="s">
        <v>281</v>
      </c>
      <c r="B144" s="2">
        <v>8</v>
      </c>
      <c r="C144" s="34">
        <f>L17</f>
        <v>0.47300000000000009</v>
      </c>
      <c r="D144" s="20">
        <f t="shared" si="4"/>
        <v>0.47300000000000009</v>
      </c>
      <c r="E144" s="3"/>
      <c r="F144" s="2"/>
      <c r="G144" s="2"/>
      <c r="H144" s="2"/>
      <c r="I144" s="2"/>
      <c r="J144" s="2"/>
      <c r="K144" s="2"/>
      <c r="L144" s="2"/>
      <c r="M144" s="2"/>
    </row>
    <row r="145" spans="1:13" x14ac:dyDescent="0.25">
      <c r="A145" t="s">
        <v>283</v>
      </c>
      <c r="B145" s="2">
        <v>8</v>
      </c>
      <c r="C145" s="34">
        <f>L17</f>
        <v>0.47300000000000009</v>
      </c>
      <c r="D145" s="20">
        <f t="shared" si="4"/>
        <v>0.47300000000000009</v>
      </c>
      <c r="E145" s="3"/>
      <c r="F145" s="2"/>
      <c r="G145" s="2"/>
      <c r="H145" s="2"/>
      <c r="I145" s="2"/>
      <c r="J145" s="2"/>
      <c r="K145" s="2"/>
      <c r="L145" s="2"/>
      <c r="M145" s="2"/>
    </row>
    <row r="146" spans="1:13" x14ac:dyDescent="0.25">
      <c r="A146" t="s">
        <v>285</v>
      </c>
      <c r="B146" s="2">
        <v>8</v>
      </c>
      <c r="C146" s="34">
        <f>L17</f>
        <v>0.47300000000000009</v>
      </c>
      <c r="D146" s="20">
        <f t="shared" si="4"/>
        <v>0.47300000000000009</v>
      </c>
      <c r="E146" s="3"/>
      <c r="F146" s="2"/>
      <c r="G146" s="2"/>
      <c r="H146" s="2"/>
      <c r="I146" s="2"/>
      <c r="J146" s="2"/>
      <c r="K146" s="2"/>
      <c r="L146" s="2"/>
      <c r="M146" s="2"/>
    </row>
    <row r="147" spans="1:13" x14ac:dyDescent="0.25">
      <c r="A147" t="s">
        <v>287</v>
      </c>
      <c r="B147" s="2">
        <v>8</v>
      </c>
      <c r="C147" s="34">
        <f>L17</f>
        <v>0.47300000000000009</v>
      </c>
      <c r="D147" s="20">
        <f t="shared" si="4"/>
        <v>0.47300000000000009</v>
      </c>
      <c r="E147" s="3"/>
      <c r="F147" s="2"/>
      <c r="G147" s="2"/>
      <c r="H147" s="2"/>
      <c r="I147" s="2"/>
      <c r="J147" s="2"/>
      <c r="K147" s="2"/>
      <c r="L147" s="2"/>
      <c r="M147" s="2"/>
    </row>
    <row r="148" spans="1:13" x14ac:dyDescent="0.25">
      <c r="A148" t="s">
        <v>289</v>
      </c>
      <c r="B148" s="2">
        <v>8</v>
      </c>
      <c r="C148" s="34">
        <f>L17</f>
        <v>0.47300000000000009</v>
      </c>
      <c r="D148" s="20">
        <f t="shared" si="4"/>
        <v>0.47300000000000009</v>
      </c>
      <c r="E148" s="3"/>
      <c r="F148" s="2"/>
      <c r="G148" s="2"/>
      <c r="H148" s="2"/>
      <c r="I148" s="2"/>
      <c r="J148" s="2"/>
      <c r="K148" s="2"/>
      <c r="L148" s="2"/>
      <c r="M148" s="2"/>
    </row>
    <row r="149" spans="1:13" x14ac:dyDescent="0.25">
      <c r="A149" t="s">
        <v>291</v>
      </c>
      <c r="B149" s="2">
        <v>8</v>
      </c>
      <c r="C149" s="34">
        <f>L17</f>
        <v>0.47300000000000009</v>
      </c>
      <c r="D149" s="20">
        <f t="shared" si="4"/>
        <v>0.47300000000000009</v>
      </c>
      <c r="E149" s="3"/>
      <c r="F149" s="2"/>
      <c r="G149" s="2"/>
      <c r="H149" s="2"/>
      <c r="I149" s="2"/>
      <c r="J149" s="2"/>
      <c r="K149" s="2"/>
      <c r="L149" s="2"/>
      <c r="M149" s="2"/>
    </row>
    <row r="150" spans="1:13" x14ac:dyDescent="0.25">
      <c r="A150" t="s">
        <v>293</v>
      </c>
      <c r="B150" s="2">
        <v>8</v>
      </c>
      <c r="C150" s="34">
        <f>L17</f>
        <v>0.47300000000000009</v>
      </c>
      <c r="D150" s="20">
        <f t="shared" si="4"/>
        <v>0.47300000000000009</v>
      </c>
      <c r="E150" s="3"/>
      <c r="F150" s="2"/>
      <c r="G150" s="2"/>
      <c r="H150" s="2"/>
      <c r="I150" s="2"/>
      <c r="J150" s="2"/>
      <c r="K150" s="2"/>
      <c r="L150" s="2"/>
      <c r="M150" s="2"/>
    </row>
    <row r="151" spans="1:13" x14ac:dyDescent="0.25">
      <c r="A151" t="s">
        <v>349</v>
      </c>
      <c r="B151" s="2">
        <v>3</v>
      </c>
      <c r="C151" s="34">
        <f>L12</f>
        <v>0.31900000000000006</v>
      </c>
      <c r="D151" s="20">
        <f t="shared" si="4"/>
        <v>0.31900000000000006</v>
      </c>
      <c r="E151" s="3"/>
      <c r="F151" s="2"/>
      <c r="G151" s="2"/>
      <c r="H151" s="2"/>
      <c r="I151" s="2"/>
      <c r="J151" s="2"/>
      <c r="K151" s="2"/>
      <c r="L151" s="2"/>
      <c r="M151" s="2"/>
    </row>
    <row r="152" spans="1:13" x14ac:dyDescent="0.25">
      <c r="A152" t="s">
        <v>351</v>
      </c>
      <c r="B152" s="2">
        <v>3</v>
      </c>
      <c r="C152" s="34">
        <f>L12</f>
        <v>0.31900000000000006</v>
      </c>
      <c r="D152" s="20">
        <f t="shared" si="4"/>
        <v>0.31900000000000006</v>
      </c>
      <c r="E152" s="3"/>
      <c r="F152" s="2"/>
      <c r="G152" s="2"/>
      <c r="H152" s="2"/>
      <c r="I152" s="2"/>
      <c r="J152" s="2"/>
      <c r="K152" s="2"/>
      <c r="L152" s="2"/>
      <c r="M152" s="2"/>
    </row>
    <row r="153" spans="1:13" x14ac:dyDescent="0.25">
      <c r="A153" t="s">
        <v>353</v>
      </c>
      <c r="B153" s="2">
        <v>3</v>
      </c>
      <c r="C153" s="34">
        <f>L12</f>
        <v>0.31900000000000006</v>
      </c>
      <c r="D153" s="20">
        <f t="shared" si="4"/>
        <v>0.31900000000000006</v>
      </c>
      <c r="E153" s="3"/>
      <c r="F153" s="2"/>
      <c r="G153" s="2"/>
      <c r="H153" s="2"/>
      <c r="I153" s="2"/>
      <c r="J153" s="2"/>
      <c r="K153" s="2"/>
      <c r="L153" s="2"/>
      <c r="M153" s="2"/>
    </row>
    <row r="154" spans="1:13" x14ac:dyDescent="0.25">
      <c r="A154" t="s">
        <v>355</v>
      </c>
      <c r="B154" s="2">
        <v>3</v>
      </c>
      <c r="C154" s="34">
        <f>L12</f>
        <v>0.31900000000000006</v>
      </c>
      <c r="D154" s="20">
        <f t="shared" si="4"/>
        <v>0.31900000000000006</v>
      </c>
      <c r="E154" s="3"/>
      <c r="F154" s="2"/>
      <c r="G154" s="2"/>
      <c r="H154" s="2"/>
      <c r="I154" s="2"/>
      <c r="J154" s="2"/>
      <c r="K154" s="2"/>
      <c r="L154" s="2"/>
      <c r="M154" s="2"/>
    </row>
    <row r="155" spans="1:13" x14ac:dyDescent="0.25">
      <c r="A155" t="s">
        <v>357</v>
      </c>
      <c r="B155" s="2">
        <v>3</v>
      </c>
      <c r="C155" s="34">
        <f>L12</f>
        <v>0.31900000000000006</v>
      </c>
      <c r="D155" s="20">
        <f t="shared" si="4"/>
        <v>0.31900000000000006</v>
      </c>
      <c r="E155" s="3"/>
      <c r="F155" s="2"/>
      <c r="G155" s="2"/>
      <c r="H155" s="2"/>
      <c r="I155" s="2"/>
      <c r="J155" s="2"/>
      <c r="K155" s="2"/>
      <c r="L155" s="2"/>
      <c r="M155" s="2"/>
    </row>
    <row r="156" spans="1:13" x14ac:dyDescent="0.25">
      <c r="A156" t="s">
        <v>359</v>
      </c>
      <c r="B156" s="2">
        <v>3</v>
      </c>
      <c r="C156" s="34">
        <f>L12</f>
        <v>0.31900000000000006</v>
      </c>
      <c r="D156" s="20">
        <f t="shared" si="4"/>
        <v>0.31900000000000006</v>
      </c>
      <c r="E156" s="3"/>
      <c r="F156" s="2"/>
      <c r="G156" s="2"/>
      <c r="H156" s="2"/>
      <c r="I156" s="2"/>
      <c r="J156" s="2"/>
      <c r="K156" s="2"/>
      <c r="L156" s="2"/>
      <c r="M156" s="2"/>
    </row>
    <row r="157" spans="1:13" x14ac:dyDescent="0.25">
      <c r="A157" t="s">
        <v>361</v>
      </c>
      <c r="B157" s="2">
        <v>3</v>
      </c>
      <c r="C157" s="34">
        <f>L12</f>
        <v>0.31900000000000006</v>
      </c>
      <c r="D157" s="20">
        <f t="shared" si="4"/>
        <v>0.31900000000000006</v>
      </c>
      <c r="E157" s="3"/>
      <c r="F157" s="2"/>
      <c r="G157" s="2"/>
      <c r="H157" s="2"/>
      <c r="I157" s="2"/>
      <c r="J157" s="2"/>
      <c r="K157" s="2"/>
      <c r="L157" s="2"/>
      <c r="M157" s="2"/>
    </row>
    <row r="158" spans="1:13" x14ac:dyDescent="0.25">
      <c r="A158" t="s">
        <v>363</v>
      </c>
      <c r="B158" s="2">
        <v>3</v>
      </c>
      <c r="C158" s="34">
        <f>L12</f>
        <v>0.31900000000000006</v>
      </c>
      <c r="D158" s="20">
        <f t="shared" si="4"/>
        <v>0.31900000000000006</v>
      </c>
      <c r="E158" s="3"/>
      <c r="F158" s="2"/>
      <c r="G158" s="2"/>
      <c r="H158" s="2"/>
      <c r="I158" s="2"/>
      <c r="J158" s="2"/>
      <c r="K158" s="2"/>
      <c r="L158" s="2"/>
      <c r="M158" s="2"/>
    </row>
    <row r="159" spans="1:13" x14ac:dyDescent="0.25">
      <c r="A159" t="s">
        <v>365</v>
      </c>
      <c r="B159" s="2">
        <v>4</v>
      </c>
      <c r="C159" s="34">
        <f>L13</f>
        <v>0.31900000000000006</v>
      </c>
      <c r="D159" s="20">
        <f t="shared" si="4"/>
        <v>0.31900000000000006</v>
      </c>
      <c r="E159" s="3"/>
      <c r="F159" s="2"/>
      <c r="G159" s="2"/>
      <c r="H159" s="2"/>
      <c r="I159" s="2"/>
      <c r="J159" s="2"/>
      <c r="K159" s="2"/>
      <c r="L159" s="2"/>
      <c r="M159" s="2"/>
    </row>
    <row r="160" spans="1:13" x14ac:dyDescent="0.25">
      <c r="A160" t="s">
        <v>367</v>
      </c>
      <c r="B160" s="2">
        <v>4</v>
      </c>
      <c r="C160" s="34">
        <f>L13</f>
        <v>0.31900000000000006</v>
      </c>
      <c r="D160" s="20">
        <f t="shared" si="4"/>
        <v>0.31900000000000006</v>
      </c>
      <c r="E160" s="3"/>
      <c r="F160" s="2"/>
      <c r="G160" s="2"/>
      <c r="H160" s="2"/>
      <c r="I160" s="2"/>
      <c r="J160" s="2"/>
      <c r="K160" s="2"/>
      <c r="L160" s="2"/>
      <c r="M160" s="2"/>
    </row>
    <row r="161" spans="1:13" x14ac:dyDescent="0.25">
      <c r="A161" t="s">
        <v>369</v>
      </c>
      <c r="B161" s="2">
        <v>4</v>
      </c>
      <c r="C161" s="34">
        <f>L13</f>
        <v>0.31900000000000006</v>
      </c>
      <c r="D161" s="20">
        <f t="shared" si="4"/>
        <v>0.31900000000000006</v>
      </c>
      <c r="E161" s="3"/>
      <c r="F161" s="2"/>
      <c r="G161" s="2"/>
      <c r="H161" s="2"/>
      <c r="I161" s="2"/>
      <c r="J161" s="2"/>
      <c r="K161" s="2"/>
      <c r="L161" s="2"/>
      <c r="M161" s="2"/>
    </row>
    <row r="162" spans="1:13" x14ac:dyDescent="0.25">
      <c r="A162" t="s">
        <v>371</v>
      </c>
      <c r="B162" s="2">
        <v>4</v>
      </c>
      <c r="C162" s="34">
        <f>L13</f>
        <v>0.31900000000000006</v>
      </c>
      <c r="D162" s="20">
        <f t="shared" si="4"/>
        <v>0.31900000000000006</v>
      </c>
      <c r="E162" s="3"/>
      <c r="F162" s="2"/>
      <c r="G162" s="2"/>
      <c r="H162" s="2"/>
      <c r="I162" s="2"/>
      <c r="J162" s="2"/>
      <c r="K162" s="2"/>
      <c r="L162" s="2"/>
      <c r="M162" s="2"/>
    </row>
    <row r="163" spans="1:13" x14ac:dyDescent="0.25">
      <c r="A163" t="s">
        <v>373</v>
      </c>
      <c r="B163" s="2">
        <v>4</v>
      </c>
      <c r="C163" s="34">
        <f>L13</f>
        <v>0.31900000000000006</v>
      </c>
      <c r="D163" s="20">
        <f t="shared" si="4"/>
        <v>0.31900000000000006</v>
      </c>
      <c r="E163" s="3"/>
      <c r="F163" s="2"/>
      <c r="G163" s="2"/>
      <c r="H163" s="2"/>
      <c r="I163" s="2"/>
      <c r="J163" s="2"/>
      <c r="K163" s="2"/>
      <c r="L163" s="2"/>
      <c r="M163" s="2"/>
    </row>
    <row r="164" spans="1:13" x14ac:dyDescent="0.25">
      <c r="A164" t="s">
        <v>375</v>
      </c>
      <c r="B164" s="2">
        <v>4</v>
      </c>
      <c r="C164" s="34">
        <f>L13</f>
        <v>0.31900000000000006</v>
      </c>
      <c r="D164" s="20">
        <f t="shared" si="4"/>
        <v>0.31900000000000006</v>
      </c>
      <c r="E164" s="3"/>
      <c r="F164" s="2"/>
      <c r="G164" s="2"/>
      <c r="H164" s="2"/>
      <c r="I164" s="2"/>
      <c r="J164" s="2"/>
      <c r="K164" s="2"/>
      <c r="L164" s="2"/>
      <c r="M164" s="2"/>
    </row>
    <row r="165" spans="1:13" x14ac:dyDescent="0.25">
      <c r="A165" t="s">
        <v>377</v>
      </c>
      <c r="B165" s="2">
        <v>4</v>
      </c>
      <c r="C165" s="34">
        <f>L13</f>
        <v>0.31900000000000006</v>
      </c>
      <c r="D165" s="20">
        <f t="shared" si="4"/>
        <v>0.31900000000000006</v>
      </c>
      <c r="E165" s="3"/>
      <c r="F165" s="2"/>
      <c r="G165" s="2"/>
      <c r="H165" s="2"/>
      <c r="I165" s="2"/>
      <c r="J165" s="2"/>
      <c r="K165" s="2"/>
      <c r="L165" s="2"/>
      <c r="M165" s="2"/>
    </row>
    <row r="166" spans="1:13" x14ac:dyDescent="0.25">
      <c r="A166" t="s">
        <v>379</v>
      </c>
      <c r="B166" s="2">
        <v>4</v>
      </c>
      <c r="C166" s="34">
        <f>L13</f>
        <v>0.31900000000000006</v>
      </c>
      <c r="D166" s="20">
        <f t="shared" si="4"/>
        <v>0.31900000000000006</v>
      </c>
      <c r="E166" s="3"/>
      <c r="F166" s="2"/>
      <c r="G166" s="2"/>
      <c r="H166" s="2"/>
      <c r="I166" s="2"/>
      <c r="J166" s="2"/>
      <c r="K166" s="2"/>
      <c r="L166" s="2"/>
      <c r="M166" s="2"/>
    </row>
    <row r="167" spans="1:13" x14ac:dyDescent="0.25">
      <c r="A167" t="s">
        <v>381</v>
      </c>
      <c r="B167" s="2">
        <v>4</v>
      </c>
      <c r="C167" s="34">
        <f>L13</f>
        <v>0.31900000000000006</v>
      </c>
      <c r="D167" s="20">
        <f t="shared" si="4"/>
        <v>0.31900000000000006</v>
      </c>
      <c r="E167" s="3"/>
      <c r="F167" s="2"/>
      <c r="G167" s="2"/>
      <c r="H167" s="2"/>
      <c r="I167" s="2"/>
      <c r="J167" s="2"/>
      <c r="K167" s="2"/>
      <c r="L167" s="2"/>
      <c r="M167" s="2"/>
    </row>
    <row r="168" spans="1:13" x14ac:dyDescent="0.25">
      <c r="A168" t="s">
        <v>383</v>
      </c>
      <c r="B168" s="2">
        <v>4</v>
      </c>
      <c r="C168" s="34">
        <f>L13</f>
        <v>0.31900000000000006</v>
      </c>
      <c r="D168" s="20">
        <f t="shared" si="4"/>
        <v>0.31900000000000006</v>
      </c>
      <c r="E168" s="3"/>
      <c r="F168" s="2"/>
      <c r="G168" s="2"/>
      <c r="H168" s="2"/>
      <c r="I168" s="2"/>
      <c r="J168" s="2"/>
      <c r="K168" s="2"/>
      <c r="L168" s="2"/>
      <c r="M168" s="2"/>
    </row>
    <row r="169" spans="1:13" x14ac:dyDescent="0.25">
      <c r="A169" t="s">
        <v>385</v>
      </c>
      <c r="B169" s="2">
        <v>5</v>
      </c>
      <c r="C169" s="34">
        <f>L14</f>
        <v>0.39600000000000002</v>
      </c>
      <c r="D169" s="20">
        <f t="shared" si="4"/>
        <v>0.39600000000000002</v>
      </c>
      <c r="E169" s="3"/>
      <c r="F169" s="2"/>
      <c r="G169" s="2"/>
      <c r="H169" s="2"/>
      <c r="I169" s="2"/>
      <c r="J169" s="2"/>
      <c r="K169" s="2"/>
      <c r="L169" s="2"/>
      <c r="M169" s="2"/>
    </row>
    <row r="170" spans="1:13" x14ac:dyDescent="0.25">
      <c r="A170" t="s">
        <v>387</v>
      </c>
      <c r="B170" s="2">
        <v>5</v>
      </c>
      <c r="C170" s="34">
        <f>L14</f>
        <v>0.39600000000000002</v>
      </c>
      <c r="D170" s="20">
        <f t="shared" si="4"/>
        <v>0.39600000000000002</v>
      </c>
      <c r="E170" s="3"/>
      <c r="F170" s="2"/>
      <c r="G170" s="2"/>
      <c r="H170" s="2"/>
      <c r="I170" s="2"/>
      <c r="J170" s="2"/>
      <c r="K170" s="2"/>
      <c r="L170" s="2"/>
      <c r="M170" s="2"/>
    </row>
    <row r="171" spans="1:13" x14ac:dyDescent="0.25">
      <c r="A171" t="s">
        <v>389</v>
      </c>
      <c r="B171" s="2">
        <v>5</v>
      </c>
      <c r="C171" s="34">
        <f>L14</f>
        <v>0.39600000000000002</v>
      </c>
      <c r="D171" s="20">
        <f t="shared" si="4"/>
        <v>0.39600000000000002</v>
      </c>
      <c r="E171" s="3"/>
      <c r="F171" s="2"/>
      <c r="G171" s="2"/>
      <c r="H171" s="2"/>
      <c r="I171" s="2"/>
      <c r="J171" s="2"/>
      <c r="K171" s="2"/>
      <c r="L171" s="2"/>
      <c r="M171" s="2"/>
    </row>
    <row r="172" spans="1:13" x14ac:dyDescent="0.25">
      <c r="A172" t="s">
        <v>391</v>
      </c>
      <c r="B172" s="2">
        <v>5</v>
      </c>
      <c r="C172" s="34">
        <f>L14</f>
        <v>0.39600000000000002</v>
      </c>
      <c r="D172" s="20">
        <f t="shared" si="4"/>
        <v>0.39600000000000002</v>
      </c>
      <c r="E172" s="3"/>
      <c r="F172" s="2"/>
      <c r="G172" s="2"/>
      <c r="H172" s="2"/>
      <c r="I172" s="2"/>
      <c r="J172" s="2"/>
      <c r="K172" s="2"/>
      <c r="L172" s="2"/>
      <c r="M172" s="2"/>
    </row>
    <row r="173" spans="1:13" x14ac:dyDescent="0.25">
      <c r="A173" t="s">
        <v>393</v>
      </c>
      <c r="B173" s="2">
        <v>5</v>
      </c>
      <c r="C173" s="34">
        <f>L14</f>
        <v>0.39600000000000002</v>
      </c>
      <c r="D173" s="20">
        <f t="shared" si="4"/>
        <v>0.39600000000000002</v>
      </c>
      <c r="E173" s="3"/>
      <c r="F173" s="2"/>
      <c r="G173" s="2"/>
      <c r="H173" s="2"/>
      <c r="I173" s="2"/>
      <c r="J173" s="2"/>
      <c r="K173" s="2"/>
      <c r="L173" s="2"/>
      <c r="M173" s="2"/>
    </row>
    <row r="174" spans="1:13" x14ac:dyDescent="0.25">
      <c r="A174" t="s">
        <v>395</v>
      </c>
      <c r="B174" s="2">
        <v>5</v>
      </c>
      <c r="C174" s="34">
        <f>L14</f>
        <v>0.39600000000000002</v>
      </c>
      <c r="D174" s="20">
        <f t="shared" si="4"/>
        <v>0.39600000000000002</v>
      </c>
      <c r="E174" s="3"/>
      <c r="F174" s="2"/>
      <c r="G174" s="2"/>
      <c r="H174" s="2"/>
      <c r="I174" s="2"/>
      <c r="J174" s="2"/>
      <c r="K174" s="2"/>
      <c r="L174" s="2"/>
      <c r="M174" s="2"/>
    </row>
    <row r="175" spans="1:13" x14ac:dyDescent="0.25">
      <c r="A175" t="s">
        <v>397</v>
      </c>
      <c r="B175" s="2">
        <v>5</v>
      </c>
      <c r="C175" s="34">
        <f>L14</f>
        <v>0.39600000000000002</v>
      </c>
      <c r="D175" s="20">
        <f t="shared" si="4"/>
        <v>0.39600000000000002</v>
      </c>
      <c r="E175" s="3"/>
      <c r="F175" s="2"/>
      <c r="G175" s="2"/>
      <c r="H175" s="2"/>
      <c r="I175" s="2"/>
      <c r="J175" s="2"/>
      <c r="K175" s="2"/>
      <c r="L175" s="2"/>
      <c r="M175" s="2"/>
    </row>
    <row r="176" spans="1:13" x14ac:dyDescent="0.25">
      <c r="A176" t="s">
        <v>399</v>
      </c>
      <c r="B176" s="2">
        <v>5</v>
      </c>
      <c r="C176" s="34">
        <f>L14</f>
        <v>0.39600000000000002</v>
      </c>
      <c r="D176" s="20">
        <f t="shared" si="4"/>
        <v>0.39600000000000002</v>
      </c>
      <c r="E176" s="3"/>
      <c r="F176" s="2"/>
      <c r="G176" s="2"/>
      <c r="H176" s="2"/>
      <c r="I176" s="2"/>
      <c r="J176" s="2"/>
      <c r="K176" s="2"/>
      <c r="L176" s="2"/>
      <c r="M176" s="2"/>
    </row>
    <row r="177" spans="1:13" x14ac:dyDescent="0.25">
      <c r="A177" t="s">
        <v>401</v>
      </c>
      <c r="B177" s="2">
        <v>5</v>
      </c>
      <c r="C177" s="34">
        <f>L14</f>
        <v>0.39600000000000002</v>
      </c>
      <c r="D177" s="20">
        <f t="shared" si="4"/>
        <v>0.39600000000000002</v>
      </c>
      <c r="E177" s="3"/>
      <c r="F177" s="2"/>
      <c r="G177" s="2"/>
      <c r="H177" s="2"/>
      <c r="I177" s="2"/>
      <c r="J177" s="2"/>
      <c r="K177" s="2"/>
      <c r="L177" s="2"/>
      <c r="M177" s="2"/>
    </row>
    <row r="178" spans="1:13" x14ac:dyDescent="0.25">
      <c r="A178" t="s">
        <v>403</v>
      </c>
      <c r="B178" s="2">
        <v>5</v>
      </c>
      <c r="C178" s="34">
        <f>L14</f>
        <v>0.39600000000000002</v>
      </c>
      <c r="D178" s="20">
        <f t="shared" si="4"/>
        <v>0.39600000000000002</v>
      </c>
      <c r="E178" s="3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t="s">
        <v>405</v>
      </c>
      <c r="B179" s="2">
        <v>5</v>
      </c>
      <c r="C179" s="34">
        <f>L14</f>
        <v>0.39600000000000002</v>
      </c>
      <c r="D179" s="20">
        <f t="shared" si="4"/>
        <v>0.39600000000000002</v>
      </c>
      <c r="E179" s="3"/>
      <c r="F179" s="2"/>
      <c r="G179" s="2"/>
      <c r="H179" s="2"/>
      <c r="I179" s="2"/>
      <c r="J179" s="2"/>
      <c r="K179" s="2"/>
      <c r="L179" s="2"/>
      <c r="M179" s="2"/>
    </row>
    <row r="180" spans="1:13" x14ac:dyDescent="0.25">
      <c r="A180" t="s">
        <v>456</v>
      </c>
      <c r="B180" s="2">
        <v>6</v>
      </c>
      <c r="C180" s="34">
        <f>L15</f>
        <v>0.39600000000000002</v>
      </c>
      <c r="D180" s="20">
        <f t="shared" si="4"/>
        <v>0.39600000000000002</v>
      </c>
      <c r="E180" s="3"/>
      <c r="F180" s="2"/>
      <c r="G180" s="2"/>
      <c r="H180" s="2"/>
      <c r="I180" s="2"/>
      <c r="J180" s="2"/>
      <c r="K180" s="2"/>
      <c r="L180" s="2"/>
      <c r="M180" s="2"/>
    </row>
    <row r="181" spans="1:13" x14ac:dyDescent="0.25">
      <c r="A181" t="s">
        <v>458</v>
      </c>
      <c r="B181" s="2">
        <v>6</v>
      </c>
      <c r="C181" s="34">
        <f>L15</f>
        <v>0.39600000000000002</v>
      </c>
      <c r="D181" s="20">
        <f t="shared" si="4"/>
        <v>0.39600000000000002</v>
      </c>
      <c r="E181" s="3"/>
      <c r="F181" s="2"/>
      <c r="G181" s="2"/>
      <c r="H181" s="2"/>
      <c r="I181" s="2"/>
      <c r="J181" s="2"/>
      <c r="K181" s="2"/>
      <c r="L181" s="2"/>
      <c r="M181" s="2"/>
    </row>
    <row r="182" spans="1:13" x14ac:dyDescent="0.25">
      <c r="A182" t="s">
        <v>460</v>
      </c>
      <c r="B182" s="2">
        <v>6</v>
      </c>
      <c r="C182" s="34">
        <f>L15</f>
        <v>0.39600000000000002</v>
      </c>
      <c r="D182" s="20">
        <f t="shared" si="4"/>
        <v>0.39600000000000002</v>
      </c>
      <c r="E182" s="3"/>
      <c r="F182" s="2"/>
      <c r="G182" s="2"/>
      <c r="H182" s="2"/>
      <c r="I182" s="2"/>
      <c r="J182" s="2"/>
      <c r="K182" s="2"/>
      <c r="L182" s="2"/>
      <c r="M182" s="2"/>
    </row>
    <row r="183" spans="1:13" x14ac:dyDescent="0.25">
      <c r="A183" t="s">
        <v>462</v>
      </c>
      <c r="B183" s="2">
        <v>6</v>
      </c>
      <c r="C183" s="34">
        <f>L15</f>
        <v>0.39600000000000002</v>
      </c>
      <c r="D183" s="20">
        <f t="shared" si="4"/>
        <v>0.39600000000000002</v>
      </c>
      <c r="E183" s="3"/>
      <c r="F183" s="2"/>
      <c r="G183" s="2"/>
      <c r="H183" s="2"/>
      <c r="I183" s="2"/>
      <c r="J183" s="2"/>
      <c r="K183" s="2"/>
      <c r="L183" s="2"/>
      <c r="M183" s="2"/>
    </row>
    <row r="184" spans="1:13" x14ac:dyDescent="0.25">
      <c r="A184" t="s">
        <v>464</v>
      </c>
      <c r="B184" s="2">
        <v>6</v>
      </c>
      <c r="C184" s="34">
        <f>L15</f>
        <v>0.39600000000000002</v>
      </c>
      <c r="D184" s="20">
        <f t="shared" si="4"/>
        <v>0.39600000000000002</v>
      </c>
      <c r="E184" s="3"/>
      <c r="F184" s="2"/>
      <c r="G184" s="2"/>
      <c r="H184" s="2"/>
      <c r="I184" s="2"/>
      <c r="J184" s="2"/>
      <c r="K184" s="2"/>
      <c r="L184" s="2"/>
      <c r="M184" s="2"/>
    </row>
    <row r="185" spans="1:13" x14ac:dyDescent="0.25">
      <c r="A185" t="s">
        <v>466</v>
      </c>
      <c r="B185" s="2">
        <v>6</v>
      </c>
      <c r="C185" s="34">
        <f>L15</f>
        <v>0.39600000000000002</v>
      </c>
      <c r="D185" s="20">
        <f t="shared" si="4"/>
        <v>0.39600000000000002</v>
      </c>
      <c r="E185" s="3"/>
      <c r="F185" s="2"/>
      <c r="G185" s="2"/>
      <c r="H185" s="2"/>
      <c r="I185" s="2"/>
      <c r="J185" s="2"/>
      <c r="K185" s="2"/>
      <c r="L185" s="2"/>
      <c r="M185" s="2"/>
    </row>
    <row r="186" spans="1:13" x14ac:dyDescent="0.25">
      <c r="A186" t="s">
        <v>468</v>
      </c>
      <c r="B186" s="2">
        <v>6</v>
      </c>
      <c r="C186" s="34">
        <f>L15</f>
        <v>0.39600000000000002</v>
      </c>
      <c r="D186" s="20">
        <f t="shared" si="4"/>
        <v>0.39600000000000002</v>
      </c>
      <c r="E186" s="3"/>
      <c r="F186" s="2"/>
      <c r="G186" s="2"/>
      <c r="H186" s="2"/>
      <c r="I186" s="2"/>
      <c r="J186" s="2"/>
      <c r="K186" s="2"/>
      <c r="L186" s="2"/>
      <c r="M186" s="2"/>
    </row>
    <row r="187" spans="1:13" x14ac:dyDescent="0.25">
      <c r="A187" t="s">
        <v>470</v>
      </c>
      <c r="B187" s="2">
        <v>6</v>
      </c>
      <c r="C187" s="34">
        <f>L15</f>
        <v>0.39600000000000002</v>
      </c>
      <c r="D187" s="20">
        <f t="shared" si="4"/>
        <v>0.39600000000000002</v>
      </c>
      <c r="E187" s="3"/>
      <c r="F187" s="2"/>
      <c r="G187" s="2"/>
      <c r="H187" s="2"/>
      <c r="I187" s="2"/>
      <c r="J187" s="2"/>
      <c r="K187" s="2"/>
      <c r="L187" s="2"/>
      <c r="M187" s="2"/>
    </row>
    <row r="188" spans="1:13" x14ac:dyDescent="0.25">
      <c r="A188" t="s">
        <v>472</v>
      </c>
      <c r="B188" s="2">
        <v>6</v>
      </c>
      <c r="C188" s="34">
        <f>L15</f>
        <v>0.39600000000000002</v>
      </c>
      <c r="D188" s="20">
        <f t="shared" si="4"/>
        <v>0.39600000000000002</v>
      </c>
      <c r="E188" s="3"/>
      <c r="F188" s="2"/>
      <c r="G188" s="2"/>
      <c r="H188" s="2"/>
      <c r="I188" s="2"/>
      <c r="J188" s="2"/>
      <c r="K188" s="2"/>
      <c r="L188" s="2"/>
      <c r="M188" s="2"/>
    </row>
    <row r="189" spans="1:13" x14ac:dyDescent="0.25">
      <c r="A189" t="s">
        <v>474</v>
      </c>
      <c r="B189" s="2">
        <v>6</v>
      </c>
      <c r="C189" s="34">
        <f>L15</f>
        <v>0.39600000000000002</v>
      </c>
      <c r="D189" s="20">
        <f t="shared" si="4"/>
        <v>0.39600000000000002</v>
      </c>
      <c r="E189" s="3"/>
      <c r="F189" s="2"/>
      <c r="G189" s="2"/>
      <c r="H189" s="2"/>
      <c r="I189" s="2"/>
      <c r="J189" s="2"/>
      <c r="K189" s="2"/>
      <c r="L189" s="2"/>
      <c r="M189" s="2"/>
    </row>
    <row r="190" spans="1:13" x14ac:dyDescent="0.25">
      <c r="A190" t="s">
        <v>476</v>
      </c>
      <c r="B190" s="2">
        <v>6</v>
      </c>
      <c r="C190" s="34">
        <f>L15</f>
        <v>0.39600000000000002</v>
      </c>
      <c r="D190" s="20">
        <f t="shared" si="4"/>
        <v>0.39600000000000002</v>
      </c>
      <c r="E190" s="3"/>
      <c r="F190" s="2"/>
      <c r="G190" s="2"/>
      <c r="H190" s="2"/>
      <c r="I190" s="2"/>
      <c r="J190" s="2"/>
      <c r="K190" s="2"/>
      <c r="L190" s="2"/>
      <c r="M190" s="2"/>
    </row>
    <row r="191" spans="1:13" x14ac:dyDescent="0.25">
      <c r="A191" t="s">
        <v>407</v>
      </c>
      <c r="B191" s="2">
        <v>8</v>
      </c>
      <c r="C191" s="34">
        <f>L16</f>
        <v>0.41800000000000004</v>
      </c>
      <c r="D191" s="20">
        <f t="shared" si="4"/>
        <v>0.41800000000000004</v>
      </c>
      <c r="E191" s="3"/>
      <c r="F191" s="2"/>
      <c r="G191" s="2"/>
      <c r="H191" s="2"/>
      <c r="I191" s="2"/>
      <c r="J191" s="2"/>
      <c r="K191" s="2"/>
      <c r="L191" s="2"/>
      <c r="M191" s="2"/>
    </row>
    <row r="192" spans="1:13" x14ac:dyDescent="0.25">
      <c r="A192" t="s">
        <v>409</v>
      </c>
      <c r="B192" s="2">
        <v>8</v>
      </c>
      <c r="C192" s="34">
        <f>L16</f>
        <v>0.41800000000000004</v>
      </c>
      <c r="D192" s="20">
        <f t="shared" si="4"/>
        <v>0.41800000000000004</v>
      </c>
      <c r="E192" s="3"/>
      <c r="F192" s="2"/>
      <c r="G192" s="2"/>
      <c r="H192" s="2"/>
      <c r="I192" s="2"/>
      <c r="J192" s="2"/>
      <c r="K192" s="2"/>
      <c r="L192" s="2"/>
      <c r="M192" s="2"/>
    </row>
    <row r="193" spans="1:13" x14ac:dyDescent="0.25">
      <c r="A193" t="s">
        <v>411</v>
      </c>
      <c r="B193" s="2">
        <v>8</v>
      </c>
      <c r="C193" s="34">
        <f>L16</f>
        <v>0.41800000000000004</v>
      </c>
      <c r="D193" s="20">
        <f t="shared" si="4"/>
        <v>0.41800000000000004</v>
      </c>
      <c r="E193" s="3"/>
      <c r="F193" s="2"/>
      <c r="G193" s="2"/>
      <c r="H193" s="2"/>
      <c r="I193" s="2"/>
      <c r="J193" s="2"/>
      <c r="K193" s="2"/>
      <c r="L193" s="2"/>
      <c r="M193" s="2"/>
    </row>
    <row r="194" spans="1:13" x14ac:dyDescent="0.25">
      <c r="A194" t="s">
        <v>413</v>
      </c>
      <c r="B194" s="2">
        <v>8</v>
      </c>
      <c r="C194" s="34">
        <f>L16</f>
        <v>0.41800000000000004</v>
      </c>
      <c r="D194" s="20">
        <f t="shared" si="4"/>
        <v>0.41800000000000004</v>
      </c>
      <c r="E194" s="3"/>
      <c r="F194" s="2"/>
      <c r="G194" s="2"/>
      <c r="H194" s="2"/>
      <c r="I194" s="2"/>
      <c r="J194" s="2"/>
      <c r="K194" s="2"/>
      <c r="L194" s="2"/>
      <c r="M194" s="2"/>
    </row>
    <row r="195" spans="1:13" x14ac:dyDescent="0.25">
      <c r="A195" t="s">
        <v>415</v>
      </c>
      <c r="B195" s="2">
        <v>8</v>
      </c>
      <c r="C195" s="34">
        <f>L16</f>
        <v>0.41800000000000004</v>
      </c>
      <c r="D195" s="20">
        <f t="shared" si="4"/>
        <v>0.41800000000000004</v>
      </c>
      <c r="E195" s="3"/>
      <c r="F195" s="2"/>
      <c r="G195" s="2"/>
      <c r="H195" s="2"/>
      <c r="I195" s="2"/>
      <c r="J195" s="2"/>
      <c r="K195" s="2"/>
      <c r="L195" s="2"/>
      <c r="M195" s="2"/>
    </row>
    <row r="196" spans="1:13" x14ac:dyDescent="0.25">
      <c r="A196" t="s">
        <v>417</v>
      </c>
      <c r="B196" s="2">
        <v>8</v>
      </c>
      <c r="C196" s="34">
        <f>L16</f>
        <v>0.41800000000000004</v>
      </c>
      <c r="D196" s="20">
        <f t="shared" si="4"/>
        <v>0.41800000000000004</v>
      </c>
      <c r="E196" s="3"/>
      <c r="F196" s="2"/>
      <c r="G196" s="2"/>
      <c r="H196" s="2"/>
      <c r="I196" s="2"/>
      <c r="J196" s="2"/>
      <c r="K196" s="2"/>
      <c r="L196" s="2"/>
      <c r="M196" s="2"/>
    </row>
    <row r="197" spans="1:13" x14ac:dyDescent="0.25">
      <c r="A197" t="s">
        <v>419</v>
      </c>
      <c r="B197" s="2">
        <v>8</v>
      </c>
      <c r="C197" s="34">
        <f>L16</f>
        <v>0.41800000000000004</v>
      </c>
      <c r="D197" s="20">
        <f t="shared" si="4"/>
        <v>0.41800000000000004</v>
      </c>
      <c r="E197" s="3"/>
      <c r="F197" s="2"/>
      <c r="G197" s="2"/>
      <c r="H197" s="2"/>
      <c r="I197" s="2"/>
      <c r="J197" s="2"/>
      <c r="K197" s="2"/>
      <c r="L197" s="2"/>
      <c r="M197" s="2"/>
    </row>
    <row r="198" spans="1:13" x14ac:dyDescent="0.25">
      <c r="A198" t="s">
        <v>421</v>
      </c>
      <c r="B198" s="2">
        <v>8</v>
      </c>
      <c r="C198" s="34">
        <f>L16</f>
        <v>0.41800000000000004</v>
      </c>
      <c r="D198" s="20">
        <f t="shared" si="4"/>
        <v>0.41800000000000004</v>
      </c>
      <c r="E198" s="3"/>
      <c r="F198" s="2"/>
      <c r="G198" s="2"/>
      <c r="H198" s="2"/>
      <c r="I198" s="2"/>
      <c r="J198" s="2"/>
      <c r="K198" s="2"/>
      <c r="L198" s="2"/>
      <c r="M198" s="2"/>
    </row>
    <row r="199" spans="1:13" x14ac:dyDescent="0.25">
      <c r="A199" t="s">
        <v>423</v>
      </c>
      <c r="B199" s="2">
        <v>8</v>
      </c>
      <c r="C199" s="34">
        <f>L16</f>
        <v>0.41800000000000004</v>
      </c>
      <c r="D199" s="20">
        <f t="shared" ref="D199:D231" si="5">C199</f>
        <v>0.41800000000000004</v>
      </c>
      <c r="E199" s="3"/>
      <c r="F199" s="2"/>
      <c r="G199" s="2"/>
      <c r="H199" s="2"/>
      <c r="I199" s="2"/>
      <c r="J199" s="2"/>
      <c r="K199" s="2"/>
      <c r="L199" s="2"/>
      <c r="M199" s="2"/>
    </row>
    <row r="200" spans="1:13" x14ac:dyDescent="0.25">
      <c r="A200" t="s">
        <v>425</v>
      </c>
      <c r="B200" s="2">
        <v>10</v>
      </c>
      <c r="C200" s="34">
        <f>L17</f>
        <v>0.47300000000000009</v>
      </c>
      <c r="D200" s="20">
        <f t="shared" si="5"/>
        <v>0.47300000000000009</v>
      </c>
      <c r="E200" s="3"/>
      <c r="F200" s="2"/>
      <c r="G200" s="2"/>
      <c r="H200" s="2"/>
      <c r="I200" s="2"/>
      <c r="J200" s="2"/>
      <c r="K200" s="2"/>
      <c r="L200" s="2"/>
      <c r="M200" s="2"/>
    </row>
    <row r="201" spans="1:13" x14ac:dyDescent="0.25">
      <c r="A201" t="s">
        <v>427</v>
      </c>
      <c r="B201" s="2">
        <v>10</v>
      </c>
      <c r="C201" s="34">
        <f>L17</f>
        <v>0.47300000000000009</v>
      </c>
      <c r="D201" s="20">
        <f t="shared" si="5"/>
        <v>0.47300000000000009</v>
      </c>
      <c r="E201" s="3"/>
      <c r="F201" s="2"/>
      <c r="G201" s="2"/>
      <c r="H201" s="2"/>
      <c r="I201" s="2"/>
      <c r="J201" s="2"/>
      <c r="K201" s="2"/>
      <c r="L201" s="2"/>
      <c r="M201" s="2"/>
    </row>
    <row r="202" spans="1:13" x14ac:dyDescent="0.25">
      <c r="A202" t="s">
        <v>429</v>
      </c>
      <c r="B202" s="2">
        <v>10</v>
      </c>
      <c r="C202" s="34">
        <f>L17</f>
        <v>0.47300000000000009</v>
      </c>
      <c r="D202" s="20">
        <f t="shared" si="5"/>
        <v>0.47300000000000009</v>
      </c>
      <c r="E202" s="3"/>
      <c r="F202" s="2"/>
      <c r="G202" s="2"/>
      <c r="H202" s="2"/>
      <c r="I202" s="2"/>
      <c r="J202" s="2"/>
      <c r="K202" s="2"/>
      <c r="L202" s="2"/>
      <c r="M202" s="2"/>
    </row>
    <row r="203" spans="1:13" x14ac:dyDescent="0.25">
      <c r="A203" t="s">
        <v>431</v>
      </c>
      <c r="B203" s="2">
        <v>10</v>
      </c>
      <c r="C203" s="34">
        <f>L17</f>
        <v>0.47300000000000009</v>
      </c>
      <c r="D203" s="20">
        <f t="shared" si="5"/>
        <v>0.47300000000000009</v>
      </c>
      <c r="E203" s="3"/>
      <c r="F203" s="2"/>
      <c r="G203" s="2"/>
      <c r="H203" s="2"/>
      <c r="I203" s="2"/>
      <c r="J203" s="2"/>
      <c r="K203" s="2"/>
      <c r="L203" s="2"/>
      <c r="M203" s="2"/>
    </row>
    <row r="204" spans="1:13" x14ac:dyDescent="0.25">
      <c r="A204" t="s">
        <v>433</v>
      </c>
      <c r="B204" s="2">
        <v>10</v>
      </c>
      <c r="C204" s="34">
        <f>L17</f>
        <v>0.47300000000000009</v>
      </c>
      <c r="D204" s="20">
        <f t="shared" si="5"/>
        <v>0.47300000000000009</v>
      </c>
      <c r="E204" s="3"/>
      <c r="F204" s="2"/>
      <c r="G204" s="2"/>
      <c r="H204" s="2"/>
      <c r="I204" s="2"/>
      <c r="J204" s="2"/>
      <c r="K204" s="2"/>
      <c r="L204" s="2"/>
      <c r="M204" s="2"/>
    </row>
    <row r="205" spans="1:13" x14ac:dyDescent="0.25">
      <c r="A205" t="s">
        <v>435</v>
      </c>
      <c r="B205" s="2">
        <v>10</v>
      </c>
      <c r="C205" s="34">
        <f>L17</f>
        <v>0.47300000000000009</v>
      </c>
      <c r="D205" s="20">
        <f t="shared" si="5"/>
        <v>0.47300000000000009</v>
      </c>
      <c r="E205" s="3"/>
      <c r="F205" s="2"/>
      <c r="G205" s="2"/>
      <c r="H205" s="2"/>
      <c r="I205" s="2"/>
      <c r="J205" s="2"/>
      <c r="K205" s="2"/>
      <c r="L205" s="2"/>
      <c r="M205" s="2"/>
    </row>
    <row r="206" spans="1:13" x14ac:dyDescent="0.25">
      <c r="A206" t="s">
        <v>437</v>
      </c>
      <c r="B206" s="2">
        <v>10</v>
      </c>
      <c r="C206" s="34">
        <f>L17</f>
        <v>0.47300000000000009</v>
      </c>
      <c r="D206" s="20">
        <f t="shared" si="5"/>
        <v>0.47300000000000009</v>
      </c>
      <c r="E206" s="3"/>
      <c r="F206" s="2"/>
      <c r="G206" s="2"/>
      <c r="H206" s="2"/>
      <c r="I206" s="2"/>
      <c r="J206" s="2"/>
      <c r="K206" s="2"/>
      <c r="L206" s="2"/>
      <c r="M206" s="2"/>
    </row>
    <row r="207" spans="1:13" x14ac:dyDescent="0.25">
      <c r="A207" t="s">
        <v>439</v>
      </c>
      <c r="B207" s="2">
        <v>10</v>
      </c>
      <c r="C207" s="34">
        <f>L17</f>
        <v>0.47300000000000009</v>
      </c>
      <c r="D207" s="20">
        <f t="shared" si="5"/>
        <v>0.47300000000000009</v>
      </c>
      <c r="E207" s="3"/>
      <c r="F207" s="2"/>
      <c r="G207" s="2"/>
      <c r="H207" s="2"/>
      <c r="I207" s="2"/>
      <c r="J207" s="2"/>
      <c r="K207" s="2"/>
      <c r="L207" s="2"/>
      <c r="M207" s="2"/>
    </row>
    <row r="208" spans="1:13" x14ac:dyDescent="0.25">
      <c r="A208" t="s">
        <v>301</v>
      </c>
      <c r="B208" s="2">
        <v>3</v>
      </c>
      <c r="C208" s="34">
        <f>L6</f>
        <v>0.31900000000000006</v>
      </c>
      <c r="D208" s="20">
        <f t="shared" si="5"/>
        <v>0.31900000000000006</v>
      </c>
      <c r="E208" s="3"/>
      <c r="F208" s="2"/>
      <c r="G208" s="2"/>
      <c r="H208" s="2"/>
      <c r="I208" s="2"/>
      <c r="J208" s="2"/>
      <c r="K208" s="2"/>
      <c r="L208" s="2"/>
      <c r="M208" s="2"/>
    </row>
    <row r="209" spans="1:13" x14ac:dyDescent="0.25">
      <c r="A209" t="s">
        <v>303</v>
      </c>
      <c r="B209" s="2">
        <v>3</v>
      </c>
      <c r="C209" s="34">
        <f>L6</f>
        <v>0.31900000000000006</v>
      </c>
      <c r="D209" s="20">
        <f t="shared" si="5"/>
        <v>0.31900000000000006</v>
      </c>
      <c r="E209" s="3"/>
      <c r="F209" s="2"/>
      <c r="G209" s="2"/>
      <c r="H209" s="2"/>
      <c r="I209" s="2"/>
      <c r="J209" s="2"/>
      <c r="K209" s="2"/>
      <c r="L209" s="2"/>
      <c r="M209" s="2"/>
    </row>
    <row r="210" spans="1:13" x14ac:dyDescent="0.25">
      <c r="A210" t="s">
        <v>305</v>
      </c>
      <c r="B210" s="2">
        <v>3</v>
      </c>
      <c r="C210" s="34">
        <f>L6</f>
        <v>0.31900000000000006</v>
      </c>
      <c r="D210" s="20">
        <f t="shared" si="5"/>
        <v>0.31900000000000006</v>
      </c>
      <c r="E210" s="3"/>
      <c r="F210" s="2"/>
      <c r="G210" s="2"/>
      <c r="H210" s="2"/>
      <c r="I210" s="2"/>
      <c r="J210" s="2"/>
      <c r="K210" s="2"/>
      <c r="L210" s="2"/>
      <c r="M210" s="2"/>
    </row>
    <row r="211" spans="1:13" x14ac:dyDescent="0.25">
      <c r="A211" t="s">
        <v>307</v>
      </c>
      <c r="B211" s="2">
        <v>3</v>
      </c>
      <c r="C211" s="34">
        <f>L6</f>
        <v>0.31900000000000006</v>
      </c>
      <c r="D211" s="20">
        <f t="shared" si="5"/>
        <v>0.31900000000000006</v>
      </c>
      <c r="E211" s="3"/>
      <c r="F211" s="2"/>
      <c r="G211" s="2"/>
      <c r="H211" s="2"/>
      <c r="I211" s="2"/>
      <c r="J211" s="2"/>
      <c r="K211" s="2"/>
      <c r="L211" s="2"/>
      <c r="M211" s="2"/>
    </row>
    <row r="212" spans="1:13" x14ac:dyDescent="0.25">
      <c r="A212" t="s">
        <v>309</v>
      </c>
      <c r="B212" s="2">
        <v>4</v>
      </c>
      <c r="C212" s="34">
        <f>L7</f>
        <v>0.31900000000000006</v>
      </c>
      <c r="D212" s="20">
        <f t="shared" si="5"/>
        <v>0.31900000000000006</v>
      </c>
      <c r="E212" s="3"/>
      <c r="F212" s="2"/>
      <c r="G212" s="2"/>
      <c r="H212" s="2"/>
      <c r="I212" s="2"/>
      <c r="J212" s="2"/>
      <c r="K212" s="2"/>
      <c r="L212" s="2"/>
      <c r="M212" s="2"/>
    </row>
    <row r="213" spans="1:13" x14ac:dyDescent="0.25">
      <c r="A213" t="s">
        <v>311</v>
      </c>
      <c r="B213" s="2">
        <v>4</v>
      </c>
      <c r="C213" s="34">
        <f>L7</f>
        <v>0.31900000000000006</v>
      </c>
      <c r="D213" s="20">
        <f t="shared" si="5"/>
        <v>0.31900000000000006</v>
      </c>
      <c r="E213" s="3"/>
      <c r="F213" s="2"/>
      <c r="G213" s="2"/>
      <c r="H213" s="2"/>
      <c r="I213" s="2"/>
      <c r="J213" s="2"/>
      <c r="K213" s="2"/>
      <c r="L213" s="2"/>
      <c r="M213" s="2"/>
    </row>
    <row r="214" spans="1:13" x14ac:dyDescent="0.25">
      <c r="A214" t="s">
        <v>313</v>
      </c>
      <c r="B214" s="2">
        <v>5</v>
      </c>
      <c r="C214" s="34">
        <f>L8</f>
        <v>0.41800000000000004</v>
      </c>
      <c r="D214" s="20">
        <f t="shared" si="5"/>
        <v>0.41800000000000004</v>
      </c>
      <c r="E214" s="3"/>
      <c r="F214" s="2"/>
      <c r="G214" s="2"/>
      <c r="H214" s="2"/>
      <c r="I214" s="2"/>
      <c r="J214" s="2"/>
      <c r="K214" s="2"/>
      <c r="L214" s="2"/>
      <c r="M214" s="2"/>
    </row>
    <row r="215" spans="1:13" x14ac:dyDescent="0.25">
      <c r="A215" t="s">
        <v>315</v>
      </c>
      <c r="B215" s="2">
        <v>5</v>
      </c>
      <c r="C215" s="34">
        <f>L8</f>
        <v>0.41800000000000004</v>
      </c>
      <c r="D215" s="20">
        <f t="shared" si="5"/>
        <v>0.41800000000000004</v>
      </c>
      <c r="E215" s="3"/>
      <c r="F215" s="2"/>
      <c r="G215" s="2"/>
      <c r="H215" s="2"/>
      <c r="I215" s="2"/>
      <c r="J215" s="2"/>
      <c r="K215" s="2"/>
      <c r="L215" s="2"/>
      <c r="M215" s="2"/>
    </row>
    <row r="216" spans="1:13" x14ac:dyDescent="0.25">
      <c r="A216" t="s">
        <v>317</v>
      </c>
      <c r="B216" s="2">
        <v>6</v>
      </c>
      <c r="C216" s="34">
        <f>L9</f>
        <v>0.45100000000000007</v>
      </c>
      <c r="D216" s="20">
        <f t="shared" si="5"/>
        <v>0.45100000000000007</v>
      </c>
      <c r="E216" s="3"/>
      <c r="F216" s="2"/>
      <c r="G216" s="2"/>
      <c r="H216" s="2"/>
      <c r="I216" s="2"/>
      <c r="J216" s="2"/>
      <c r="K216" s="2"/>
      <c r="L216" s="2"/>
      <c r="M216" s="2"/>
    </row>
    <row r="217" spans="1:13" x14ac:dyDescent="0.25">
      <c r="A217" t="s">
        <v>319</v>
      </c>
      <c r="B217" s="2">
        <v>7</v>
      </c>
      <c r="C217" s="34">
        <f>L10</f>
        <v>0.47300000000000009</v>
      </c>
      <c r="D217" s="20">
        <f t="shared" si="5"/>
        <v>0.47300000000000009</v>
      </c>
      <c r="E217" s="3"/>
      <c r="F217" s="2"/>
      <c r="G217" s="2"/>
      <c r="H217" s="2"/>
      <c r="I217" s="2"/>
      <c r="J217" s="2"/>
      <c r="K217" s="2"/>
      <c r="L217" s="2"/>
      <c r="M217" s="2"/>
    </row>
    <row r="218" spans="1:13" x14ac:dyDescent="0.25">
      <c r="A218" t="s">
        <v>321</v>
      </c>
      <c r="B218" s="2">
        <v>8</v>
      </c>
      <c r="C218" s="34">
        <f>L10</f>
        <v>0.47300000000000009</v>
      </c>
      <c r="D218" s="20">
        <f t="shared" si="5"/>
        <v>0.47300000000000009</v>
      </c>
      <c r="E218" s="3"/>
      <c r="F218" s="2"/>
      <c r="G218" s="2"/>
      <c r="H218" s="2"/>
      <c r="I218" s="2"/>
      <c r="J218" s="2"/>
      <c r="K218" s="2"/>
      <c r="L218" s="2"/>
      <c r="M218" s="2"/>
    </row>
    <row r="219" spans="1:13" x14ac:dyDescent="0.25">
      <c r="A219" t="s">
        <v>323</v>
      </c>
      <c r="B219" s="2">
        <v>8</v>
      </c>
      <c r="C219" s="34">
        <f>L10</f>
        <v>0.47300000000000009</v>
      </c>
      <c r="D219" s="20">
        <f t="shared" si="5"/>
        <v>0.47300000000000009</v>
      </c>
      <c r="E219" s="3"/>
      <c r="F219" s="2"/>
      <c r="G219" s="2"/>
      <c r="H219" s="2"/>
      <c r="I219" s="2"/>
      <c r="J219" s="2"/>
      <c r="K219" s="2"/>
      <c r="L219" s="2"/>
      <c r="M219" s="2"/>
    </row>
    <row r="220" spans="1:13" x14ac:dyDescent="0.25">
      <c r="A220" t="s">
        <v>325</v>
      </c>
      <c r="B220" s="2">
        <v>3</v>
      </c>
      <c r="C220" s="34">
        <f>L6</f>
        <v>0.31900000000000006</v>
      </c>
      <c r="D220" s="20">
        <f t="shared" si="5"/>
        <v>0.31900000000000006</v>
      </c>
      <c r="E220" s="3"/>
      <c r="F220" s="2"/>
      <c r="G220" s="2"/>
      <c r="H220" s="2"/>
      <c r="I220" s="2"/>
      <c r="J220" s="2"/>
      <c r="K220" s="2"/>
      <c r="L220" s="2"/>
      <c r="M220" s="2"/>
    </row>
    <row r="221" spans="1:13" x14ac:dyDescent="0.25">
      <c r="A221" t="s">
        <v>327</v>
      </c>
      <c r="B221" s="2">
        <v>3</v>
      </c>
      <c r="C221" s="34">
        <f>L6</f>
        <v>0.31900000000000006</v>
      </c>
      <c r="D221" s="20">
        <f t="shared" si="5"/>
        <v>0.31900000000000006</v>
      </c>
      <c r="E221" s="3"/>
      <c r="F221" s="2"/>
      <c r="G221" s="2"/>
      <c r="H221" s="2"/>
      <c r="I221" s="2"/>
      <c r="J221" s="2"/>
      <c r="K221" s="2"/>
      <c r="L221" s="2"/>
      <c r="M221" s="2"/>
    </row>
    <row r="222" spans="1:13" x14ac:dyDescent="0.25">
      <c r="A222" t="s">
        <v>329</v>
      </c>
      <c r="B222" s="2">
        <v>3</v>
      </c>
      <c r="C222" s="34">
        <f>L6</f>
        <v>0.31900000000000006</v>
      </c>
      <c r="D222" s="20">
        <f t="shared" si="5"/>
        <v>0.31900000000000006</v>
      </c>
      <c r="E222" s="3"/>
      <c r="F222" s="2"/>
      <c r="G222" s="2"/>
      <c r="H222" s="2"/>
      <c r="I222" s="2"/>
      <c r="J222" s="2"/>
      <c r="K222" s="2"/>
      <c r="L222" s="2"/>
      <c r="M222" s="2"/>
    </row>
    <row r="223" spans="1:13" x14ac:dyDescent="0.25">
      <c r="A223" t="s">
        <v>331</v>
      </c>
      <c r="B223" s="2">
        <v>3</v>
      </c>
      <c r="C223" s="34">
        <f>L6</f>
        <v>0.31900000000000006</v>
      </c>
      <c r="D223" s="20">
        <f t="shared" si="5"/>
        <v>0.31900000000000006</v>
      </c>
      <c r="E223" s="3"/>
      <c r="F223" s="2"/>
      <c r="G223" s="2"/>
      <c r="H223" s="2"/>
      <c r="I223" s="2"/>
      <c r="J223" s="2"/>
      <c r="K223" s="2"/>
      <c r="L223" s="2"/>
      <c r="M223" s="2"/>
    </row>
    <row r="224" spans="1:13" x14ac:dyDescent="0.25">
      <c r="A224" t="s">
        <v>333</v>
      </c>
      <c r="B224" s="2">
        <v>4</v>
      </c>
      <c r="C224" s="34">
        <f>L7</f>
        <v>0.31900000000000006</v>
      </c>
      <c r="D224" s="20">
        <f t="shared" si="5"/>
        <v>0.31900000000000006</v>
      </c>
      <c r="E224" s="3"/>
      <c r="F224" s="2"/>
      <c r="G224" s="2"/>
      <c r="H224" s="2"/>
      <c r="I224" s="2"/>
      <c r="J224" s="2"/>
      <c r="K224" s="2"/>
      <c r="L224" s="2"/>
      <c r="M224" s="2"/>
    </row>
    <row r="225" spans="1:13" x14ac:dyDescent="0.25">
      <c r="A225" t="s">
        <v>335</v>
      </c>
      <c r="B225" s="2">
        <v>4</v>
      </c>
      <c r="C225" s="34">
        <f>L7</f>
        <v>0.31900000000000006</v>
      </c>
      <c r="D225" s="20">
        <f t="shared" si="5"/>
        <v>0.31900000000000006</v>
      </c>
      <c r="E225" s="3"/>
      <c r="F225" s="2"/>
      <c r="G225" s="2"/>
      <c r="H225" s="2"/>
      <c r="I225" s="2"/>
      <c r="J225" s="2"/>
      <c r="K225" s="2"/>
      <c r="L225" s="2"/>
      <c r="M225" s="2"/>
    </row>
    <row r="226" spans="1:13" x14ac:dyDescent="0.25">
      <c r="A226" t="s">
        <v>337</v>
      </c>
      <c r="B226" s="2">
        <v>5</v>
      </c>
      <c r="C226" s="34">
        <f>L8</f>
        <v>0.41800000000000004</v>
      </c>
      <c r="D226" s="20">
        <f t="shared" si="5"/>
        <v>0.41800000000000004</v>
      </c>
      <c r="E226" s="3"/>
      <c r="F226" s="2"/>
      <c r="G226" s="2"/>
      <c r="H226" s="2"/>
      <c r="I226" s="2"/>
      <c r="J226" s="2"/>
      <c r="K226" s="2"/>
      <c r="L226" s="2"/>
      <c r="M226" s="2"/>
    </row>
    <row r="227" spans="1:13" x14ac:dyDescent="0.25">
      <c r="A227" t="s">
        <v>339</v>
      </c>
      <c r="B227" s="2">
        <v>5</v>
      </c>
      <c r="C227" s="34">
        <f>L8</f>
        <v>0.41800000000000004</v>
      </c>
      <c r="D227" s="20">
        <f t="shared" si="5"/>
        <v>0.41800000000000004</v>
      </c>
      <c r="E227" s="3"/>
      <c r="F227" s="2"/>
      <c r="G227" s="2"/>
      <c r="H227" s="2"/>
      <c r="I227" s="2"/>
      <c r="J227" s="2"/>
      <c r="K227" s="2"/>
      <c r="L227" s="2"/>
      <c r="M227" s="2"/>
    </row>
    <row r="228" spans="1:13" x14ac:dyDescent="0.25">
      <c r="A228" t="s">
        <v>341</v>
      </c>
      <c r="B228" s="2">
        <v>6</v>
      </c>
      <c r="C228" s="34">
        <f>L9</f>
        <v>0.45100000000000007</v>
      </c>
      <c r="D228" s="20">
        <f t="shared" si="5"/>
        <v>0.45100000000000007</v>
      </c>
      <c r="E228" s="3"/>
      <c r="F228" s="2"/>
      <c r="G228" s="2"/>
      <c r="H228" s="2"/>
      <c r="I228" s="2"/>
      <c r="J228" s="2"/>
      <c r="K228" s="2"/>
      <c r="L228" s="2"/>
      <c r="M228" s="2"/>
    </row>
    <row r="229" spans="1:13" x14ac:dyDescent="0.25">
      <c r="A229" t="s">
        <v>343</v>
      </c>
      <c r="B229" s="2">
        <v>7</v>
      </c>
      <c r="C229" s="34">
        <f>L10</f>
        <v>0.47300000000000009</v>
      </c>
      <c r="D229" s="20">
        <f t="shared" si="5"/>
        <v>0.47300000000000009</v>
      </c>
      <c r="E229" s="3"/>
      <c r="F229" s="2"/>
      <c r="G229" s="2"/>
      <c r="H229" s="2"/>
      <c r="I229" s="2"/>
      <c r="J229" s="2"/>
      <c r="K229" s="2"/>
      <c r="L229" s="2"/>
      <c r="M229" s="2"/>
    </row>
    <row r="230" spans="1:13" x14ac:dyDescent="0.25">
      <c r="A230" t="s">
        <v>345</v>
      </c>
      <c r="B230" s="2">
        <v>8</v>
      </c>
      <c r="C230" s="34">
        <f>L10</f>
        <v>0.47300000000000009</v>
      </c>
      <c r="D230" s="20">
        <f t="shared" si="5"/>
        <v>0.47300000000000009</v>
      </c>
      <c r="E230" s="3"/>
      <c r="F230" s="2"/>
      <c r="G230" s="2"/>
      <c r="H230" s="2"/>
      <c r="I230" s="2"/>
      <c r="J230" s="2"/>
      <c r="K230" s="2"/>
      <c r="L230" s="2"/>
      <c r="M230" s="2"/>
    </row>
    <row r="231" spans="1:13" x14ac:dyDescent="0.25">
      <c r="A231" t="s">
        <v>347</v>
      </c>
      <c r="B231" s="2">
        <v>8</v>
      </c>
      <c r="C231" s="34">
        <f>L10</f>
        <v>0.47300000000000009</v>
      </c>
      <c r="D231" s="20">
        <f t="shared" si="5"/>
        <v>0.47300000000000009</v>
      </c>
      <c r="E231" s="3"/>
      <c r="F231" s="2"/>
      <c r="G231" s="2"/>
      <c r="H231" s="2"/>
      <c r="I231" s="2"/>
      <c r="J231" s="2"/>
      <c r="K231" s="2"/>
      <c r="L231" s="2"/>
      <c r="M231" s="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403"/>
  <sheetViews>
    <sheetView topLeftCell="A277" workbookViewId="0">
      <selection activeCell="E289" sqref="E289"/>
    </sheetView>
  </sheetViews>
  <sheetFormatPr defaultRowHeight="16.5" x14ac:dyDescent="0.25"/>
  <cols>
    <col min="1" max="1" width="15.625" customWidth="1"/>
    <col min="2" max="4" width="10.625" customWidth="1"/>
    <col min="5" max="5" width="10.625" style="1" customWidth="1"/>
    <col min="6" max="6" width="10.625" customWidth="1"/>
    <col min="7" max="9" width="10.625" style="2" customWidth="1"/>
    <col min="10" max="21" width="10.625" customWidth="1"/>
  </cols>
  <sheetData>
    <row r="1" spans="1:19" ht="21" x14ac:dyDescent="0.25">
      <c r="A1" s="25" t="s">
        <v>676</v>
      </c>
    </row>
    <row r="3" spans="1:19" x14ac:dyDescent="0.25">
      <c r="B3" t="s">
        <v>756</v>
      </c>
      <c r="J3" t="s">
        <v>701</v>
      </c>
    </row>
    <row r="4" spans="1:19" x14ac:dyDescent="0.25">
      <c r="J4" t="s">
        <v>702</v>
      </c>
    </row>
    <row r="5" spans="1:19" ht="17.25" thickBot="1" x14ac:dyDescent="0.3"/>
    <row r="6" spans="1:19" x14ac:dyDescent="0.25">
      <c r="A6" t="s">
        <v>0</v>
      </c>
      <c r="B6" s="2" t="s">
        <v>443</v>
      </c>
      <c r="C6" s="2" t="s">
        <v>452</v>
      </c>
      <c r="D6" s="2" t="s">
        <v>454</v>
      </c>
      <c r="E6" s="32" t="s">
        <v>645</v>
      </c>
      <c r="F6" s="2" t="s">
        <v>757</v>
      </c>
      <c r="G6" s="78" t="s">
        <v>758</v>
      </c>
      <c r="H6" s="21" t="s">
        <v>829</v>
      </c>
      <c r="J6" s="61" t="s">
        <v>677</v>
      </c>
      <c r="K6" s="37" t="s">
        <v>678</v>
      </c>
      <c r="L6" s="37" t="s">
        <v>1007</v>
      </c>
      <c r="M6" s="37" t="s">
        <v>778</v>
      </c>
      <c r="N6" s="44" t="s">
        <v>703</v>
      </c>
      <c r="O6" s="2"/>
      <c r="P6" s="2"/>
      <c r="Q6" s="2"/>
      <c r="R6" s="2"/>
      <c r="S6" s="2"/>
    </row>
    <row r="7" spans="1:19" x14ac:dyDescent="0.25">
      <c r="A7" t="s">
        <v>11</v>
      </c>
      <c r="B7" s="2">
        <v>3</v>
      </c>
      <c r="C7" s="2">
        <v>60</v>
      </c>
      <c r="D7" s="49">
        <v>60</v>
      </c>
      <c r="E7" s="32">
        <f>D7+C7</f>
        <v>120</v>
      </c>
      <c r="F7" s="2">
        <v>25</v>
      </c>
      <c r="G7" s="78">
        <v>0</v>
      </c>
      <c r="H7" s="22">
        <f>E7/F7*G7</f>
        <v>0</v>
      </c>
      <c r="J7" s="62" t="s">
        <v>680</v>
      </c>
      <c r="K7" s="40" t="s">
        <v>681</v>
      </c>
      <c r="L7" s="51">
        <v>0.18</v>
      </c>
      <c r="M7" s="40">
        <v>1.05</v>
      </c>
      <c r="N7" s="45">
        <f>M7*L7</f>
        <v>0.189</v>
      </c>
      <c r="O7" s="2"/>
      <c r="P7" s="2"/>
      <c r="Q7" s="2"/>
      <c r="R7" s="2"/>
      <c r="S7" s="2"/>
    </row>
    <row r="8" spans="1:19" x14ac:dyDescent="0.25">
      <c r="A8" t="s">
        <v>13</v>
      </c>
      <c r="B8" s="2">
        <v>3</v>
      </c>
      <c r="C8" s="2">
        <v>80</v>
      </c>
      <c r="D8" s="49">
        <v>60</v>
      </c>
      <c r="E8" s="32">
        <f t="shared" ref="E8:E71" si="0">D8+C8</f>
        <v>140</v>
      </c>
      <c r="F8" s="2">
        <v>25</v>
      </c>
      <c r="G8" s="78">
        <f>N7</f>
        <v>0.189</v>
      </c>
      <c r="H8" s="22">
        <f t="shared" ref="H8:H71" si="1">E8/F8*G8</f>
        <v>1.0584</v>
      </c>
      <c r="J8" s="62" t="s">
        <v>680</v>
      </c>
      <c r="K8" s="40" t="s">
        <v>682</v>
      </c>
      <c r="L8" s="51">
        <v>0.24</v>
      </c>
      <c r="M8" s="40">
        <v>1.05</v>
      </c>
      <c r="N8" s="45">
        <f t="shared" ref="N8:N22" si="2">M8*L8</f>
        <v>0.252</v>
      </c>
      <c r="O8" s="2"/>
      <c r="P8" s="2"/>
      <c r="Q8" s="2"/>
      <c r="R8" s="2"/>
      <c r="S8" s="2"/>
    </row>
    <row r="9" spans="1:19" x14ac:dyDescent="0.25">
      <c r="A9" t="s">
        <v>15</v>
      </c>
      <c r="B9" s="2">
        <v>3</v>
      </c>
      <c r="C9" s="2">
        <v>100</v>
      </c>
      <c r="D9" s="49">
        <v>60</v>
      </c>
      <c r="E9" s="32">
        <f t="shared" si="0"/>
        <v>160</v>
      </c>
      <c r="F9" s="2">
        <v>25</v>
      </c>
      <c r="G9" s="78">
        <f>N7</f>
        <v>0.189</v>
      </c>
      <c r="H9" s="22">
        <f t="shared" si="1"/>
        <v>1.2096</v>
      </c>
      <c r="J9" s="62" t="s">
        <v>680</v>
      </c>
      <c r="K9" s="40" t="s">
        <v>684</v>
      </c>
      <c r="L9" s="51">
        <v>0.3</v>
      </c>
      <c r="M9" s="40">
        <v>1.05</v>
      </c>
      <c r="N9" s="45">
        <f t="shared" si="2"/>
        <v>0.315</v>
      </c>
      <c r="O9" s="2"/>
      <c r="P9" s="2"/>
      <c r="Q9" s="2"/>
      <c r="R9" s="2"/>
      <c r="S9" s="2"/>
    </row>
    <row r="10" spans="1:19" x14ac:dyDescent="0.25">
      <c r="A10" t="s">
        <v>17</v>
      </c>
      <c r="B10" s="2">
        <v>3</v>
      </c>
      <c r="C10" s="2">
        <v>125</v>
      </c>
      <c r="D10" s="49">
        <v>60</v>
      </c>
      <c r="E10" s="32">
        <f t="shared" si="0"/>
        <v>185</v>
      </c>
      <c r="F10" s="2">
        <v>25</v>
      </c>
      <c r="G10" s="78">
        <f>N8</f>
        <v>0.252</v>
      </c>
      <c r="H10" s="22">
        <f t="shared" si="1"/>
        <v>1.8648</v>
      </c>
      <c r="J10" s="62" t="s">
        <v>685</v>
      </c>
      <c r="K10" s="40" t="s">
        <v>686</v>
      </c>
      <c r="L10" s="51">
        <v>6</v>
      </c>
      <c r="M10" s="40">
        <v>1.05</v>
      </c>
      <c r="N10" s="45">
        <f t="shared" si="2"/>
        <v>6.3000000000000007</v>
      </c>
      <c r="O10" s="2"/>
      <c r="P10" s="2"/>
      <c r="Q10" s="2"/>
      <c r="R10" s="2"/>
      <c r="S10" s="2"/>
    </row>
    <row r="11" spans="1:19" x14ac:dyDescent="0.25">
      <c r="A11" t="s">
        <v>19</v>
      </c>
      <c r="B11" s="2">
        <v>3</v>
      </c>
      <c r="C11" s="2">
        <v>150</v>
      </c>
      <c r="D11" s="49">
        <v>60</v>
      </c>
      <c r="E11" s="32">
        <f t="shared" si="0"/>
        <v>210</v>
      </c>
      <c r="F11" s="2">
        <v>25</v>
      </c>
      <c r="G11" s="78">
        <f>N8</f>
        <v>0.252</v>
      </c>
      <c r="H11" s="22">
        <f t="shared" si="1"/>
        <v>2.1168</v>
      </c>
      <c r="J11" s="62" t="s">
        <v>687</v>
      </c>
      <c r="K11" s="40" t="s">
        <v>688</v>
      </c>
      <c r="L11" s="51">
        <v>0.18</v>
      </c>
      <c r="M11" s="40">
        <v>1.05</v>
      </c>
      <c r="N11" s="45">
        <f t="shared" si="2"/>
        <v>0.189</v>
      </c>
      <c r="O11" s="2" t="s">
        <v>961</v>
      </c>
      <c r="P11" s="2"/>
      <c r="Q11" s="2"/>
      <c r="R11" s="2"/>
      <c r="S11" s="2"/>
    </row>
    <row r="12" spans="1:19" x14ac:dyDescent="0.25">
      <c r="A12" t="s">
        <v>21</v>
      </c>
      <c r="B12" s="2">
        <v>3</v>
      </c>
      <c r="C12" s="2">
        <v>200</v>
      </c>
      <c r="D12" s="49">
        <v>60</v>
      </c>
      <c r="E12" s="32">
        <f t="shared" si="0"/>
        <v>260</v>
      </c>
      <c r="F12" s="2">
        <v>25</v>
      </c>
      <c r="G12" s="78">
        <f>N8</f>
        <v>0.252</v>
      </c>
      <c r="H12" s="22">
        <f t="shared" si="1"/>
        <v>2.6208</v>
      </c>
      <c r="J12" s="62" t="s">
        <v>691</v>
      </c>
      <c r="K12" s="40" t="s">
        <v>689</v>
      </c>
      <c r="L12" s="51">
        <v>0.3</v>
      </c>
      <c r="M12" s="40">
        <v>1.05</v>
      </c>
      <c r="N12" s="45">
        <f t="shared" si="2"/>
        <v>0.315</v>
      </c>
      <c r="O12" s="2" t="s">
        <v>962</v>
      </c>
      <c r="P12" s="2" t="s">
        <v>963</v>
      </c>
      <c r="Q12" s="2"/>
      <c r="R12" s="2"/>
      <c r="S12" s="2"/>
    </row>
    <row r="13" spans="1:19" x14ac:dyDescent="0.25">
      <c r="A13" t="s">
        <v>23</v>
      </c>
      <c r="B13" s="2">
        <v>3</v>
      </c>
      <c r="C13" s="2">
        <v>250</v>
      </c>
      <c r="D13" s="49">
        <v>60</v>
      </c>
      <c r="E13" s="32">
        <f t="shared" si="0"/>
        <v>310</v>
      </c>
      <c r="F13" s="2">
        <v>25</v>
      </c>
      <c r="G13" s="78">
        <f>N9</f>
        <v>0.315</v>
      </c>
      <c r="H13" s="22">
        <f t="shared" si="1"/>
        <v>3.9060000000000001</v>
      </c>
      <c r="J13" s="62" t="s">
        <v>691</v>
      </c>
      <c r="K13" s="40" t="s">
        <v>690</v>
      </c>
      <c r="L13" s="51">
        <v>6</v>
      </c>
      <c r="M13" s="40">
        <v>1.05</v>
      </c>
      <c r="N13" s="45">
        <f t="shared" si="2"/>
        <v>6.3000000000000007</v>
      </c>
      <c r="O13" s="2" t="s">
        <v>964</v>
      </c>
      <c r="P13" s="2" t="s">
        <v>965</v>
      </c>
      <c r="Q13" s="2"/>
      <c r="R13" s="2"/>
      <c r="S13" s="2"/>
    </row>
    <row r="14" spans="1:19" x14ac:dyDescent="0.25">
      <c r="A14" t="s">
        <v>25</v>
      </c>
      <c r="B14" s="2">
        <v>3</v>
      </c>
      <c r="C14" s="2">
        <v>300</v>
      </c>
      <c r="D14" s="49">
        <v>60</v>
      </c>
      <c r="E14" s="32">
        <f t="shared" si="0"/>
        <v>360</v>
      </c>
      <c r="F14" s="2">
        <v>25</v>
      </c>
      <c r="G14" s="78">
        <f>N9</f>
        <v>0.315</v>
      </c>
      <c r="H14" s="22">
        <f t="shared" si="1"/>
        <v>4.5360000000000005</v>
      </c>
      <c r="J14" s="62" t="s">
        <v>696</v>
      </c>
      <c r="K14" s="40" t="s">
        <v>692</v>
      </c>
      <c r="L14" s="51">
        <v>0.18</v>
      </c>
      <c r="M14" s="40">
        <v>1.05</v>
      </c>
      <c r="N14" s="45">
        <f t="shared" si="2"/>
        <v>0.189</v>
      </c>
      <c r="O14" s="2" t="s">
        <v>966</v>
      </c>
      <c r="P14" s="2" t="s">
        <v>967</v>
      </c>
      <c r="Q14" s="2"/>
      <c r="R14" s="2"/>
      <c r="S14" s="2"/>
    </row>
    <row r="15" spans="1:19" x14ac:dyDescent="0.25">
      <c r="A15" t="s">
        <v>35</v>
      </c>
      <c r="B15" s="2">
        <v>5</v>
      </c>
      <c r="C15" s="2">
        <v>38</v>
      </c>
      <c r="D15" s="49">
        <v>45</v>
      </c>
      <c r="E15" s="32">
        <f t="shared" si="0"/>
        <v>83</v>
      </c>
      <c r="F15" s="2">
        <v>25</v>
      </c>
      <c r="G15" s="78">
        <v>0</v>
      </c>
      <c r="H15" s="22">
        <f t="shared" si="1"/>
        <v>0</v>
      </c>
      <c r="J15" s="62" t="s">
        <v>696</v>
      </c>
      <c r="K15" s="40" t="s">
        <v>693</v>
      </c>
      <c r="L15" s="51">
        <v>0.3</v>
      </c>
      <c r="M15" s="40">
        <v>1.05</v>
      </c>
      <c r="N15" s="45">
        <f t="shared" si="2"/>
        <v>0.315</v>
      </c>
      <c r="O15" s="2" t="s">
        <v>968</v>
      </c>
      <c r="P15" s="2" t="s">
        <v>969</v>
      </c>
      <c r="Q15" s="2"/>
      <c r="R15" s="2"/>
      <c r="S15" s="2"/>
    </row>
    <row r="16" spans="1:19" x14ac:dyDescent="0.25">
      <c r="A16" t="s">
        <v>27</v>
      </c>
      <c r="B16" s="2">
        <v>5</v>
      </c>
      <c r="C16" s="2">
        <v>80</v>
      </c>
      <c r="D16" s="49">
        <v>60</v>
      </c>
      <c r="E16" s="32">
        <f t="shared" si="0"/>
        <v>140</v>
      </c>
      <c r="F16" s="2">
        <v>25</v>
      </c>
      <c r="G16" s="78">
        <v>0</v>
      </c>
      <c r="H16" s="22">
        <f t="shared" si="1"/>
        <v>0</v>
      </c>
      <c r="J16" s="62" t="s">
        <v>696</v>
      </c>
      <c r="K16" s="40" t="s">
        <v>695</v>
      </c>
      <c r="L16" s="51">
        <v>6</v>
      </c>
      <c r="M16" s="40">
        <v>1.05</v>
      </c>
      <c r="N16" s="45">
        <f t="shared" si="2"/>
        <v>6.3000000000000007</v>
      </c>
      <c r="O16" s="2" t="s">
        <v>970</v>
      </c>
      <c r="P16" s="2" t="s">
        <v>971</v>
      </c>
      <c r="Q16" s="2"/>
      <c r="R16" s="2"/>
      <c r="S16" s="2"/>
    </row>
    <row r="17" spans="1:19" x14ac:dyDescent="0.25">
      <c r="A17" t="s">
        <v>29</v>
      </c>
      <c r="B17" s="2">
        <v>5</v>
      </c>
      <c r="C17" s="2">
        <v>100</v>
      </c>
      <c r="D17" s="49">
        <v>60</v>
      </c>
      <c r="E17" s="32">
        <f t="shared" si="0"/>
        <v>160</v>
      </c>
      <c r="F17" s="2">
        <v>25</v>
      </c>
      <c r="G17" s="78">
        <v>0</v>
      </c>
      <c r="H17" s="22">
        <f t="shared" si="1"/>
        <v>0</v>
      </c>
      <c r="J17" s="62" t="s">
        <v>697</v>
      </c>
      <c r="K17" s="40" t="s">
        <v>698</v>
      </c>
      <c r="L17" s="51">
        <v>0.18</v>
      </c>
      <c r="M17" s="40">
        <v>1.05</v>
      </c>
      <c r="N17" s="45">
        <f t="shared" si="2"/>
        <v>0.189</v>
      </c>
      <c r="O17" s="2" t="s">
        <v>972</v>
      </c>
      <c r="P17" s="2" t="s">
        <v>971</v>
      </c>
      <c r="Q17" s="2"/>
      <c r="R17" s="2"/>
      <c r="S17" s="2"/>
    </row>
    <row r="18" spans="1:19" x14ac:dyDescent="0.25">
      <c r="A18" t="s">
        <v>31</v>
      </c>
      <c r="B18" s="2">
        <v>5</v>
      </c>
      <c r="C18" s="2">
        <v>125</v>
      </c>
      <c r="D18" s="49">
        <v>60</v>
      </c>
      <c r="E18" s="32">
        <f t="shared" si="0"/>
        <v>185</v>
      </c>
      <c r="F18" s="2">
        <v>25</v>
      </c>
      <c r="G18" s="78">
        <v>0</v>
      </c>
      <c r="H18" s="22">
        <f t="shared" si="1"/>
        <v>0</v>
      </c>
      <c r="J18" s="62" t="s">
        <v>697</v>
      </c>
      <c r="K18" s="40" t="s">
        <v>699</v>
      </c>
      <c r="L18" s="51">
        <v>0.3</v>
      </c>
      <c r="M18" s="40">
        <v>1.05</v>
      </c>
      <c r="N18" s="45">
        <f t="shared" si="2"/>
        <v>0.315</v>
      </c>
      <c r="O18" s="2"/>
      <c r="P18" s="2"/>
      <c r="Q18" s="2"/>
      <c r="R18" s="2"/>
      <c r="S18" s="2"/>
    </row>
    <row r="19" spans="1:19" x14ac:dyDescent="0.25">
      <c r="A19" t="s">
        <v>33</v>
      </c>
      <c r="B19" s="2">
        <v>5</v>
      </c>
      <c r="C19" s="2">
        <v>150</v>
      </c>
      <c r="D19" s="49">
        <v>60</v>
      </c>
      <c r="E19" s="32">
        <f t="shared" si="0"/>
        <v>210</v>
      </c>
      <c r="F19" s="2">
        <v>25</v>
      </c>
      <c r="G19" s="78">
        <f>N8</f>
        <v>0.252</v>
      </c>
      <c r="H19" s="22">
        <f t="shared" si="1"/>
        <v>2.1168</v>
      </c>
      <c r="J19" s="62" t="s">
        <v>697</v>
      </c>
      <c r="K19" s="40" t="s">
        <v>700</v>
      </c>
      <c r="L19" s="51">
        <v>6</v>
      </c>
      <c r="M19" s="40">
        <v>1.05</v>
      </c>
      <c r="N19" s="45">
        <f t="shared" si="2"/>
        <v>6.3000000000000007</v>
      </c>
      <c r="O19" s="2"/>
      <c r="P19" s="2"/>
      <c r="Q19" s="2"/>
      <c r="R19" s="2"/>
      <c r="S19" s="2"/>
    </row>
    <row r="20" spans="1:19" x14ac:dyDescent="0.25">
      <c r="A20" t="s">
        <v>37</v>
      </c>
      <c r="B20" s="2">
        <v>5</v>
      </c>
      <c r="C20" s="2">
        <v>200</v>
      </c>
      <c r="D20" s="49">
        <v>60</v>
      </c>
      <c r="E20" s="32">
        <f t="shared" si="0"/>
        <v>260</v>
      </c>
      <c r="F20" s="2">
        <v>25</v>
      </c>
      <c r="G20" s="78">
        <f>N8</f>
        <v>0.252</v>
      </c>
      <c r="H20" s="22">
        <f t="shared" si="1"/>
        <v>2.6208</v>
      </c>
      <c r="J20" s="62" t="s">
        <v>759</v>
      </c>
      <c r="K20" s="40" t="s">
        <v>698</v>
      </c>
      <c r="L20" s="51">
        <v>0.18</v>
      </c>
      <c r="M20" s="40">
        <v>1.05</v>
      </c>
      <c r="N20" s="45">
        <f t="shared" si="2"/>
        <v>0.189</v>
      </c>
      <c r="O20" s="2"/>
      <c r="P20" s="2"/>
      <c r="Q20" s="2"/>
      <c r="R20" s="2"/>
      <c r="S20" s="2"/>
    </row>
    <row r="21" spans="1:19" x14ac:dyDescent="0.25">
      <c r="A21" t="s">
        <v>39</v>
      </c>
      <c r="B21" s="2">
        <v>5</v>
      </c>
      <c r="C21" s="2">
        <v>250</v>
      </c>
      <c r="D21" s="49">
        <v>60</v>
      </c>
      <c r="E21" s="32">
        <f t="shared" si="0"/>
        <v>310</v>
      </c>
      <c r="F21" s="2">
        <v>25</v>
      </c>
      <c r="G21" s="78">
        <f>N9</f>
        <v>0.315</v>
      </c>
      <c r="H21" s="22">
        <f t="shared" si="1"/>
        <v>3.9060000000000001</v>
      </c>
      <c r="J21" s="62" t="s">
        <v>759</v>
      </c>
      <c r="K21" s="40" t="s">
        <v>699</v>
      </c>
      <c r="L21" s="51">
        <v>0.3</v>
      </c>
      <c r="M21" s="40">
        <v>1.05</v>
      </c>
      <c r="N21" s="45">
        <f t="shared" si="2"/>
        <v>0.315</v>
      </c>
      <c r="O21" s="2"/>
      <c r="P21" s="2"/>
      <c r="Q21" s="2"/>
      <c r="R21" s="2"/>
      <c r="S21" s="2"/>
    </row>
    <row r="22" spans="1:19" ht="17.25" thickBot="1" x14ac:dyDescent="0.3">
      <c r="A22" t="s">
        <v>41</v>
      </c>
      <c r="B22" s="2">
        <v>5</v>
      </c>
      <c r="C22" s="2">
        <v>300</v>
      </c>
      <c r="D22" s="49">
        <v>60</v>
      </c>
      <c r="E22" s="32">
        <f t="shared" si="0"/>
        <v>360</v>
      </c>
      <c r="F22" s="2">
        <v>25</v>
      </c>
      <c r="G22" s="78">
        <f>N9</f>
        <v>0.315</v>
      </c>
      <c r="H22" s="22">
        <f t="shared" si="1"/>
        <v>4.5360000000000005</v>
      </c>
      <c r="J22" s="65" t="s">
        <v>760</v>
      </c>
      <c r="K22" s="43" t="s">
        <v>700</v>
      </c>
      <c r="L22" s="53">
        <v>6</v>
      </c>
      <c r="M22" s="40">
        <v>1.05</v>
      </c>
      <c r="N22" s="46">
        <f t="shared" si="2"/>
        <v>6.3000000000000007</v>
      </c>
      <c r="O22" s="2"/>
      <c r="P22" s="2"/>
      <c r="Q22" s="2"/>
      <c r="R22" s="2"/>
      <c r="S22" s="2"/>
    </row>
    <row r="23" spans="1:19" x14ac:dyDescent="0.25">
      <c r="A23" t="s">
        <v>43</v>
      </c>
      <c r="B23" s="2">
        <v>5</v>
      </c>
      <c r="C23" s="2">
        <v>350</v>
      </c>
      <c r="D23" s="49">
        <v>60</v>
      </c>
      <c r="E23" s="32">
        <f t="shared" si="0"/>
        <v>410</v>
      </c>
      <c r="F23" s="2">
        <v>25</v>
      </c>
      <c r="G23" s="78">
        <f>N10</f>
        <v>6.3000000000000007</v>
      </c>
      <c r="H23" s="22">
        <f>G23</f>
        <v>6.3000000000000007</v>
      </c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5">
      <c r="A24" t="s">
        <v>45</v>
      </c>
      <c r="B24" s="2">
        <v>5</v>
      </c>
      <c r="C24" s="2">
        <v>400</v>
      </c>
      <c r="D24" s="49">
        <v>60</v>
      </c>
      <c r="E24" s="32">
        <f t="shared" si="0"/>
        <v>460</v>
      </c>
      <c r="F24" s="2">
        <v>25</v>
      </c>
      <c r="G24" s="78">
        <f>N10</f>
        <v>6.3000000000000007</v>
      </c>
      <c r="H24" s="22">
        <f>G24</f>
        <v>6.3000000000000007</v>
      </c>
      <c r="J24" s="2" t="s">
        <v>786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5">
      <c r="A25" t="s">
        <v>47</v>
      </c>
      <c r="B25" s="2">
        <v>5</v>
      </c>
      <c r="C25" s="2">
        <v>500</v>
      </c>
      <c r="D25" s="49">
        <v>60</v>
      </c>
      <c r="E25" s="32">
        <f t="shared" si="0"/>
        <v>560</v>
      </c>
      <c r="F25" s="2">
        <v>25</v>
      </c>
      <c r="G25" s="78">
        <f>N10</f>
        <v>6.3000000000000007</v>
      </c>
      <c r="H25" s="22">
        <f>G25</f>
        <v>6.3000000000000007</v>
      </c>
      <c r="J25" s="2" t="s">
        <v>787</v>
      </c>
      <c r="K25" s="2" t="s">
        <v>793</v>
      </c>
      <c r="L25" s="2"/>
      <c r="M25" s="2"/>
      <c r="N25" s="2"/>
      <c r="O25" s="2"/>
      <c r="P25" s="2"/>
      <c r="Q25" s="2"/>
      <c r="R25" s="2"/>
      <c r="S25" s="2"/>
    </row>
    <row r="26" spans="1:19" x14ac:dyDescent="0.25">
      <c r="A26" t="s">
        <v>49</v>
      </c>
      <c r="B26" s="2">
        <v>6</v>
      </c>
      <c r="C26" s="2">
        <v>38</v>
      </c>
      <c r="D26" s="49">
        <v>45</v>
      </c>
      <c r="E26" s="32">
        <f t="shared" si="0"/>
        <v>83</v>
      </c>
      <c r="F26" s="2">
        <v>25</v>
      </c>
      <c r="G26" s="78">
        <v>0</v>
      </c>
      <c r="H26" s="22">
        <f t="shared" si="1"/>
        <v>0</v>
      </c>
      <c r="J26" s="2" t="s">
        <v>788</v>
      </c>
      <c r="K26" s="2" t="s">
        <v>794</v>
      </c>
      <c r="L26" s="2"/>
      <c r="M26" s="2"/>
      <c r="N26" s="2"/>
      <c r="O26" s="2"/>
      <c r="P26" s="2"/>
      <c r="Q26" s="2"/>
      <c r="R26" s="2"/>
      <c r="S26" s="2"/>
    </row>
    <row r="27" spans="1:19" x14ac:dyDescent="0.25">
      <c r="A27" t="s">
        <v>51</v>
      </c>
      <c r="B27" s="2">
        <v>6</v>
      </c>
      <c r="C27" s="2">
        <v>100</v>
      </c>
      <c r="D27" s="49">
        <v>80</v>
      </c>
      <c r="E27" s="32">
        <f t="shared" si="0"/>
        <v>180</v>
      </c>
      <c r="F27" s="2">
        <v>25</v>
      </c>
      <c r="G27" s="78">
        <v>0</v>
      </c>
      <c r="H27" s="22">
        <f t="shared" si="1"/>
        <v>0</v>
      </c>
      <c r="J27" s="2" t="s">
        <v>789</v>
      </c>
      <c r="K27" s="2" t="s">
        <v>795</v>
      </c>
      <c r="L27" s="2"/>
      <c r="M27" s="2"/>
      <c r="N27" s="2"/>
      <c r="O27" s="2"/>
      <c r="P27" s="2"/>
      <c r="Q27" s="2"/>
      <c r="R27" s="2"/>
      <c r="S27" s="2"/>
    </row>
    <row r="28" spans="1:19" x14ac:dyDescent="0.25">
      <c r="A28" t="s">
        <v>53</v>
      </c>
      <c r="B28" s="2">
        <v>6</v>
      </c>
      <c r="C28" s="2">
        <v>125</v>
      </c>
      <c r="D28" s="49">
        <v>80</v>
      </c>
      <c r="E28" s="32">
        <f t="shared" si="0"/>
        <v>205</v>
      </c>
      <c r="F28" s="2">
        <v>25</v>
      </c>
      <c r="G28" s="78">
        <v>0</v>
      </c>
      <c r="H28" s="22">
        <f t="shared" si="1"/>
        <v>0</v>
      </c>
      <c r="J28" s="2" t="s">
        <v>790</v>
      </c>
      <c r="K28" s="2" t="s">
        <v>796</v>
      </c>
      <c r="L28" s="2"/>
      <c r="M28" s="2"/>
      <c r="N28" s="2"/>
      <c r="O28" s="2"/>
      <c r="P28" s="2"/>
      <c r="Q28" s="2"/>
      <c r="R28" s="2"/>
      <c r="S28" s="2"/>
    </row>
    <row r="29" spans="1:19" x14ac:dyDescent="0.25">
      <c r="A29" t="s">
        <v>55</v>
      </c>
      <c r="B29" s="2">
        <v>6</v>
      </c>
      <c r="C29" s="2">
        <v>150</v>
      </c>
      <c r="D29" s="49">
        <v>80</v>
      </c>
      <c r="E29" s="32">
        <f t="shared" si="0"/>
        <v>230</v>
      </c>
      <c r="F29" s="2">
        <v>25</v>
      </c>
      <c r="G29" s="78">
        <v>0</v>
      </c>
      <c r="H29" s="22">
        <f t="shared" si="1"/>
        <v>0</v>
      </c>
      <c r="J29" s="2" t="s">
        <v>791</v>
      </c>
      <c r="K29" s="2" t="s">
        <v>797</v>
      </c>
      <c r="L29" s="2"/>
      <c r="M29" s="2"/>
      <c r="N29" s="2"/>
      <c r="O29" s="2"/>
      <c r="P29" s="2"/>
      <c r="Q29" s="2"/>
      <c r="R29" s="2"/>
      <c r="S29" s="2"/>
    </row>
    <row r="30" spans="1:19" x14ac:dyDescent="0.25">
      <c r="A30" t="s">
        <v>57</v>
      </c>
      <c r="B30" s="2">
        <v>6</v>
      </c>
      <c r="C30" s="2">
        <v>200</v>
      </c>
      <c r="D30" s="49">
        <v>80</v>
      </c>
      <c r="E30" s="32">
        <f t="shared" si="0"/>
        <v>280</v>
      </c>
      <c r="F30" s="2">
        <v>25</v>
      </c>
      <c r="G30" s="78">
        <f>N12</f>
        <v>0.315</v>
      </c>
      <c r="H30" s="22">
        <f t="shared" si="1"/>
        <v>3.5279999999999996</v>
      </c>
      <c r="J30" s="2" t="s">
        <v>792</v>
      </c>
      <c r="K30" s="2" t="s">
        <v>798</v>
      </c>
      <c r="L30" s="2"/>
      <c r="M30" s="2"/>
      <c r="N30" s="2"/>
      <c r="O30" s="2"/>
      <c r="P30" s="2"/>
      <c r="Q30" s="2"/>
      <c r="R30" s="2"/>
      <c r="S30" s="2"/>
    </row>
    <row r="31" spans="1:19" x14ac:dyDescent="0.25">
      <c r="A31" t="s">
        <v>59</v>
      </c>
      <c r="B31" s="2">
        <v>6</v>
      </c>
      <c r="C31" s="2">
        <v>250</v>
      </c>
      <c r="D31" s="49">
        <v>80</v>
      </c>
      <c r="E31" s="32">
        <f t="shared" si="0"/>
        <v>330</v>
      </c>
      <c r="F31" s="2">
        <v>25</v>
      </c>
      <c r="G31" s="78">
        <f>N12</f>
        <v>0.315</v>
      </c>
      <c r="H31" s="22">
        <f>E31/F31*G31</f>
        <v>4.1579999999999995</v>
      </c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25">
      <c r="A32" t="s">
        <v>61</v>
      </c>
      <c r="B32" s="2">
        <v>6</v>
      </c>
      <c r="C32" s="2">
        <v>300</v>
      </c>
      <c r="D32" s="49">
        <v>80</v>
      </c>
      <c r="E32" s="32">
        <f t="shared" si="0"/>
        <v>380</v>
      </c>
      <c r="F32" s="2">
        <v>25</v>
      </c>
      <c r="G32" s="78">
        <f>N12</f>
        <v>0.315</v>
      </c>
      <c r="H32" s="22">
        <f t="shared" si="1"/>
        <v>4.7879999999999994</v>
      </c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t="s">
        <v>63</v>
      </c>
      <c r="B33" s="2">
        <v>6</v>
      </c>
      <c r="C33" s="2">
        <v>350</v>
      </c>
      <c r="D33" s="49">
        <v>80</v>
      </c>
      <c r="E33" s="32">
        <f t="shared" si="0"/>
        <v>430</v>
      </c>
      <c r="F33" s="2">
        <v>25</v>
      </c>
      <c r="G33" s="78">
        <f>N13</f>
        <v>6.3000000000000007</v>
      </c>
      <c r="H33" s="22">
        <f>G33</f>
        <v>6.3000000000000007</v>
      </c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5">
      <c r="A34" t="s">
        <v>65</v>
      </c>
      <c r="B34" s="2">
        <v>6</v>
      </c>
      <c r="C34" s="2">
        <v>400</v>
      </c>
      <c r="D34" s="49">
        <v>80</v>
      </c>
      <c r="E34" s="32">
        <f t="shared" si="0"/>
        <v>480</v>
      </c>
      <c r="F34" s="2">
        <v>25</v>
      </c>
      <c r="G34" s="78">
        <f>N13</f>
        <v>6.3000000000000007</v>
      </c>
      <c r="H34" s="22">
        <f>G34</f>
        <v>6.3000000000000007</v>
      </c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5">
      <c r="A35" t="s">
        <v>67</v>
      </c>
      <c r="B35" s="2">
        <v>6</v>
      </c>
      <c r="C35" s="2">
        <v>500</v>
      </c>
      <c r="D35" s="49">
        <v>80</v>
      </c>
      <c r="E35" s="32">
        <f t="shared" si="0"/>
        <v>580</v>
      </c>
      <c r="F35" s="2">
        <v>25</v>
      </c>
      <c r="G35" s="78">
        <f>N13</f>
        <v>6.3000000000000007</v>
      </c>
      <c r="H35" s="22">
        <f>G35</f>
        <v>6.3000000000000007</v>
      </c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A36" t="s">
        <v>69</v>
      </c>
      <c r="B36" s="2">
        <v>8</v>
      </c>
      <c r="C36" s="2">
        <v>100</v>
      </c>
      <c r="D36" s="49">
        <v>100</v>
      </c>
      <c r="E36" s="32">
        <f t="shared" si="0"/>
        <v>200</v>
      </c>
      <c r="F36" s="2">
        <v>25</v>
      </c>
      <c r="G36" s="78">
        <v>0</v>
      </c>
      <c r="H36" s="22">
        <f t="shared" si="1"/>
        <v>0</v>
      </c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t="s">
        <v>71</v>
      </c>
      <c r="B37" s="2">
        <v>8</v>
      </c>
      <c r="C37" s="2">
        <v>125</v>
      </c>
      <c r="D37" s="49">
        <v>100</v>
      </c>
      <c r="E37" s="32">
        <f t="shared" si="0"/>
        <v>225</v>
      </c>
      <c r="F37" s="2">
        <v>25</v>
      </c>
      <c r="G37" s="78">
        <v>0</v>
      </c>
      <c r="H37" s="22">
        <f t="shared" si="1"/>
        <v>0</v>
      </c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t="s">
        <v>75</v>
      </c>
      <c r="B38" s="2">
        <v>8</v>
      </c>
      <c r="C38" s="2">
        <v>150</v>
      </c>
      <c r="D38" s="49">
        <v>100</v>
      </c>
      <c r="E38" s="32">
        <f t="shared" si="0"/>
        <v>250</v>
      </c>
      <c r="F38" s="2">
        <v>25</v>
      </c>
      <c r="G38" s="78">
        <f>N17</f>
        <v>0.189</v>
      </c>
      <c r="H38" s="22">
        <f t="shared" si="1"/>
        <v>1.8900000000000001</v>
      </c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t="s">
        <v>73</v>
      </c>
      <c r="B39" s="2">
        <v>8</v>
      </c>
      <c r="C39" s="2">
        <v>175</v>
      </c>
      <c r="D39" s="49">
        <v>100</v>
      </c>
      <c r="E39" s="32">
        <f t="shared" si="0"/>
        <v>275</v>
      </c>
      <c r="F39" s="2">
        <v>25</v>
      </c>
      <c r="G39" s="78">
        <f>N17</f>
        <v>0.189</v>
      </c>
      <c r="H39" s="22">
        <f t="shared" si="1"/>
        <v>2.0790000000000002</v>
      </c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t="s">
        <v>77</v>
      </c>
      <c r="B40" s="2">
        <v>8</v>
      </c>
      <c r="C40" s="2">
        <v>200</v>
      </c>
      <c r="D40" s="49">
        <v>100</v>
      </c>
      <c r="E40" s="32">
        <f t="shared" si="0"/>
        <v>300</v>
      </c>
      <c r="F40" s="2">
        <v>25</v>
      </c>
      <c r="G40" s="78">
        <f>N18</f>
        <v>0.315</v>
      </c>
      <c r="H40" s="22">
        <f t="shared" si="1"/>
        <v>3.7800000000000002</v>
      </c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5">
      <c r="A41" t="s">
        <v>79</v>
      </c>
      <c r="B41" s="2">
        <v>8</v>
      </c>
      <c r="C41" s="2">
        <v>250</v>
      </c>
      <c r="D41" s="49">
        <v>100</v>
      </c>
      <c r="E41" s="32">
        <f t="shared" si="0"/>
        <v>350</v>
      </c>
      <c r="F41" s="2">
        <v>25</v>
      </c>
      <c r="G41" s="78">
        <f>N18</f>
        <v>0.315</v>
      </c>
      <c r="H41" s="22">
        <f t="shared" si="1"/>
        <v>4.41</v>
      </c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5">
      <c r="A42" t="s">
        <v>81</v>
      </c>
      <c r="B42" s="2">
        <v>8</v>
      </c>
      <c r="C42" s="2">
        <v>300</v>
      </c>
      <c r="D42" s="49">
        <v>100</v>
      </c>
      <c r="E42" s="32">
        <f t="shared" si="0"/>
        <v>400</v>
      </c>
      <c r="F42" s="2">
        <v>25</v>
      </c>
      <c r="G42" s="78">
        <f>N18</f>
        <v>0.315</v>
      </c>
      <c r="H42" s="22">
        <f t="shared" si="1"/>
        <v>5.04</v>
      </c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t="s">
        <v>83</v>
      </c>
      <c r="B43" s="2">
        <v>8</v>
      </c>
      <c r="C43" s="2">
        <v>350</v>
      </c>
      <c r="D43" s="49">
        <v>100</v>
      </c>
      <c r="E43" s="32">
        <f t="shared" si="0"/>
        <v>450</v>
      </c>
      <c r="F43" s="2">
        <v>25</v>
      </c>
      <c r="G43" s="78">
        <f>N19</f>
        <v>6.3000000000000007</v>
      </c>
      <c r="H43" s="22">
        <f>G43</f>
        <v>6.3000000000000007</v>
      </c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t="s">
        <v>85</v>
      </c>
      <c r="B44" s="2">
        <v>8</v>
      </c>
      <c r="C44" s="2">
        <v>400</v>
      </c>
      <c r="D44" s="49">
        <v>100</v>
      </c>
      <c r="E44" s="32">
        <f t="shared" si="0"/>
        <v>500</v>
      </c>
      <c r="F44" s="2">
        <v>25</v>
      </c>
      <c r="G44" s="78">
        <f>N19</f>
        <v>6.3000000000000007</v>
      </c>
      <c r="H44" s="22">
        <f>G44</f>
        <v>6.3000000000000007</v>
      </c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t="s">
        <v>87</v>
      </c>
      <c r="B45" s="2">
        <v>8</v>
      </c>
      <c r="C45" s="2">
        <v>500</v>
      </c>
      <c r="D45" s="49">
        <v>100</v>
      </c>
      <c r="E45" s="32">
        <f t="shared" si="0"/>
        <v>600</v>
      </c>
      <c r="F45" s="2">
        <v>25</v>
      </c>
      <c r="G45" s="78">
        <f>N19</f>
        <v>6.3000000000000007</v>
      </c>
      <c r="H45" s="22">
        <f>G45</f>
        <v>6.3000000000000007</v>
      </c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t="s">
        <v>167</v>
      </c>
      <c r="B46" s="2">
        <v>10</v>
      </c>
      <c r="C46" s="2">
        <v>200</v>
      </c>
      <c r="D46" s="49">
        <v>100</v>
      </c>
      <c r="E46" s="32">
        <f t="shared" si="0"/>
        <v>300</v>
      </c>
      <c r="F46" s="2">
        <v>25</v>
      </c>
      <c r="G46" s="78">
        <f>N21</f>
        <v>0.315</v>
      </c>
      <c r="H46" s="22">
        <f t="shared" si="1"/>
        <v>3.7800000000000002</v>
      </c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t="s">
        <v>169</v>
      </c>
      <c r="B47" s="2">
        <v>10</v>
      </c>
      <c r="C47" s="2">
        <v>250</v>
      </c>
      <c r="D47" s="49">
        <v>100</v>
      </c>
      <c r="E47" s="32">
        <f t="shared" si="0"/>
        <v>350</v>
      </c>
      <c r="F47" s="2">
        <v>25</v>
      </c>
      <c r="G47" s="78">
        <f>N21</f>
        <v>0.315</v>
      </c>
      <c r="H47" s="22">
        <f t="shared" si="1"/>
        <v>4.41</v>
      </c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t="s">
        <v>171</v>
      </c>
      <c r="B48" s="2">
        <v>10</v>
      </c>
      <c r="C48" s="2">
        <v>300</v>
      </c>
      <c r="D48" s="49">
        <v>100</v>
      </c>
      <c r="E48" s="32">
        <f t="shared" si="0"/>
        <v>400</v>
      </c>
      <c r="F48" s="2">
        <v>25</v>
      </c>
      <c r="G48" s="78">
        <f>N21</f>
        <v>0.315</v>
      </c>
      <c r="H48" s="22">
        <f t="shared" si="1"/>
        <v>5.04</v>
      </c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t="s">
        <v>173</v>
      </c>
      <c r="B49" s="2">
        <v>10</v>
      </c>
      <c r="C49" s="2">
        <v>400</v>
      </c>
      <c r="D49" s="49">
        <v>100</v>
      </c>
      <c r="E49" s="32">
        <f t="shared" si="0"/>
        <v>500</v>
      </c>
      <c r="F49" s="2">
        <v>25</v>
      </c>
      <c r="G49" s="78">
        <f>N22</f>
        <v>6.3000000000000007</v>
      </c>
      <c r="H49" s="22">
        <f>G49</f>
        <v>6.3000000000000007</v>
      </c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5">
      <c r="A50" t="s">
        <v>175</v>
      </c>
      <c r="B50" s="2">
        <v>10</v>
      </c>
      <c r="C50" s="2">
        <v>500</v>
      </c>
      <c r="D50" s="49">
        <v>100</v>
      </c>
      <c r="E50" s="32">
        <f t="shared" si="0"/>
        <v>600</v>
      </c>
      <c r="F50" s="2">
        <v>25</v>
      </c>
      <c r="G50" s="78">
        <f>N22</f>
        <v>6.3000000000000007</v>
      </c>
      <c r="H50" s="22">
        <f>G50</f>
        <v>6.3000000000000007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t="s">
        <v>89</v>
      </c>
      <c r="B51" s="2">
        <v>3</v>
      </c>
      <c r="C51" s="2">
        <v>60</v>
      </c>
      <c r="D51" s="49">
        <v>60</v>
      </c>
      <c r="E51" s="32">
        <f t="shared" si="0"/>
        <v>120</v>
      </c>
      <c r="F51" s="2">
        <v>25</v>
      </c>
      <c r="G51" s="78">
        <v>0</v>
      </c>
      <c r="H51" s="22">
        <f t="shared" si="1"/>
        <v>0</v>
      </c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t="s">
        <v>91</v>
      </c>
      <c r="B52" s="2">
        <v>3</v>
      </c>
      <c r="C52" s="2">
        <v>80</v>
      </c>
      <c r="D52" s="49">
        <v>60</v>
      </c>
      <c r="E52" s="32">
        <f t="shared" si="0"/>
        <v>140</v>
      </c>
      <c r="F52" s="2">
        <v>25</v>
      </c>
      <c r="G52" s="78">
        <f>N7</f>
        <v>0.189</v>
      </c>
      <c r="H52" s="22">
        <f t="shared" si="1"/>
        <v>1.0584</v>
      </c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t="s">
        <v>93</v>
      </c>
      <c r="B53" s="2">
        <v>3</v>
      </c>
      <c r="C53" s="2">
        <v>100</v>
      </c>
      <c r="D53" s="49">
        <v>60</v>
      </c>
      <c r="E53" s="32">
        <f t="shared" si="0"/>
        <v>160</v>
      </c>
      <c r="F53" s="2">
        <v>25</v>
      </c>
      <c r="G53" s="78">
        <f>N7</f>
        <v>0.189</v>
      </c>
      <c r="H53" s="22">
        <f t="shared" si="1"/>
        <v>1.2096</v>
      </c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5">
      <c r="A54" t="s">
        <v>95</v>
      </c>
      <c r="B54" s="2">
        <v>3</v>
      </c>
      <c r="C54" s="2">
        <v>125</v>
      </c>
      <c r="D54" s="49">
        <v>60</v>
      </c>
      <c r="E54" s="32">
        <f t="shared" si="0"/>
        <v>185</v>
      </c>
      <c r="F54" s="2">
        <v>25</v>
      </c>
      <c r="G54" s="78">
        <f>N8</f>
        <v>0.252</v>
      </c>
      <c r="H54" s="22">
        <f t="shared" si="1"/>
        <v>1.8648</v>
      </c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5">
      <c r="A55" t="s">
        <v>97</v>
      </c>
      <c r="B55" s="2">
        <v>3</v>
      </c>
      <c r="C55" s="2">
        <v>150</v>
      </c>
      <c r="D55" s="49">
        <v>60</v>
      </c>
      <c r="E55" s="32">
        <f t="shared" si="0"/>
        <v>210</v>
      </c>
      <c r="F55" s="2">
        <v>25</v>
      </c>
      <c r="G55" s="78">
        <f>N8</f>
        <v>0.252</v>
      </c>
      <c r="H55" s="22">
        <f t="shared" si="1"/>
        <v>2.1168</v>
      </c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5">
      <c r="A56" t="s">
        <v>99</v>
      </c>
      <c r="B56" s="2">
        <v>3</v>
      </c>
      <c r="C56" s="2">
        <v>200</v>
      </c>
      <c r="D56" s="49">
        <v>60</v>
      </c>
      <c r="E56" s="32">
        <f t="shared" si="0"/>
        <v>260</v>
      </c>
      <c r="F56" s="2">
        <v>25</v>
      </c>
      <c r="G56" s="78">
        <f>N8</f>
        <v>0.252</v>
      </c>
      <c r="H56" s="22">
        <f t="shared" si="1"/>
        <v>2.6208</v>
      </c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5">
      <c r="A57" t="s">
        <v>101</v>
      </c>
      <c r="B57" s="2">
        <v>3</v>
      </c>
      <c r="C57" s="2">
        <v>250</v>
      </c>
      <c r="D57" s="49">
        <v>60</v>
      </c>
      <c r="E57" s="32">
        <f t="shared" si="0"/>
        <v>310</v>
      </c>
      <c r="F57" s="2">
        <v>25</v>
      </c>
      <c r="G57" s="78">
        <f>N9</f>
        <v>0.315</v>
      </c>
      <c r="H57" s="22">
        <f t="shared" si="1"/>
        <v>3.9060000000000001</v>
      </c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5">
      <c r="A58" t="s">
        <v>103</v>
      </c>
      <c r="B58" s="2">
        <v>3</v>
      </c>
      <c r="C58" s="2">
        <v>300</v>
      </c>
      <c r="D58" s="49">
        <v>60</v>
      </c>
      <c r="E58" s="32">
        <f t="shared" si="0"/>
        <v>360</v>
      </c>
      <c r="F58" s="2">
        <v>25</v>
      </c>
      <c r="G58" s="78">
        <f>N9</f>
        <v>0.315</v>
      </c>
      <c r="H58" s="22">
        <f t="shared" si="1"/>
        <v>4.5360000000000005</v>
      </c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25">
      <c r="A59" t="s">
        <v>105</v>
      </c>
      <c r="B59" s="2">
        <v>5</v>
      </c>
      <c r="C59" s="2">
        <v>38</v>
      </c>
      <c r="D59" s="49">
        <v>45</v>
      </c>
      <c r="E59" s="32">
        <f t="shared" si="0"/>
        <v>83</v>
      </c>
      <c r="F59" s="2">
        <v>25</v>
      </c>
      <c r="G59" s="78">
        <v>0</v>
      </c>
      <c r="H59" s="22">
        <f t="shared" si="1"/>
        <v>0</v>
      </c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5">
      <c r="A60" t="s">
        <v>107</v>
      </c>
      <c r="B60" s="2">
        <v>5</v>
      </c>
      <c r="C60" s="2">
        <v>80</v>
      </c>
      <c r="D60" s="49">
        <v>60</v>
      </c>
      <c r="E60" s="32">
        <f t="shared" si="0"/>
        <v>140</v>
      </c>
      <c r="F60" s="2">
        <v>25</v>
      </c>
      <c r="G60" s="78">
        <v>0</v>
      </c>
      <c r="H60" s="22">
        <f t="shared" si="1"/>
        <v>0</v>
      </c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5">
      <c r="A61" t="s">
        <v>109</v>
      </c>
      <c r="B61" s="2">
        <v>5</v>
      </c>
      <c r="C61" s="2">
        <v>100</v>
      </c>
      <c r="D61" s="49">
        <v>60</v>
      </c>
      <c r="E61" s="32">
        <f t="shared" si="0"/>
        <v>160</v>
      </c>
      <c r="F61" s="2">
        <v>25</v>
      </c>
      <c r="G61" s="78">
        <v>0</v>
      </c>
      <c r="H61" s="22">
        <f t="shared" si="1"/>
        <v>0</v>
      </c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5">
      <c r="A62" t="s">
        <v>111</v>
      </c>
      <c r="B62" s="2">
        <v>5</v>
      </c>
      <c r="C62" s="2">
        <v>125</v>
      </c>
      <c r="D62" s="49">
        <v>60</v>
      </c>
      <c r="E62" s="32">
        <f t="shared" si="0"/>
        <v>185</v>
      </c>
      <c r="F62" s="2">
        <v>25</v>
      </c>
      <c r="G62" s="78">
        <v>0</v>
      </c>
      <c r="H62" s="22">
        <f t="shared" si="1"/>
        <v>0</v>
      </c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25">
      <c r="A63" t="s">
        <v>113</v>
      </c>
      <c r="B63" s="2">
        <v>5</v>
      </c>
      <c r="C63" s="2">
        <v>150</v>
      </c>
      <c r="D63" s="49">
        <v>60</v>
      </c>
      <c r="E63" s="32">
        <f t="shared" si="0"/>
        <v>210</v>
      </c>
      <c r="F63" s="2">
        <v>25</v>
      </c>
      <c r="G63" s="78">
        <v>0</v>
      </c>
      <c r="H63" s="22">
        <f t="shared" si="1"/>
        <v>0</v>
      </c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5">
      <c r="A64" t="s">
        <v>115</v>
      </c>
      <c r="B64" s="2">
        <v>5</v>
      </c>
      <c r="C64" s="2">
        <v>200</v>
      </c>
      <c r="D64" s="49">
        <v>60</v>
      </c>
      <c r="E64" s="32">
        <f t="shared" si="0"/>
        <v>260</v>
      </c>
      <c r="F64" s="2">
        <v>25</v>
      </c>
      <c r="G64" s="78">
        <f>N8</f>
        <v>0.252</v>
      </c>
      <c r="H64" s="22">
        <f t="shared" si="1"/>
        <v>2.6208</v>
      </c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5">
      <c r="A65" t="s">
        <v>117</v>
      </c>
      <c r="B65" s="2">
        <v>5</v>
      </c>
      <c r="C65" s="2">
        <v>250</v>
      </c>
      <c r="D65" s="49">
        <v>60</v>
      </c>
      <c r="E65" s="32">
        <f t="shared" si="0"/>
        <v>310</v>
      </c>
      <c r="F65" s="2">
        <v>25</v>
      </c>
      <c r="G65" s="78">
        <f>N9</f>
        <v>0.315</v>
      </c>
      <c r="H65" s="22">
        <f t="shared" si="1"/>
        <v>3.9060000000000001</v>
      </c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25">
      <c r="A66" t="s">
        <v>119</v>
      </c>
      <c r="B66" s="2">
        <v>5</v>
      </c>
      <c r="C66" s="2">
        <v>300</v>
      </c>
      <c r="D66" s="49">
        <v>60</v>
      </c>
      <c r="E66" s="32">
        <f t="shared" si="0"/>
        <v>360</v>
      </c>
      <c r="F66" s="2">
        <v>25</v>
      </c>
      <c r="G66" s="78">
        <f>N9</f>
        <v>0.315</v>
      </c>
      <c r="H66" s="22">
        <f t="shared" si="1"/>
        <v>4.5360000000000005</v>
      </c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5">
      <c r="A67" t="s">
        <v>121</v>
      </c>
      <c r="B67" s="2">
        <v>5</v>
      </c>
      <c r="C67" s="2">
        <v>350</v>
      </c>
      <c r="D67" s="49">
        <v>60</v>
      </c>
      <c r="E67" s="32">
        <f t="shared" si="0"/>
        <v>410</v>
      </c>
      <c r="F67" s="2">
        <v>25</v>
      </c>
      <c r="G67" s="78">
        <f>N10</f>
        <v>6.3000000000000007</v>
      </c>
      <c r="H67" s="22">
        <f>G67</f>
        <v>6.3000000000000007</v>
      </c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5">
      <c r="A68" t="s">
        <v>123</v>
      </c>
      <c r="B68" s="2">
        <v>5</v>
      </c>
      <c r="C68" s="2">
        <v>400</v>
      </c>
      <c r="D68" s="49">
        <v>60</v>
      </c>
      <c r="E68" s="32">
        <f t="shared" si="0"/>
        <v>460</v>
      </c>
      <c r="F68" s="2">
        <v>25</v>
      </c>
      <c r="G68" s="78">
        <f>N10</f>
        <v>6.3000000000000007</v>
      </c>
      <c r="H68" s="22">
        <f>G68</f>
        <v>6.3000000000000007</v>
      </c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25">
      <c r="A69" t="s">
        <v>125</v>
      </c>
      <c r="B69" s="2">
        <v>5</v>
      </c>
      <c r="C69" s="2">
        <v>500</v>
      </c>
      <c r="D69" s="49">
        <v>60</v>
      </c>
      <c r="E69" s="32">
        <f t="shared" si="0"/>
        <v>560</v>
      </c>
      <c r="F69" s="2">
        <v>25</v>
      </c>
      <c r="G69" s="78">
        <f>N10</f>
        <v>6.3000000000000007</v>
      </c>
      <c r="H69" s="22">
        <f>G69</f>
        <v>6.3000000000000007</v>
      </c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5">
      <c r="A70" t="s">
        <v>127</v>
      </c>
      <c r="B70" s="2">
        <v>6</v>
      </c>
      <c r="C70" s="2">
        <v>38</v>
      </c>
      <c r="D70" s="49">
        <v>45</v>
      </c>
      <c r="E70" s="32">
        <f t="shared" si="0"/>
        <v>83</v>
      </c>
      <c r="F70" s="2">
        <v>25</v>
      </c>
      <c r="G70" s="78">
        <v>0</v>
      </c>
      <c r="H70" s="22">
        <f t="shared" si="1"/>
        <v>0</v>
      </c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5">
      <c r="A71" t="s">
        <v>129</v>
      </c>
      <c r="B71" s="2">
        <v>6</v>
      </c>
      <c r="C71" s="2">
        <v>100</v>
      </c>
      <c r="D71" s="49">
        <v>80</v>
      </c>
      <c r="E71" s="32">
        <f t="shared" si="0"/>
        <v>180</v>
      </c>
      <c r="F71" s="2">
        <v>25</v>
      </c>
      <c r="G71" s="78">
        <v>0</v>
      </c>
      <c r="H71" s="22">
        <f t="shared" si="1"/>
        <v>0</v>
      </c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25">
      <c r="A72" t="s">
        <v>131</v>
      </c>
      <c r="B72" s="2">
        <v>6</v>
      </c>
      <c r="C72" s="2">
        <v>125</v>
      </c>
      <c r="D72" s="49">
        <v>80</v>
      </c>
      <c r="E72" s="32">
        <f t="shared" ref="E72:E135" si="3">D72+C72</f>
        <v>205</v>
      </c>
      <c r="F72" s="2">
        <v>25</v>
      </c>
      <c r="G72" s="78">
        <v>0</v>
      </c>
      <c r="H72" s="22">
        <f t="shared" ref="H72:H135" si="4">E72/F72*G72</f>
        <v>0</v>
      </c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25">
      <c r="A73" t="s">
        <v>133</v>
      </c>
      <c r="B73" s="2">
        <v>6</v>
      </c>
      <c r="C73" s="2">
        <v>150</v>
      </c>
      <c r="D73" s="49">
        <v>80</v>
      </c>
      <c r="E73" s="32">
        <f t="shared" si="3"/>
        <v>230</v>
      </c>
      <c r="F73" s="2">
        <v>25</v>
      </c>
      <c r="G73" s="78">
        <v>0</v>
      </c>
      <c r="H73" s="22">
        <f t="shared" si="4"/>
        <v>0</v>
      </c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25">
      <c r="A74" t="s">
        <v>135</v>
      </c>
      <c r="B74" s="2">
        <v>6</v>
      </c>
      <c r="C74" s="2">
        <v>200</v>
      </c>
      <c r="D74" s="49">
        <v>80</v>
      </c>
      <c r="E74" s="32">
        <f t="shared" si="3"/>
        <v>280</v>
      </c>
      <c r="F74" s="2">
        <v>25</v>
      </c>
      <c r="G74" s="78">
        <f>N12</f>
        <v>0.315</v>
      </c>
      <c r="H74" s="22">
        <f t="shared" si="4"/>
        <v>3.5279999999999996</v>
      </c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25">
      <c r="A75" t="s">
        <v>137</v>
      </c>
      <c r="B75" s="2">
        <v>6</v>
      </c>
      <c r="C75" s="2">
        <v>250</v>
      </c>
      <c r="D75" s="49">
        <v>80</v>
      </c>
      <c r="E75" s="32">
        <f t="shared" si="3"/>
        <v>330</v>
      </c>
      <c r="F75" s="2">
        <v>25</v>
      </c>
      <c r="G75" s="78">
        <f>N12</f>
        <v>0.315</v>
      </c>
      <c r="H75" s="22">
        <f t="shared" si="4"/>
        <v>4.1579999999999995</v>
      </c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25">
      <c r="A76" t="s">
        <v>139</v>
      </c>
      <c r="B76" s="2">
        <v>6</v>
      </c>
      <c r="C76" s="2">
        <v>300</v>
      </c>
      <c r="D76" s="49">
        <v>80</v>
      </c>
      <c r="E76" s="32">
        <f t="shared" si="3"/>
        <v>380</v>
      </c>
      <c r="F76" s="2">
        <v>25</v>
      </c>
      <c r="G76" s="78">
        <f>N12</f>
        <v>0.315</v>
      </c>
      <c r="H76" s="22">
        <f t="shared" si="4"/>
        <v>4.7879999999999994</v>
      </c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5">
      <c r="A77" t="s">
        <v>141</v>
      </c>
      <c r="B77" s="2">
        <v>6</v>
      </c>
      <c r="C77" s="2">
        <v>350</v>
      </c>
      <c r="D77" s="49">
        <v>80</v>
      </c>
      <c r="E77" s="32">
        <f t="shared" si="3"/>
        <v>430</v>
      </c>
      <c r="F77" s="2">
        <v>25</v>
      </c>
      <c r="G77" s="78">
        <f>N13</f>
        <v>6.3000000000000007</v>
      </c>
      <c r="H77" s="22">
        <f>G77</f>
        <v>6.3000000000000007</v>
      </c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25">
      <c r="A78" t="s">
        <v>143</v>
      </c>
      <c r="B78" s="2">
        <v>6</v>
      </c>
      <c r="C78" s="2">
        <v>400</v>
      </c>
      <c r="D78" s="49">
        <v>80</v>
      </c>
      <c r="E78" s="32">
        <f t="shared" si="3"/>
        <v>480</v>
      </c>
      <c r="F78" s="2">
        <v>25</v>
      </c>
      <c r="G78" s="78">
        <f>N13</f>
        <v>6.3000000000000007</v>
      </c>
      <c r="H78" s="22">
        <f>G78</f>
        <v>6.3000000000000007</v>
      </c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25">
      <c r="A79" t="s">
        <v>145</v>
      </c>
      <c r="B79" s="2">
        <v>6</v>
      </c>
      <c r="C79" s="2">
        <v>500</v>
      </c>
      <c r="D79" s="49">
        <v>80</v>
      </c>
      <c r="E79" s="32">
        <f t="shared" si="3"/>
        <v>580</v>
      </c>
      <c r="F79" s="2">
        <v>25</v>
      </c>
      <c r="G79" s="78">
        <f>N13</f>
        <v>6.3000000000000007</v>
      </c>
      <c r="H79" s="22">
        <f>G79</f>
        <v>6.3000000000000007</v>
      </c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25">
      <c r="A80" t="s">
        <v>147</v>
      </c>
      <c r="B80" s="2">
        <v>8</v>
      </c>
      <c r="C80" s="2">
        <v>100</v>
      </c>
      <c r="D80" s="49">
        <v>100</v>
      </c>
      <c r="E80" s="32">
        <f t="shared" si="3"/>
        <v>200</v>
      </c>
      <c r="F80" s="2">
        <v>25</v>
      </c>
      <c r="G80" s="78">
        <v>0</v>
      </c>
      <c r="H80" s="22">
        <f t="shared" si="4"/>
        <v>0</v>
      </c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25">
      <c r="A81" t="s">
        <v>149</v>
      </c>
      <c r="B81" s="2">
        <v>8</v>
      </c>
      <c r="C81" s="2">
        <v>125</v>
      </c>
      <c r="D81" s="49">
        <v>100</v>
      </c>
      <c r="E81" s="32">
        <f t="shared" si="3"/>
        <v>225</v>
      </c>
      <c r="F81" s="2">
        <v>25</v>
      </c>
      <c r="G81" s="78">
        <v>0</v>
      </c>
      <c r="H81" s="22">
        <f t="shared" si="4"/>
        <v>0</v>
      </c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25">
      <c r="A82" t="s">
        <v>151</v>
      </c>
      <c r="B82" s="2">
        <v>8</v>
      </c>
      <c r="C82" s="2">
        <v>150</v>
      </c>
      <c r="D82" s="49">
        <v>100</v>
      </c>
      <c r="E82" s="32">
        <f t="shared" si="3"/>
        <v>250</v>
      </c>
      <c r="F82" s="2">
        <v>25</v>
      </c>
      <c r="G82" s="78">
        <f>N17</f>
        <v>0.189</v>
      </c>
      <c r="H82" s="22">
        <f t="shared" si="4"/>
        <v>1.8900000000000001</v>
      </c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25">
      <c r="A83" t="s">
        <v>153</v>
      </c>
      <c r="B83" s="2">
        <v>8</v>
      </c>
      <c r="C83" s="2">
        <v>175</v>
      </c>
      <c r="D83" s="49">
        <v>100</v>
      </c>
      <c r="E83" s="32">
        <f t="shared" si="3"/>
        <v>275</v>
      </c>
      <c r="F83" s="2">
        <v>25</v>
      </c>
      <c r="G83" s="78">
        <f>N17</f>
        <v>0.189</v>
      </c>
      <c r="H83" s="22">
        <f t="shared" si="4"/>
        <v>2.0790000000000002</v>
      </c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25">
      <c r="A84" t="s">
        <v>155</v>
      </c>
      <c r="B84" s="2">
        <v>8</v>
      </c>
      <c r="C84" s="2">
        <v>200</v>
      </c>
      <c r="D84" s="49">
        <v>100</v>
      </c>
      <c r="E84" s="32">
        <f t="shared" si="3"/>
        <v>300</v>
      </c>
      <c r="F84" s="2">
        <v>25</v>
      </c>
      <c r="G84" s="78">
        <f>N18</f>
        <v>0.315</v>
      </c>
      <c r="H84" s="22">
        <f t="shared" si="4"/>
        <v>3.7800000000000002</v>
      </c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5">
      <c r="A85" t="s">
        <v>157</v>
      </c>
      <c r="B85" s="2">
        <v>8</v>
      </c>
      <c r="C85" s="2">
        <v>250</v>
      </c>
      <c r="D85" s="49">
        <v>100</v>
      </c>
      <c r="E85" s="32">
        <f t="shared" si="3"/>
        <v>350</v>
      </c>
      <c r="F85" s="2">
        <v>25</v>
      </c>
      <c r="G85" s="78">
        <f>N18</f>
        <v>0.315</v>
      </c>
      <c r="H85" s="22">
        <f t="shared" si="4"/>
        <v>4.41</v>
      </c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5">
      <c r="A86" t="s">
        <v>159</v>
      </c>
      <c r="B86" s="2">
        <v>8</v>
      </c>
      <c r="C86" s="2">
        <v>300</v>
      </c>
      <c r="D86" s="49">
        <v>100</v>
      </c>
      <c r="E86" s="32">
        <f t="shared" si="3"/>
        <v>400</v>
      </c>
      <c r="F86" s="2">
        <v>25</v>
      </c>
      <c r="G86" s="78">
        <f>N18</f>
        <v>0.315</v>
      </c>
      <c r="H86" s="22">
        <f t="shared" si="4"/>
        <v>5.04</v>
      </c>
      <c r="S86" s="2"/>
    </row>
    <row r="87" spans="1:19" x14ac:dyDescent="0.25">
      <c r="A87" t="s">
        <v>161</v>
      </c>
      <c r="B87" s="2">
        <v>8</v>
      </c>
      <c r="C87" s="2">
        <v>350</v>
      </c>
      <c r="D87" s="49">
        <v>100</v>
      </c>
      <c r="E87" s="32">
        <f t="shared" si="3"/>
        <v>450</v>
      </c>
      <c r="F87" s="2">
        <v>25</v>
      </c>
      <c r="G87" s="78">
        <f>N19</f>
        <v>6.3000000000000007</v>
      </c>
      <c r="H87" s="22">
        <f>G87</f>
        <v>6.3000000000000007</v>
      </c>
    </row>
    <row r="88" spans="1:19" x14ac:dyDescent="0.25">
      <c r="A88" t="s">
        <v>163</v>
      </c>
      <c r="B88" s="2">
        <v>8</v>
      </c>
      <c r="C88" s="2">
        <v>400</v>
      </c>
      <c r="D88" s="49">
        <v>100</v>
      </c>
      <c r="E88" s="32">
        <f t="shared" si="3"/>
        <v>500</v>
      </c>
      <c r="F88" s="2">
        <v>25</v>
      </c>
      <c r="G88" s="78">
        <f>N19</f>
        <v>6.3000000000000007</v>
      </c>
      <c r="H88" s="22">
        <f>G88</f>
        <v>6.3000000000000007</v>
      </c>
    </row>
    <row r="89" spans="1:19" x14ac:dyDescent="0.25">
      <c r="A89" t="s">
        <v>165</v>
      </c>
      <c r="B89" s="2">
        <v>8</v>
      </c>
      <c r="C89" s="2">
        <v>500</v>
      </c>
      <c r="D89" s="49">
        <v>100</v>
      </c>
      <c r="E89" s="32">
        <f t="shared" si="3"/>
        <v>600</v>
      </c>
      <c r="F89" s="2">
        <v>25</v>
      </c>
      <c r="G89" s="78">
        <f>N19</f>
        <v>6.3000000000000007</v>
      </c>
      <c r="H89" s="22">
        <f>G89</f>
        <v>6.3000000000000007</v>
      </c>
    </row>
    <row r="90" spans="1:19" x14ac:dyDescent="0.25">
      <c r="A90" t="s">
        <v>177</v>
      </c>
      <c r="B90" s="2">
        <v>10</v>
      </c>
      <c r="C90" s="2">
        <v>200</v>
      </c>
      <c r="D90" s="49">
        <v>100</v>
      </c>
      <c r="E90" s="32">
        <f t="shared" si="3"/>
        <v>300</v>
      </c>
      <c r="F90" s="2">
        <v>25</v>
      </c>
      <c r="G90" s="78">
        <f>N21</f>
        <v>0.315</v>
      </c>
      <c r="H90" s="22">
        <f t="shared" si="4"/>
        <v>3.7800000000000002</v>
      </c>
    </row>
    <row r="91" spans="1:19" x14ac:dyDescent="0.25">
      <c r="A91" t="s">
        <v>179</v>
      </c>
      <c r="B91" s="2">
        <v>10</v>
      </c>
      <c r="C91" s="2">
        <v>250</v>
      </c>
      <c r="D91" s="49">
        <v>100</v>
      </c>
      <c r="E91" s="32">
        <f t="shared" si="3"/>
        <v>350</v>
      </c>
      <c r="F91" s="2">
        <v>25</v>
      </c>
      <c r="G91" s="78">
        <f>N21</f>
        <v>0.315</v>
      </c>
      <c r="H91" s="22">
        <f t="shared" si="4"/>
        <v>4.41</v>
      </c>
    </row>
    <row r="92" spans="1:19" x14ac:dyDescent="0.25">
      <c r="A92" t="s">
        <v>181</v>
      </c>
      <c r="B92" s="2">
        <v>10</v>
      </c>
      <c r="C92" s="2">
        <v>300</v>
      </c>
      <c r="D92" s="49">
        <v>100</v>
      </c>
      <c r="E92" s="32">
        <f t="shared" si="3"/>
        <v>400</v>
      </c>
      <c r="F92" s="2">
        <v>25</v>
      </c>
      <c r="G92" s="78">
        <f>N21</f>
        <v>0.315</v>
      </c>
      <c r="H92" s="22">
        <f t="shared" si="4"/>
        <v>5.04</v>
      </c>
    </row>
    <row r="93" spans="1:19" x14ac:dyDescent="0.25">
      <c r="A93" t="s">
        <v>183</v>
      </c>
      <c r="B93" s="2">
        <v>10</v>
      </c>
      <c r="C93" s="2">
        <v>400</v>
      </c>
      <c r="D93" s="49">
        <v>100</v>
      </c>
      <c r="E93" s="32">
        <f t="shared" si="3"/>
        <v>500</v>
      </c>
      <c r="F93" s="2">
        <v>25</v>
      </c>
      <c r="G93" s="78">
        <f>N22</f>
        <v>6.3000000000000007</v>
      </c>
      <c r="H93" s="22">
        <f>G93</f>
        <v>6.3000000000000007</v>
      </c>
    </row>
    <row r="94" spans="1:19" x14ac:dyDescent="0.25">
      <c r="A94" t="s">
        <v>185</v>
      </c>
      <c r="B94" s="2">
        <v>10</v>
      </c>
      <c r="C94" s="2">
        <v>500</v>
      </c>
      <c r="D94" s="49">
        <v>100</v>
      </c>
      <c r="E94" s="32">
        <f t="shared" si="3"/>
        <v>600</v>
      </c>
      <c r="F94" s="2">
        <v>25</v>
      </c>
      <c r="G94" s="78">
        <f>N22</f>
        <v>6.3000000000000007</v>
      </c>
      <c r="H94" s="22">
        <f>G94</f>
        <v>6.3000000000000007</v>
      </c>
    </row>
    <row r="95" spans="1:19" x14ac:dyDescent="0.25">
      <c r="A95" t="s">
        <v>299</v>
      </c>
      <c r="B95" s="2">
        <v>3</v>
      </c>
      <c r="C95" s="2">
        <v>60</v>
      </c>
      <c r="D95" s="49">
        <v>60</v>
      </c>
      <c r="E95" s="32">
        <f t="shared" si="3"/>
        <v>120</v>
      </c>
      <c r="F95" s="2">
        <v>25</v>
      </c>
      <c r="G95" s="78">
        <v>0</v>
      </c>
      <c r="H95" s="22">
        <f t="shared" si="4"/>
        <v>0</v>
      </c>
    </row>
    <row r="96" spans="1:19" x14ac:dyDescent="0.25">
      <c r="A96" t="s">
        <v>187</v>
      </c>
      <c r="B96" s="2">
        <v>3</v>
      </c>
      <c r="C96" s="2">
        <v>75</v>
      </c>
      <c r="D96" s="49">
        <v>60</v>
      </c>
      <c r="E96" s="32">
        <f t="shared" si="3"/>
        <v>135</v>
      </c>
      <c r="F96" s="2">
        <v>25</v>
      </c>
      <c r="G96" s="78">
        <f>N7</f>
        <v>0.189</v>
      </c>
      <c r="H96" s="22">
        <f t="shared" si="4"/>
        <v>1.0206000000000002</v>
      </c>
    </row>
    <row r="97" spans="1:8" x14ac:dyDescent="0.25">
      <c r="A97" t="s">
        <v>189</v>
      </c>
      <c r="B97" s="2">
        <v>3</v>
      </c>
      <c r="C97" s="2">
        <v>100</v>
      </c>
      <c r="D97" s="49">
        <v>60</v>
      </c>
      <c r="E97" s="32">
        <f t="shared" si="3"/>
        <v>160</v>
      </c>
      <c r="F97" s="2">
        <v>25</v>
      </c>
      <c r="G97" s="78">
        <f>N7</f>
        <v>0.189</v>
      </c>
      <c r="H97" s="22">
        <f t="shared" si="4"/>
        <v>1.2096</v>
      </c>
    </row>
    <row r="98" spans="1:8" x14ac:dyDescent="0.25">
      <c r="A98" t="s">
        <v>191</v>
      </c>
      <c r="B98" s="2">
        <v>3</v>
      </c>
      <c r="C98" s="2">
        <v>125</v>
      </c>
      <c r="D98" s="49">
        <v>60</v>
      </c>
      <c r="E98" s="32">
        <f t="shared" si="3"/>
        <v>185</v>
      </c>
      <c r="F98" s="2">
        <v>25</v>
      </c>
      <c r="G98" s="78">
        <f>N8</f>
        <v>0.252</v>
      </c>
      <c r="H98" s="22">
        <f t="shared" si="4"/>
        <v>1.8648</v>
      </c>
    </row>
    <row r="99" spans="1:8" x14ac:dyDescent="0.25">
      <c r="A99" t="s">
        <v>193</v>
      </c>
      <c r="B99" s="2">
        <v>3</v>
      </c>
      <c r="C99" s="2">
        <v>150</v>
      </c>
      <c r="D99" s="49">
        <v>60</v>
      </c>
      <c r="E99" s="32">
        <f t="shared" si="3"/>
        <v>210</v>
      </c>
      <c r="F99" s="2">
        <v>25</v>
      </c>
      <c r="G99" s="78">
        <f>N8</f>
        <v>0.252</v>
      </c>
      <c r="H99" s="22">
        <f t="shared" si="4"/>
        <v>2.1168</v>
      </c>
    </row>
    <row r="100" spans="1:8" x14ac:dyDescent="0.25">
      <c r="A100" t="s">
        <v>195</v>
      </c>
      <c r="B100" s="2">
        <v>3</v>
      </c>
      <c r="C100" s="2">
        <v>200</v>
      </c>
      <c r="D100" s="49">
        <v>60</v>
      </c>
      <c r="E100" s="32">
        <f t="shared" si="3"/>
        <v>260</v>
      </c>
      <c r="F100" s="2">
        <v>25</v>
      </c>
      <c r="G100" s="78">
        <f>N8</f>
        <v>0.252</v>
      </c>
      <c r="H100" s="22">
        <f t="shared" si="4"/>
        <v>2.6208</v>
      </c>
    </row>
    <row r="101" spans="1:8" x14ac:dyDescent="0.25">
      <c r="A101" t="s">
        <v>199</v>
      </c>
      <c r="B101" s="2">
        <v>3</v>
      </c>
      <c r="C101" s="2">
        <v>250</v>
      </c>
      <c r="D101" s="49">
        <v>60</v>
      </c>
      <c r="E101" s="32">
        <f t="shared" si="3"/>
        <v>310</v>
      </c>
      <c r="F101" s="2">
        <v>25</v>
      </c>
      <c r="G101" s="78">
        <f>N9</f>
        <v>0.315</v>
      </c>
      <c r="H101" s="22">
        <f t="shared" si="4"/>
        <v>3.9060000000000001</v>
      </c>
    </row>
    <row r="102" spans="1:8" x14ac:dyDescent="0.25">
      <c r="A102" t="s">
        <v>197</v>
      </c>
      <c r="B102" s="2">
        <v>3</v>
      </c>
      <c r="C102" s="2">
        <v>300</v>
      </c>
      <c r="D102" s="49">
        <v>60</v>
      </c>
      <c r="E102" s="32">
        <f t="shared" si="3"/>
        <v>360</v>
      </c>
      <c r="F102" s="2">
        <v>25</v>
      </c>
      <c r="G102" s="78">
        <f>N9</f>
        <v>0.315</v>
      </c>
      <c r="H102" s="22">
        <f t="shared" si="4"/>
        <v>4.5360000000000005</v>
      </c>
    </row>
    <row r="103" spans="1:8" x14ac:dyDescent="0.25">
      <c r="A103" t="s">
        <v>201</v>
      </c>
      <c r="B103" s="2">
        <v>4</v>
      </c>
      <c r="C103" s="2">
        <v>80</v>
      </c>
      <c r="D103" s="49">
        <v>60</v>
      </c>
      <c r="E103" s="32">
        <f t="shared" si="3"/>
        <v>140</v>
      </c>
      <c r="F103" s="2">
        <v>25</v>
      </c>
      <c r="G103" s="78"/>
      <c r="H103" s="22">
        <f t="shared" si="4"/>
        <v>0</v>
      </c>
    </row>
    <row r="104" spans="1:8" x14ac:dyDescent="0.25">
      <c r="A104" t="s">
        <v>203</v>
      </c>
      <c r="B104" s="2">
        <v>4</v>
      </c>
      <c r="C104" s="2">
        <v>100</v>
      </c>
      <c r="D104" s="49">
        <v>60</v>
      </c>
      <c r="E104" s="32">
        <f t="shared" si="3"/>
        <v>160</v>
      </c>
      <c r="F104" s="2">
        <v>25</v>
      </c>
      <c r="G104" s="78">
        <f>N7</f>
        <v>0.189</v>
      </c>
      <c r="H104" s="22">
        <f t="shared" si="4"/>
        <v>1.2096</v>
      </c>
    </row>
    <row r="105" spans="1:8" x14ac:dyDescent="0.25">
      <c r="A105" t="s">
        <v>205</v>
      </c>
      <c r="B105" s="2">
        <v>4</v>
      </c>
      <c r="C105" s="2">
        <v>125</v>
      </c>
      <c r="D105" s="49">
        <v>60</v>
      </c>
      <c r="E105" s="32">
        <f t="shared" si="3"/>
        <v>185</v>
      </c>
      <c r="F105" s="2">
        <v>25</v>
      </c>
      <c r="G105" s="78">
        <f>N8</f>
        <v>0.252</v>
      </c>
      <c r="H105" s="22">
        <f t="shared" si="4"/>
        <v>1.8648</v>
      </c>
    </row>
    <row r="106" spans="1:8" x14ac:dyDescent="0.25">
      <c r="A106" t="s">
        <v>207</v>
      </c>
      <c r="B106" s="2">
        <v>4</v>
      </c>
      <c r="C106" s="2">
        <v>150</v>
      </c>
      <c r="D106" s="49">
        <v>60</v>
      </c>
      <c r="E106" s="32">
        <f t="shared" si="3"/>
        <v>210</v>
      </c>
      <c r="F106" s="2">
        <v>25</v>
      </c>
      <c r="G106" s="78">
        <f>N8</f>
        <v>0.252</v>
      </c>
      <c r="H106" s="22">
        <f t="shared" si="4"/>
        <v>2.1168</v>
      </c>
    </row>
    <row r="107" spans="1:8" x14ac:dyDescent="0.25">
      <c r="A107" t="s">
        <v>209</v>
      </c>
      <c r="B107" s="2">
        <v>4</v>
      </c>
      <c r="C107" s="2">
        <v>200</v>
      </c>
      <c r="D107" s="49">
        <v>60</v>
      </c>
      <c r="E107" s="32">
        <f t="shared" si="3"/>
        <v>260</v>
      </c>
      <c r="F107" s="2">
        <v>25</v>
      </c>
      <c r="G107" s="78">
        <f>N8</f>
        <v>0.252</v>
      </c>
      <c r="H107" s="22">
        <f t="shared" si="4"/>
        <v>2.6208</v>
      </c>
    </row>
    <row r="108" spans="1:8" x14ac:dyDescent="0.25">
      <c r="A108" t="s">
        <v>217</v>
      </c>
      <c r="B108" s="2">
        <v>4</v>
      </c>
      <c r="C108" s="2">
        <v>250</v>
      </c>
      <c r="D108" s="49">
        <v>60</v>
      </c>
      <c r="E108" s="32">
        <f t="shared" si="3"/>
        <v>310</v>
      </c>
      <c r="F108" s="2">
        <v>25</v>
      </c>
      <c r="G108" s="78">
        <f>N9</f>
        <v>0.315</v>
      </c>
      <c r="H108" s="22">
        <f t="shared" si="4"/>
        <v>3.9060000000000001</v>
      </c>
    </row>
    <row r="109" spans="1:8" x14ac:dyDescent="0.25">
      <c r="A109" t="s">
        <v>211</v>
      </c>
      <c r="B109" s="2">
        <v>4</v>
      </c>
      <c r="C109" s="2">
        <v>300</v>
      </c>
      <c r="D109" s="49">
        <v>60</v>
      </c>
      <c r="E109" s="32">
        <f t="shared" si="3"/>
        <v>360</v>
      </c>
      <c r="F109" s="2">
        <v>25</v>
      </c>
      <c r="G109" s="78">
        <f>N9</f>
        <v>0.315</v>
      </c>
      <c r="H109" s="22">
        <f t="shared" si="4"/>
        <v>4.5360000000000005</v>
      </c>
    </row>
    <row r="110" spans="1:8" x14ac:dyDescent="0.25">
      <c r="A110" t="s">
        <v>213</v>
      </c>
      <c r="B110" s="2">
        <v>4</v>
      </c>
      <c r="C110" s="2">
        <v>350</v>
      </c>
      <c r="D110" s="49">
        <v>60</v>
      </c>
      <c r="E110" s="32">
        <f t="shared" si="3"/>
        <v>410</v>
      </c>
      <c r="F110" s="2">
        <v>25</v>
      </c>
      <c r="G110" s="78">
        <f>N10</f>
        <v>6.3000000000000007</v>
      </c>
      <c r="H110" s="22">
        <f>G110</f>
        <v>6.3000000000000007</v>
      </c>
    </row>
    <row r="111" spans="1:8" x14ac:dyDescent="0.25">
      <c r="A111" t="s">
        <v>215</v>
      </c>
      <c r="B111" s="2">
        <v>4</v>
      </c>
      <c r="C111" s="2">
        <v>400</v>
      </c>
      <c r="D111" s="49">
        <v>60</v>
      </c>
      <c r="E111" s="32">
        <f t="shared" si="3"/>
        <v>460</v>
      </c>
      <c r="F111" s="2">
        <v>25</v>
      </c>
      <c r="G111" s="78">
        <f>N10</f>
        <v>6.3000000000000007</v>
      </c>
      <c r="H111" s="22">
        <f>G111</f>
        <v>6.3000000000000007</v>
      </c>
    </row>
    <row r="112" spans="1:8" x14ac:dyDescent="0.25">
      <c r="A112" t="s">
        <v>219</v>
      </c>
      <c r="B112" s="2">
        <v>4</v>
      </c>
      <c r="C112" s="2">
        <v>500</v>
      </c>
      <c r="D112" s="49">
        <v>60</v>
      </c>
      <c r="E112" s="32">
        <f t="shared" si="3"/>
        <v>560</v>
      </c>
      <c r="F112" s="2">
        <v>25</v>
      </c>
      <c r="G112" s="78">
        <f>N10</f>
        <v>6.3000000000000007</v>
      </c>
      <c r="H112" s="22">
        <f>G112</f>
        <v>6.3000000000000007</v>
      </c>
    </row>
    <row r="113" spans="1:8" x14ac:dyDescent="0.25">
      <c r="A113" t="s">
        <v>295</v>
      </c>
      <c r="B113" s="2">
        <v>5</v>
      </c>
      <c r="C113" s="2">
        <v>38</v>
      </c>
      <c r="D113" s="49">
        <v>45</v>
      </c>
      <c r="E113" s="32">
        <f t="shared" si="3"/>
        <v>83</v>
      </c>
      <c r="F113" s="2">
        <v>25</v>
      </c>
      <c r="G113" s="78"/>
      <c r="H113" s="22">
        <f t="shared" si="4"/>
        <v>0</v>
      </c>
    </row>
    <row r="114" spans="1:8" x14ac:dyDescent="0.25">
      <c r="A114" t="s">
        <v>221</v>
      </c>
      <c r="B114" s="2">
        <v>5</v>
      </c>
      <c r="C114" s="2">
        <v>80</v>
      </c>
      <c r="D114" s="49">
        <v>60</v>
      </c>
      <c r="E114" s="32">
        <f t="shared" si="3"/>
        <v>140</v>
      </c>
      <c r="F114" s="2">
        <v>25</v>
      </c>
      <c r="G114" s="78"/>
      <c r="H114" s="22">
        <f t="shared" si="4"/>
        <v>0</v>
      </c>
    </row>
    <row r="115" spans="1:8" x14ac:dyDescent="0.25">
      <c r="A115" t="s">
        <v>223</v>
      </c>
      <c r="B115" s="2">
        <v>5</v>
      </c>
      <c r="C115" s="2">
        <v>100</v>
      </c>
      <c r="D115" s="49">
        <v>60</v>
      </c>
      <c r="E115" s="32">
        <f t="shared" si="3"/>
        <v>160</v>
      </c>
      <c r="F115" s="2">
        <v>25</v>
      </c>
      <c r="G115" s="78"/>
      <c r="H115" s="22">
        <f t="shared" si="4"/>
        <v>0</v>
      </c>
    </row>
    <row r="116" spans="1:8" x14ac:dyDescent="0.25">
      <c r="A116" t="s">
        <v>225</v>
      </c>
      <c r="B116" s="2">
        <v>5</v>
      </c>
      <c r="C116" s="2">
        <v>125</v>
      </c>
      <c r="D116" s="49">
        <v>60</v>
      </c>
      <c r="E116" s="32">
        <f t="shared" si="3"/>
        <v>185</v>
      </c>
      <c r="F116" s="2">
        <v>25</v>
      </c>
      <c r="G116" s="78"/>
      <c r="H116" s="22">
        <f t="shared" si="4"/>
        <v>0</v>
      </c>
    </row>
    <row r="117" spans="1:8" x14ac:dyDescent="0.25">
      <c r="A117" t="s">
        <v>227</v>
      </c>
      <c r="B117" s="2">
        <v>5</v>
      </c>
      <c r="C117" s="2">
        <v>150</v>
      </c>
      <c r="D117" s="49">
        <v>60</v>
      </c>
      <c r="E117" s="32">
        <f t="shared" si="3"/>
        <v>210</v>
      </c>
      <c r="F117" s="2">
        <v>25</v>
      </c>
      <c r="G117" s="78">
        <f>N8</f>
        <v>0.252</v>
      </c>
      <c r="H117" s="22">
        <f t="shared" si="4"/>
        <v>2.1168</v>
      </c>
    </row>
    <row r="118" spans="1:8" x14ac:dyDescent="0.25">
      <c r="A118" t="s">
        <v>229</v>
      </c>
      <c r="B118" s="2">
        <v>5</v>
      </c>
      <c r="C118" s="2">
        <v>200</v>
      </c>
      <c r="D118" s="49">
        <v>60</v>
      </c>
      <c r="E118" s="32">
        <f t="shared" si="3"/>
        <v>260</v>
      </c>
      <c r="F118" s="2">
        <v>25</v>
      </c>
      <c r="G118" s="78">
        <f>N8</f>
        <v>0.252</v>
      </c>
      <c r="H118" s="22">
        <f t="shared" si="4"/>
        <v>2.6208</v>
      </c>
    </row>
    <row r="119" spans="1:8" x14ac:dyDescent="0.25">
      <c r="A119" t="s">
        <v>231</v>
      </c>
      <c r="B119" s="2">
        <v>5</v>
      </c>
      <c r="C119" s="2">
        <v>250</v>
      </c>
      <c r="D119" s="49">
        <v>60</v>
      </c>
      <c r="E119" s="32">
        <f t="shared" si="3"/>
        <v>310</v>
      </c>
      <c r="F119" s="2">
        <v>25</v>
      </c>
      <c r="G119" s="78">
        <f>N9</f>
        <v>0.315</v>
      </c>
      <c r="H119" s="22">
        <f t="shared" si="4"/>
        <v>3.9060000000000001</v>
      </c>
    </row>
    <row r="120" spans="1:8" x14ac:dyDescent="0.25">
      <c r="A120" t="s">
        <v>233</v>
      </c>
      <c r="B120" s="2">
        <v>5</v>
      </c>
      <c r="C120" s="2">
        <v>300</v>
      </c>
      <c r="D120" s="49">
        <v>60</v>
      </c>
      <c r="E120" s="32">
        <f t="shared" si="3"/>
        <v>360</v>
      </c>
      <c r="F120" s="2">
        <v>25</v>
      </c>
      <c r="G120" s="78">
        <f>N9</f>
        <v>0.315</v>
      </c>
      <c r="H120" s="22">
        <f t="shared" si="4"/>
        <v>4.5360000000000005</v>
      </c>
    </row>
    <row r="121" spans="1:8" x14ac:dyDescent="0.25">
      <c r="A121" t="s">
        <v>235</v>
      </c>
      <c r="B121" s="2">
        <v>5</v>
      </c>
      <c r="C121" s="2">
        <v>350</v>
      </c>
      <c r="D121" s="49">
        <v>60</v>
      </c>
      <c r="E121" s="32">
        <f t="shared" si="3"/>
        <v>410</v>
      </c>
      <c r="F121" s="2">
        <v>25</v>
      </c>
      <c r="G121" s="78">
        <f>N10</f>
        <v>6.3000000000000007</v>
      </c>
      <c r="H121" s="22">
        <f>G121</f>
        <v>6.3000000000000007</v>
      </c>
    </row>
    <row r="122" spans="1:8" x14ac:dyDescent="0.25">
      <c r="A122" t="s">
        <v>237</v>
      </c>
      <c r="B122" s="2">
        <v>5</v>
      </c>
      <c r="C122" s="2">
        <v>400</v>
      </c>
      <c r="D122" s="49">
        <v>60</v>
      </c>
      <c r="E122" s="32">
        <f t="shared" si="3"/>
        <v>460</v>
      </c>
      <c r="F122" s="2">
        <v>25</v>
      </c>
      <c r="G122" s="78">
        <f>N10</f>
        <v>6.3000000000000007</v>
      </c>
      <c r="H122" s="22">
        <f>G122</f>
        <v>6.3000000000000007</v>
      </c>
    </row>
    <row r="123" spans="1:8" x14ac:dyDescent="0.25">
      <c r="A123" t="s">
        <v>239</v>
      </c>
      <c r="B123" s="2">
        <v>5</v>
      </c>
      <c r="C123" s="2">
        <v>500</v>
      </c>
      <c r="D123" s="49">
        <v>60</v>
      </c>
      <c r="E123" s="32">
        <f t="shared" si="3"/>
        <v>560</v>
      </c>
      <c r="F123" s="2">
        <v>25</v>
      </c>
      <c r="G123" s="78">
        <f>N10</f>
        <v>6.3000000000000007</v>
      </c>
      <c r="H123" s="22">
        <f>G123</f>
        <v>6.3000000000000007</v>
      </c>
    </row>
    <row r="124" spans="1:8" x14ac:dyDescent="0.25">
      <c r="A124" t="s">
        <v>297</v>
      </c>
      <c r="B124" s="2">
        <v>6</v>
      </c>
      <c r="C124" s="2">
        <v>38</v>
      </c>
      <c r="D124" s="49">
        <v>45</v>
      </c>
      <c r="E124" s="32">
        <f t="shared" si="3"/>
        <v>83</v>
      </c>
      <c r="F124" s="2">
        <v>25</v>
      </c>
      <c r="G124" s="78"/>
      <c r="H124" s="22">
        <f t="shared" si="4"/>
        <v>0</v>
      </c>
    </row>
    <row r="125" spans="1:8" x14ac:dyDescent="0.25">
      <c r="A125" t="s">
        <v>241</v>
      </c>
      <c r="B125" s="2">
        <v>6</v>
      </c>
      <c r="C125" s="2">
        <v>100</v>
      </c>
      <c r="D125" s="49">
        <v>80</v>
      </c>
      <c r="E125" s="32">
        <f t="shared" si="3"/>
        <v>180</v>
      </c>
      <c r="F125" s="2">
        <v>25</v>
      </c>
      <c r="G125" s="78"/>
      <c r="H125" s="22">
        <f t="shared" si="4"/>
        <v>0</v>
      </c>
    </row>
    <row r="126" spans="1:8" x14ac:dyDescent="0.25">
      <c r="A126" t="s">
        <v>243</v>
      </c>
      <c r="B126" s="2">
        <v>6</v>
      </c>
      <c r="C126" s="2">
        <v>125</v>
      </c>
      <c r="D126" s="49">
        <v>80</v>
      </c>
      <c r="E126" s="32">
        <f t="shared" si="3"/>
        <v>205</v>
      </c>
      <c r="F126" s="2">
        <v>25</v>
      </c>
      <c r="G126" s="78"/>
      <c r="H126" s="22">
        <f t="shared" si="4"/>
        <v>0</v>
      </c>
    </row>
    <row r="127" spans="1:8" x14ac:dyDescent="0.25">
      <c r="A127" t="s">
        <v>245</v>
      </c>
      <c r="B127" s="2">
        <v>6</v>
      </c>
      <c r="C127" s="2">
        <v>150</v>
      </c>
      <c r="D127" s="49">
        <v>80</v>
      </c>
      <c r="E127" s="32">
        <f t="shared" si="3"/>
        <v>230</v>
      </c>
      <c r="F127" s="2">
        <v>25</v>
      </c>
      <c r="G127" s="78"/>
      <c r="H127" s="22">
        <f t="shared" si="4"/>
        <v>0</v>
      </c>
    </row>
    <row r="128" spans="1:8" x14ac:dyDescent="0.25">
      <c r="A128" t="s">
        <v>247</v>
      </c>
      <c r="B128" s="2">
        <v>6</v>
      </c>
      <c r="C128" s="2">
        <v>200</v>
      </c>
      <c r="D128" s="49">
        <v>80</v>
      </c>
      <c r="E128" s="32">
        <f t="shared" si="3"/>
        <v>280</v>
      </c>
      <c r="F128" s="2">
        <v>25</v>
      </c>
      <c r="G128" s="78">
        <f>N12</f>
        <v>0.315</v>
      </c>
      <c r="H128" s="22">
        <f t="shared" si="4"/>
        <v>3.5279999999999996</v>
      </c>
    </row>
    <row r="129" spans="1:8" x14ac:dyDescent="0.25">
      <c r="A129" t="s">
        <v>249</v>
      </c>
      <c r="B129" s="2">
        <v>6</v>
      </c>
      <c r="C129" s="2">
        <v>250</v>
      </c>
      <c r="D129" s="49">
        <v>80</v>
      </c>
      <c r="E129" s="32">
        <f t="shared" si="3"/>
        <v>330</v>
      </c>
      <c r="F129" s="2">
        <v>25</v>
      </c>
      <c r="G129" s="78">
        <f>N12</f>
        <v>0.315</v>
      </c>
      <c r="H129" s="22">
        <f t="shared" si="4"/>
        <v>4.1579999999999995</v>
      </c>
    </row>
    <row r="130" spans="1:8" x14ac:dyDescent="0.25">
      <c r="A130" t="s">
        <v>251</v>
      </c>
      <c r="B130" s="2">
        <v>6</v>
      </c>
      <c r="C130" s="2">
        <v>300</v>
      </c>
      <c r="D130" s="49">
        <v>80</v>
      </c>
      <c r="E130" s="32">
        <f t="shared" si="3"/>
        <v>380</v>
      </c>
      <c r="F130" s="2">
        <v>25</v>
      </c>
      <c r="G130" s="78">
        <f>N12</f>
        <v>0.315</v>
      </c>
      <c r="H130" s="22">
        <f t="shared" si="4"/>
        <v>4.7879999999999994</v>
      </c>
    </row>
    <row r="131" spans="1:8" x14ac:dyDescent="0.25">
      <c r="A131" t="s">
        <v>253</v>
      </c>
      <c r="B131" s="2">
        <v>6</v>
      </c>
      <c r="C131" s="2">
        <v>350</v>
      </c>
      <c r="D131" s="49">
        <v>80</v>
      </c>
      <c r="E131" s="32">
        <f t="shared" si="3"/>
        <v>430</v>
      </c>
      <c r="F131" s="2">
        <v>25</v>
      </c>
      <c r="G131" s="78">
        <f>N13</f>
        <v>6.3000000000000007</v>
      </c>
      <c r="H131" s="22">
        <f>G131</f>
        <v>6.3000000000000007</v>
      </c>
    </row>
    <row r="132" spans="1:8" x14ac:dyDescent="0.25">
      <c r="A132" t="s">
        <v>255</v>
      </c>
      <c r="B132" s="2">
        <v>6</v>
      </c>
      <c r="C132" s="2">
        <v>400</v>
      </c>
      <c r="D132" s="49">
        <v>80</v>
      </c>
      <c r="E132" s="32">
        <f t="shared" si="3"/>
        <v>480</v>
      </c>
      <c r="F132" s="2">
        <v>25</v>
      </c>
      <c r="G132" s="78">
        <f>N13</f>
        <v>6.3000000000000007</v>
      </c>
      <c r="H132" s="22">
        <f>G132</f>
        <v>6.3000000000000007</v>
      </c>
    </row>
    <row r="133" spans="1:8" x14ac:dyDescent="0.25">
      <c r="A133" t="s">
        <v>257</v>
      </c>
      <c r="B133" s="2">
        <v>6</v>
      </c>
      <c r="C133" s="2">
        <v>450</v>
      </c>
      <c r="D133" s="49">
        <v>80</v>
      </c>
      <c r="E133" s="32">
        <f t="shared" si="3"/>
        <v>530</v>
      </c>
      <c r="F133" s="2">
        <v>25</v>
      </c>
      <c r="G133" s="78">
        <f>N13</f>
        <v>6.3000000000000007</v>
      </c>
      <c r="H133" s="22">
        <f>G133</f>
        <v>6.3000000000000007</v>
      </c>
    </row>
    <row r="134" spans="1:8" x14ac:dyDescent="0.25">
      <c r="A134" t="s">
        <v>259</v>
      </c>
      <c r="B134" s="2">
        <v>6</v>
      </c>
      <c r="C134" s="2">
        <v>500</v>
      </c>
      <c r="D134" s="49">
        <v>80</v>
      </c>
      <c r="E134" s="32">
        <f t="shared" si="3"/>
        <v>580</v>
      </c>
      <c r="F134" s="2">
        <v>25</v>
      </c>
      <c r="G134" s="78">
        <f>N13</f>
        <v>6.3000000000000007</v>
      </c>
      <c r="H134" s="22">
        <f>G134</f>
        <v>6.3000000000000007</v>
      </c>
    </row>
    <row r="135" spans="1:8" x14ac:dyDescent="0.25">
      <c r="A135" t="s">
        <v>261</v>
      </c>
      <c r="B135" s="2">
        <v>7</v>
      </c>
      <c r="C135" s="2">
        <v>150</v>
      </c>
      <c r="D135" s="49">
        <v>100</v>
      </c>
      <c r="E135" s="32">
        <f t="shared" si="3"/>
        <v>250</v>
      </c>
      <c r="F135" s="2">
        <v>25</v>
      </c>
      <c r="G135" s="78">
        <f>N14</f>
        <v>0.189</v>
      </c>
      <c r="H135" s="22">
        <f t="shared" si="4"/>
        <v>1.8900000000000001</v>
      </c>
    </row>
    <row r="136" spans="1:8" x14ac:dyDescent="0.25">
      <c r="A136" t="s">
        <v>263</v>
      </c>
      <c r="B136" s="2">
        <v>7</v>
      </c>
      <c r="C136" s="2">
        <v>175</v>
      </c>
      <c r="D136" s="49">
        <v>100</v>
      </c>
      <c r="E136" s="32">
        <f t="shared" ref="E136:E199" si="5">D136+C136</f>
        <v>275</v>
      </c>
      <c r="F136" s="2">
        <v>25</v>
      </c>
      <c r="G136" s="78">
        <f>N14</f>
        <v>0.189</v>
      </c>
      <c r="H136" s="22">
        <f t="shared" ref="H136:H196" si="6">E136/F136*G136</f>
        <v>2.0790000000000002</v>
      </c>
    </row>
    <row r="137" spans="1:8" x14ac:dyDescent="0.25">
      <c r="A137" t="s">
        <v>265</v>
      </c>
      <c r="B137" s="2">
        <v>7</v>
      </c>
      <c r="C137" s="2">
        <v>200</v>
      </c>
      <c r="D137" s="49">
        <v>100</v>
      </c>
      <c r="E137" s="32">
        <f t="shared" si="5"/>
        <v>300</v>
      </c>
      <c r="F137" s="2">
        <v>25</v>
      </c>
      <c r="G137" s="78">
        <f>N15</f>
        <v>0.315</v>
      </c>
      <c r="H137" s="22">
        <f t="shared" si="6"/>
        <v>3.7800000000000002</v>
      </c>
    </row>
    <row r="138" spans="1:8" x14ac:dyDescent="0.25">
      <c r="A138" t="s">
        <v>267</v>
      </c>
      <c r="B138" s="2">
        <v>7</v>
      </c>
      <c r="C138" s="2">
        <v>250</v>
      </c>
      <c r="D138" s="49">
        <v>100</v>
      </c>
      <c r="E138" s="32">
        <f t="shared" si="5"/>
        <v>350</v>
      </c>
      <c r="F138" s="2">
        <v>25</v>
      </c>
      <c r="G138" s="78">
        <f>N15</f>
        <v>0.315</v>
      </c>
      <c r="H138" s="22">
        <f t="shared" si="6"/>
        <v>4.41</v>
      </c>
    </row>
    <row r="139" spans="1:8" x14ac:dyDescent="0.25">
      <c r="A139" t="s">
        <v>269</v>
      </c>
      <c r="B139" s="2">
        <v>7</v>
      </c>
      <c r="C139" s="2">
        <v>300</v>
      </c>
      <c r="D139" s="49">
        <v>100</v>
      </c>
      <c r="E139" s="32">
        <f t="shared" si="5"/>
        <v>400</v>
      </c>
      <c r="F139" s="2">
        <v>25</v>
      </c>
      <c r="G139" s="78">
        <f>N15</f>
        <v>0.315</v>
      </c>
      <c r="H139" s="22">
        <f t="shared" si="6"/>
        <v>5.04</v>
      </c>
    </row>
    <row r="140" spans="1:8" x14ac:dyDescent="0.25">
      <c r="A140" t="s">
        <v>271</v>
      </c>
      <c r="B140" s="2">
        <v>7</v>
      </c>
      <c r="C140" s="2">
        <v>350</v>
      </c>
      <c r="D140" s="49">
        <v>100</v>
      </c>
      <c r="E140" s="32">
        <f t="shared" si="5"/>
        <v>450</v>
      </c>
      <c r="F140" s="2">
        <v>25</v>
      </c>
      <c r="G140" s="78">
        <f>N16</f>
        <v>6.3000000000000007</v>
      </c>
      <c r="H140" s="22">
        <f>G140</f>
        <v>6.3000000000000007</v>
      </c>
    </row>
    <row r="141" spans="1:8" x14ac:dyDescent="0.25">
      <c r="A141" t="s">
        <v>273</v>
      </c>
      <c r="B141" s="2">
        <v>7</v>
      </c>
      <c r="C141" s="2">
        <v>400</v>
      </c>
      <c r="D141" s="49">
        <v>100</v>
      </c>
      <c r="E141" s="32">
        <f t="shared" si="5"/>
        <v>500</v>
      </c>
      <c r="F141" s="2">
        <v>25</v>
      </c>
      <c r="G141" s="78">
        <f>N16</f>
        <v>6.3000000000000007</v>
      </c>
      <c r="H141" s="22">
        <f>G141</f>
        <v>6.3000000000000007</v>
      </c>
    </row>
    <row r="142" spans="1:8" x14ac:dyDescent="0.25">
      <c r="A142" t="s">
        <v>275</v>
      </c>
      <c r="B142" s="2">
        <v>7</v>
      </c>
      <c r="C142" s="2">
        <v>450</v>
      </c>
      <c r="D142" s="49">
        <v>100</v>
      </c>
      <c r="E142" s="32">
        <f t="shared" si="5"/>
        <v>550</v>
      </c>
      <c r="F142" s="2">
        <v>25</v>
      </c>
      <c r="G142" s="78">
        <f>N16</f>
        <v>6.3000000000000007</v>
      </c>
      <c r="H142" s="22">
        <f>G142</f>
        <v>6.3000000000000007</v>
      </c>
    </row>
    <row r="143" spans="1:8" x14ac:dyDescent="0.25">
      <c r="A143" t="s">
        <v>277</v>
      </c>
      <c r="B143" s="2">
        <v>7</v>
      </c>
      <c r="C143" s="2">
        <v>500</v>
      </c>
      <c r="D143" s="49">
        <v>100</v>
      </c>
      <c r="E143" s="32">
        <f t="shared" si="5"/>
        <v>600</v>
      </c>
      <c r="F143" s="2">
        <v>25</v>
      </c>
      <c r="G143" s="78">
        <f>N16</f>
        <v>6.3000000000000007</v>
      </c>
      <c r="H143" s="22">
        <f>G143</f>
        <v>6.3000000000000007</v>
      </c>
    </row>
    <row r="144" spans="1:8" x14ac:dyDescent="0.25">
      <c r="A144" t="s">
        <v>279</v>
      </c>
      <c r="B144" s="2">
        <v>8</v>
      </c>
      <c r="C144" s="2">
        <v>175</v>
      </c>
      <c r="D144" s="49">
        <v>100</v>
      </c>
      <c r="E144" s="32">
        <f t="shared" si="5"/>
        <v>275</v>
      </c>
      <c r="F144" s="2">
        <v>25</v>
      </c>
      <c r="G144" s="78">
        <f>N17</f>
        <v>0.189</v>
      </c>
      <c r="H144" s="22">
        <f t="shared" si="6"/>
        <v>2.0790000000000002</v>
      </c>
    </row>
    <row r="145" spans="1:8" x14ac:dyDescent="0.25">
      <c r="A145" t="s">
        <v>281</v>
      </c>
      <c r="B145" s="2">
        <v>8</v>
      </c>
      <c r="C145" s="2">
        <v>200</v>
      </c>
      <c r="D145" s="49">
        <v>100</v>
      </c>
      <c r="E145" s="32">
        <f t="shared" si="5"/>
        <v>300</v>
      </c>
      <c r="F145" s="2">
        <v>25</v>
      </c>
      <c r="G145" s="78">
        <f>N18</f>
        <v>0.315</v>
      </c>
      <c r="H145" s="22">
        <f t="shared" si="6"/>
        <v>3.7800000000000002</v>
      </c>
    </row>
    <row r="146" spans="1:8" x14ac:dyDescent="0.25">
      <c r="A146" t="s">
        <v>283</v>
      </c>
      <c r="B146" s="2">
        <v>8</v>
      </c>
      <c r="C146" s="2">
        <v>250</v>
      </c>
      <c r="D146" s="49">
        <v>100</v>
      </c>
      <c r="E146" s="32">
        <f t="shared" si="5"/>
        <v>350</v>
      </c>
      <c r="F146" s="2">
        <v>25</v>
      </c>
      <c r="G146" s="78">
        <f>N18</f>
        <v>0.315</v>
      </c>
      <c r="H146" s="22">
        <f t="shared" si="6"/>
        <v>4.41</v>
      </c>
    </row>
    <row r="147" spans="1:8" x14ac:dyDescent="0.25">
      <c r="A147" t="s">
        <v>285</v>
      </c>
      <c r="B147" s="2">
        <v>8</v>
      </c>
      <c r="C147" s="2">
        <v>300</v>
      </c>
      <c r="D147" s="49">
        <v>100</v>
      </c>
      <c r="E147" s="32">
        <f t="shared" si="5"/>
        <v>400</v>
      </c>
      <c r="F147" s="2">
        <v>25</v>
      </c>
      <c r="G147" s="78">
        <f>N18</f>
        <v>0.315</v>
      </c>
      <c r="H147" s="22">
        <f t="shared" si="6"/>
        <v>5.04</v>
      </c>
    </row>
    <row r="148" spans="1:8" x14ac:dyDescent="0.25">
      <c r="A148" t="s">
        <v>287</v>
      </c>
      <c r="B148" s="2">
        <v>8</v>
      </c>
      <c r="C148" s="2">
        <v>350</v>
      </c>
      <c r="D148" s="49">
        <v>100</v>
      </c>
      <c r="E148" s="32">
        <f t="shared" si="5"/>
        <v>450</v>
      </c>
      <c r="F148" s="2">
        <v>25</v>
      </c>
      <c r="G148" s="78">
        <f>N19</f>
        <v>6.3000000000000007</v>
      </c>
      <c r="H148" s="22">
        <f>G148</f>
        <v>6.3000000000000007</v>
      </c>
    </row>
    <row r="149" spans="1:8" x14ac:dyDescent="0.25">
      <c r="A149" t="s">
        <v>289</v>
      </c>
      <c r="B149" s="2">
        <v>8</v>
      </c>
      <c r="C149" s="2">
        <v>400</v>
      </c>
      <c r="D149" s="49">
        <v>100</v>
      </c>
      <c r="E149" s="32">
        <f t="shared" si="5"/>
        <v>500</v>
      </c>
      <c r="F149" s="2">
        <v>25</v>
      </c>
      <c r="G149" s="78">
        <f>N19</f>
        <v>6.3000000000000007</v>
      </c>
      <c r="H149" s="22">
        <f>G149</f>
        <v>6.3000000000000007</v>
      </c>
    </row>
    <row r="150" spans="1:8" x14ac:dyDescent="0.25">
      <c r="A150" t="s">
        <v>291</v>
      </c>
      <c r="B150" s="2">
        <v>8</v>
      </c>
      <c r="C150" s="2">
        <v>450</v>
      </c>
      <c r="D150" s="49">
        <v>100</v>
      </c>
      <c r="E150" s="32">
        <f t="shared" si="5"/>
        <v>550</v>
      </c>
      <c r="F150" s="2">
        <v>25</v>
      </c>
      <c r="G150" s="78">
        <f>N19</f>
        <v>6.3000000000000007</v>
      </c>
      <c r="H150" s="22">
        <f>G150</f>
        <v>6.3000000000000007</v>
      </c>
    </row>
    <row r="151" spans="1:8" x14ac:dyDescent="0.25">
      <c r="A151" t="s">
        <v>293</v>
      </c>
      <c r="B151" s="2">
        <v>8</v>
      </c>
      <c r="C151" s="2">
        <v>500</v>
      </c>
      <c r="D151" s="49">
        <v>100</v>
      </c>
      <c r="E151" s="32">
        <f t="shared" si="5"/>
        <v>600</v>
      </c>
      <c r="F151" s="2">
        <v>25</v>
      </c>
      <c r="G151" s="78">
        <f>N19</f>
        <v>6.3000000000000007</v>
      </c>
      <c r="H151" s="22">
        <f>G151</f>
        <v>6.3000000000000007</v>
      </c>
    </row>
    <row r="152" spans="1:8" x14ac:dyDescent="0.25">
      <c r="A152" t="s">
        <v>349</v>
      </c>
      <c r="B152" s="2">
        <v>3</v>
      </c>
      <c r="C152" s="2">
        <v>60</v>
      </c>
      <c r="D152" s="49">
        <v>60</v>
      </c>
      <c r="E152" s="32">
        <f t="shared" si="5"/>
        <v>120</v>
      </c>
      <c r="F152" s="2">
        <v>25</v>
      </c>
      <c r="G152" s="78"/>
      <c r="H152" s="22">
        <f t="shared" si="6"/>
        <v>0</v>
      </c>
    </row>
    <row r="153" spans="1:8" x14ac:dyDescent="0.25">
      <c r="A153" t="s">
        <v>351</v>
      </c>
      <c r="B153" s="2">
        <v>3</v>
      </c>
      <c r="C153" s="2">
        <v>75</v>
      </c>
      <c r="D153" s="49">
        <v>60</v>
      </c>
      <c r="E153" s="32">
        <f t="shared" si="5"/>
        <v>135</v>
      </c>
      <c r="F153" s="2">
        <v>25</v>
      </c>
      <c r="G153" s="78">
        <f>N7</f>
        <v>0.189</v>
      </c>
      <c r="H153" s="22">
        <f t="shared" si="6"/>
        <v>1.0206000000000002</v>
      </c>
    </row>
    <row r="154" spans="1:8" x14ac:dyDescent="0.25">
      <c r="A154" t="s">
        <v>353</v>
      </c>
      <c r="B154" s="2">
        <v>3</v>
      </c>
      <c r="C154" s="2">
        <v>100</v>
      </c>
      <c r="D154" s="49">
        <v>60</v>
      </c>
      <c r="E154" s="32">
        <f t="shared" si="5"/>
        <v>160</v>
      </c>
      <c r="F154" s="2">
        <v>25</v>
      </c>
      <c r="G154" s="78">
        <f>N7</f>
        <v>0.189</v>
      </c>
      <c r="H154" s="22">
        <f t="shared" si="6"/>
        <v>1.2096</v>
      </c>
    </row>
    <row r="155" spans="1:8" x14ac:dyDescent="0.25">
      <c r="A155" t="s">
        <v>355</v>
      </c>
      <c r="B155" s="2">
        <v>3</v>
      </c>
      <c r="C155" s="2">
        <v>125</v>
      </c>
      <c r="D155" s="49">
        <v>60</v>
      </c>
      <c r="E155" s="32">
        <f t="shared" si="5"/>
        <v>185</v>
      </c>
      <c r="F155" s="2">
        <v>25</v>
      </c>
      <c r="G155" s="78">
        <f>N8</f>
        <v>0.252</v>
      </c>
      <c r="H155" s="22">
        <f t="shared" si="6"/>
        <v>1.8648</v>
      </c>
    </row>
    <row r="156" spans="1:8" x14ac:dyDescent="0.25">
      <c r="A156" t="s">
        <v>357</v>
      </c>
      <c r="B156" s="2">
        <v>3</v>
      </c>
      <c r="C156" s="2">
        <v>150</v>
      </c>
      <c r="D156" s="49">
        <v>60</v>
      </c>
      <c r="E156" s="32">
        <f t="shared" si="5"/>
        <v>210</v>
      </c>
      <c r="F156" s="2">
        <v>25</v>
      </c>
      <c r="G156" s="78">
        <f>N8</f>
        <v>0.252</v>
      </c>
      <c r="H156" s="22">
        <f t="shared" si="6"/>
        <v>2.1168</v>
      </c>
    </row>
    <row r="157" spans="1:8" x14ac:dyDescent="0.25">
      <c r="A157" t="s">
        <v>359</v>
      </c>
      <c r="B157" s="2">
        <v>3</v>
      </c>
      <c r="C157" s="2">
        <v>200</v>
      </c>
      <c r="D157" s="49">
        <v>60</v>
      </c>
      <c r="E157" s="32">
        <f t="shared" si="5"/>
        <v>260</v>
      </c>
      <c r="F157" s="2">
        <v>25</v>
      </c>
      <c r="G157" s="78">
        <f>N8</f>
        <v>0.252</v>
      </c>
      <c r="H157" s="22">
        <f t="shared" si="6"/>
        <v>2.6208</v>
      </c>
    </row>
    <row r="158" spans="1:8" x14ac:dyDescent="0.25">
      <c r="A158" t="s">
        <v>361</v>
      </c>
      <c r="B158" s="2">
        <v>3</v>
      </c>
      <c r="C158" s="2">
        <v>250</v>
      </c>
      <c r="D158" s="49">
        <v>60</v>
      </c>
      <c r="E158" s="32">
        <f t="shared" si="5"/>
        <v>310</v>
      </c>
      <c r="F158" s="2">
        <v>25</v>
      </c>
      <c r="G158" s="78">
        <f>N9</f>
        <v>0.315</v>
      </c>
      <c r="H158" s="22">
        <f t="shared" si="6"/>
        <v>3.9060000000000001</v>
      </c>
    </row>
    <row r="159" spans="1:8" x14ac:dyDescent="0.25">
      <c r="A159" t="s">
        <v>363</v>
      </c>
      <c r="B159" s="2">
        <v>3</v>
      </c>
      <c r="C159" s="2">
        <v>300</v>
      </c>
      <c r="D159" s="49">
        <v>60</v>
      </c>
      <c r="E159" s="32">
        <f t="shared" si="5"/>
        <v>360</v>
      </c>
      <c r="F159" s="2">
        <v>25</v>
      </c>
      <c r="G159" s="78">
        <f>N9</f>
        <v>0.315</v>
      </c>
      <c r="H159" s="22">
        <f t="shared" si="6"/>
        <v>4.5360000000000005</v>
      </c>
    </row>
    <row r="160" spans="1:8" x14ac:dyDescent="0.25">
      <c r="A160" t="s">
        <v>365</v>
      </c>
      <c r="B160" s="2">
        <v>4</v>
      </c>
      <c r="C160" s="2">
        <v>80</v>
      </c>
      <c r="D160" s="49">
        <v>60</v>
      </c>
      <c r="E160" s="32">
        <f t="shared" si="5"/>
        <v>140</v>
      </c>
      <c r="F160" s="2">
        <v>25</v>
      </c>
      <c r="G160" s="78"/>
      <c r="H160" s="22">
        <f t="shared" si="6"/>
        <v>0</v>
      </c>
    </row>
    <row r="161" spans="1:8" x14ac:dyDescent="0.25">
      <c r="A161" t="s">
        <v>367</v>
      </c>
      <c r="B161" s="2">
        <v>4</v>
      </c>
      <c r="C161" s="2">
        <v>100</v>
      </c>
      <c r="D161" s="49">
        <v>60</v>
      </c>
      <c r="E161" s="32">
        <f t="shared" si="5"/>
        <v>160</v>
      </c>
      <c r="F161" s="2">
        <v>25</v>
      </c>
      <c r="G161" s="78">
        <f>N7</f>
        <v>0.189</v>
      </c>
      <c r="H161" s="22">
        <f t="shared" si="6"/>
        <v>1.2096</v>
      </c>
    </row>
    <row r="162" spans="1:8" x14ac:dyDescent="0.25">
      <c r="A162" t="s">
        <v>369</v>
      </c>
      <c r="B162" s="2">
        <v>4</v>
      </c>
      <c r="C162" s="2">
        <v>125</v>
      </c>
      <c r="D162" s="49">
        <v>60</v>
      </c>
      <c r="E162" s="32">
        <f t="shared" si="5"/>
        <v>185</v>
      </c>
      <c r="F162" s="2">
        <v>25</v>
      </c>
      <c r="G162" s="78">
        <f>N8</f>
        <v>0.252</v>
      </c>
      <c r="H162" s="22">
        <f t="shared" si="6"/>
        <v>1.8648</v>
      </c>
    </row>
    <row r="163" spans="1:8" x14ac:dyDescent="0.25">
      <c r="A163" t="s">
        <v>371</v>
      </c>
      <c r="B163" s="2">
        <v>4</v>
      </c>
      <c r="C163" s="2">
        <v>150</v>
      </c>
      <c r="D163" s="49">
        <v>60</v>
      </c>
      <c r="E163" s="32">
        <f t="shared" si="5"/>
        <v>210</v>
      </c>
      <c r="F163" s="2">
        <v>25</v>
      </c>
      <c r="G163" s="78">
        <f>N8</f>
        <v>0.252</v>
      </c>
      <c r="H163" s="22">
        <f t="shared" si="6"/>
        <v>2.1168</v>
      </c>
    </row>
    <row r="164" spans="1:8" x14ac:dyDescent="0.25">
      <c r="A164" t="s">
        <v>373</v>
      </c>
      <c r="B164" s="2">
        <v>4</v>
      </c>
      <c r="C164" s="2">
        <v>200</v>
      </c>
      <c r="D164" s="49">
        <v>60</v>
      </c>
      <c r="E164" s="32">
        <f t="shared" si="5"/>
        <v>260</v>
      </c>
      <c r="F164" s="2">
        <v>25</v>
      </c>
      <c r="G164" s="78">
        <f>N8</f>
        <v>0.252</v>
      </c>
      <c r="H164" s="22">
        <f t="shared" si="6"/>
        <v>2.6208</v>
      </c>
    </row>
    <row r="165" spans="1:8" x14ac:dyDescent="0.25">
      <c r="A165" t="s">
        <v>375</v>
      </c>
      <c r="B165" s="2">
        <v>4</v>
      </c>
      <c r="C165" s="2">
        <v>250</v>
      </c>
      <c r="D165" s="49">
        <v>60</v>
      </c>
      <c r="E165" s="32">
        <f t="shared" si="5"/>
        <v>310</v>
      </c>
      <c r="F165" s="2">
        <v>25</v>
      </c>
      <c r="G165" s="78">
        <f>N9</f>
        <v>0.315</v>
      </c>
      <c r="H165" s="22">
        <f t="shared" si="6"/>
        <v>3.9060000000000001</v>
      </c>
    </row>
    <row r="166" spans="1:8" x14ac:dyDescent="0.25">
      <c r="A166" t="s">
        <v>377</v>
      </c>
      <c r="B166" s="2">
        <v>4</v>
      </c>
      <c r="C166" s="2">
        <v>300</v>
      </c>
      <c r="D166" s="49">
        <v>60</v>
      </c>
      <c r="E166" s="32">
        <f t="shared" si="5"/>
        <v>360</v>
      </c>
      <c r="F166" s="2">
        <v>25</v>
      </c>
      <c r="G166" s="78">
        <f>N9</f>
        <v>0.315</v>
      </c>
      <c r="H166" s="22">
        <f t="shared" si="6"/>
        <v>4.5360000000000005</v>
      </c>
    </row>
    <row r="167" spans="1:8" x14ac:dyDescent="0.25">
      <c r="A167" t="s">
        <v>379</v>
      </c>
      <c r="B167" s="2">
        <v>4</v>
      </c>
      <c r="C167" s="2">
        <v>350</v>
      </c>
      <c r="D167" s="49">
        <v>60</v>
      </c>
      <c r="E167" s="32">
        <f t="shared" si="5"/>
        <v>410</v>
      </c>
      <c r="F167" s="2">
        <v>25</v>
      </c>
      <c r="G167" s="78">
        <f>N10</f>
        <v>6.3000000000000007</v>
      </c>
      <c r="H167" s="22">
        <f>G167</f>
        <v>6.3000000000000007</v>
      </c>
    </row>
    <row r="168" spans="1:8" x14ac:dyDescent="0.25">
      <c r="A168" t="s">
        <v>381</v>
      </c>
      <c r="B168" s="2">
        <v>4</v>
      </c>
      <c r="C168" s="2">
        <v>400</v>
      </c>
      <c r="D168" s="49">
        <v>60</v>
      </c>
      <c r="E168" s="32">
        <f t="shared" si="5"/>
        <v>460</v>
      </c>
      <c r="F168" s="2">
        <v>25</v>
      </c>
      <c r="G168" s="78">
        <f>N10</f>
        <v>6.3000000000000007</v>
      </c>
      <c r="H168" s="22">
        <f>G168</f>
        <v>6.3000000000000007</v>
      </c>
    </row>
    <row r="169" spans="1:8" x14ac:dyDescent="0.25">
      <c r="A169" t="s">
        <v>383</v>
      </c>
      <c r="B169" s="2">
        <v>4</v>
      </c>
      <c r="C169" s="2">
        <v>500</v>
      </c>
      <c r="D169" s="49">
        <v>60</v>
      </c>
      <c r="E169" s="32">
        <f t="shared" si="5"/>
        <v>560</v>
      </c>
      <c r="F169" s="2">
        <v>25</v>
      </c>
      <c r="G169" s="78">
        <f>N10</f>
        <v>6.3000000000000007</v>
      </c>
      <c r="H169" s="22">
        <f>G169</f>
        <v>6.3000000000000007</v>
      </c>
    </row>
    <row r="170" spans="1:8" x14ac:dyDescent="0.25">
      <c r="A170" t="s">
        <v>385</v>
      </c>
      <c r="B170" s="2">
        <v>5</v>
      </c>
      <c r="C170" s="2">
        <v>38</v>
      </c>
      <c r="D170" s="49">
        <v>45</v>
      </c>
      <c r="E170" s="32">
        <f t="shared" si="5"/>
        <v>83</v>
      </c>
      <c r="F170" s="2">
        <v>25</v>
      </c>
      <c r="G170" s="78"/>
      <c r="H170" s="22">
        <f t="shared" si="6"/>
        <v>0</v>
      </c>
    </row>
    <row r="171" spans="1:8" x14ac:dyDescent="0.25">
      <c r="A171" t="s">
        <v>387</v>
      </c>
      <c r="B171" s="2">
        <v>5</v>
      </c>
      <c r="C171" s="2">
        <v>80</v>
      </c>
      <c r="D171" s="49">
        <v>60</v>
      </c>
      <c r="E171" s="32">
        <f t="shared" si="5"/>
        <v>140</v>
      </c>
      <c r="F171" s="2">
        <v>25</v>
      </c>
      <c r="G171" s="78"/>
      <c r="H171" s="22">
        <f t="shared" si="6"/>
        <v>0</v>
      </c>
    </row>
    <row r="172" spans="1:8" x14ac:dyDescent="0.25">
      <c r="A172" t="s">
        <v>389</v>
      </c>
      <c r="B172" s="2">
        <v>5</v>
      </c>
      <c r="C172" s="2">
        <v>100</v>
      </c>
      <c r="D172" s="49">
        <v>60</v>
      </c>
      <c r="E172" s="32">
        <f t="shared" si="5"/>
        <v>160</v>
      </c>
      <c r="F172" s="2">
        <v>25</v>
      </c>
      <c r="G172" s="78"/>
      <c r="H172" s="22">
        <f t="shared" si="6"/>
        <v>0</v>
      </c>
    </row>
    <row r="173" spans="1:8" x14ac:dyDescent="0.25">
      <c r="A173" t="s">
        <v>391</v>
      </c>
      <c r="B173" s="2">
        <v>5</v>
      </c>
      <c r="C173" s="2">
        <v>125</v>
      </c>
      <c r="D173" s="49">
        <v>60</v>
      </c>
      <c r="E173" s="32">
        <f t="shared" si="5"/>
        <v>185</v>
      </c>
      <c r="F173" s="2">
        <v>25</v>
      </c>
      <c r="G173" s="78"/>
      <c r="H173" s="22">
        <f t="shared" si="6"/>
        <v>0</v>
      </c>
    </row>
    <row r="174" spans="1:8" x14ac:dyDescent="0.25">
      <c r="A174" t="s">
        <v>393</v>
      </c>
      <c r="B174" s="2">
        <v>5</v>
      </c>
      <c r="C174" s="2">
        <v>150</v>
      </c>
      <c r="D174" s="49">
        <v>60</v>
      </c>
      <c r="E174" s="32">
        <f t="shared" si="5"/>
        <v>210</v>
      </c>
      <c r="F174" s="2">
        <v>25</v>
      </c>
      <c r="G174" s="78">
        <f>N8</f>
        <v>0.252</v>
      </c>
      <c r="H174" s="22">
        <f t="shared" si="6"/>
        <v>2.1168</v>
      </c>
    </row>
    <row r="175" spans="1:8" x14ac:dyDescent="0.25">
      <c r="A175" t="s">
        <v>395</v>
      </c>
      <c r="B175" s="2">
        <v>5</v>
      </c>
      <c r="C175" s="2">
        <v>200</v>
      </c>
      <c r="D175" s="49">
        <v>60</v>
      </c>
      <c r="E175" s="32">
        <f t="shared" si="5"/>
        <v>260</v>
      </c>
      <c r="F175" s="2">
        <v>25</v>
      </c>
      <c r="G175" s="78">
        <f>N8</f>
        <v>0.252</v>
      </c>
      <c r="H175" s="22">
        <f t="shared" si="6"/>
        <v>2.6208</v>
      </c>
    </row>
    <row r="176" spans="1:8" x14ac:dyDescent="0.25">
      <c r="A176" t="s">
        <v>397</v>
      </c>
      <c r="B176" s="2">
        <v>5</v>
      </c>
      <c r="C176" s="2">
        <v>250</v>
      </c>
      <c r="D176" s="49">
        <v>60</v>
      </c>
      <c r="E176" s="32">
        <f t="shared" si="5"/>
        <v>310</v>
      </c>
      <c r="F176" s="2">
        <v>25</v>
      </c>
      <c r="G176" s="78">
        <f>N9</f>
        <v>0.315</v>
      </c>
      <c r="H176" s="22">
        <f t="shared" si="6"/>
        <v>3.9060000000000001</v>
      </c>
    </row>
    <row r="177" spans="1:8" x14ac:dyDescent="0.25">
      <c r="A177" t="s">
        <v>399</v>
      </c>
      <c r="B177" s="2">
        <v>5</v>
      </c>
      <c r="C177" s="2">
        <v>300</v>
      </c>
      <c r="D177" s="49">
        <v>60</v>
      </c>
      <c r="E177" s="32">
        <f t="shared" si="5"/>
        <v>360</v>
      </c>
      <c r="F177" s="2">
        <v>25</v>
      </c>
      <c r="G177" s="78">
        <f>N9</f>
        <v>0.315</v>
      </c>
      <c r="H177" s="22">
        <f t="shared" si="6"/>
        <v>4.5360000000000005</v>
      </c>
    </row>
    <row r="178" spans="1:8" x14ac:dyDescent="0.25">
      <c r="A178" t="s">
        <v>401</v>
      </c>
      <c r="B178" s="2">
        <v>5</v>
      </c>
      <c r="C178" s="2">
        <v>350</v>
      </c>
      <c r="D178" s="49">
        <v>60</v>
      </c>
      <c r="E178" s="32">
        <f t="shared" si="5"/>
        <v>410</v>
      </c>
      <c r="F178" s="2">
        <v>25</v>
      </c>
      <c r="G178" s="78">
        <f>N10</f>
        <v>6.3000000000000007</v>
      </c>
      <c r="H178" s="22">
        <f>G178</f>
        <v>6.3000000000000007</v>
      </c>
    </row>
    <row r="179" spans="1:8" x14ac:dyDescent="0.25">
      <c r="A179" t="s">
        <v>403</v>
      </c>
      <c r="B179" s="2">
        <v>5</v>
      </c>
      <c r="C179" s="2">
        <v>400</v>
      </c>
      <c r="D179" s="49">
        <v>60</v>
      </c>
      <c r="E179" s="32">
        <f t="shared" si="5"/>
        <v>460</v>
      </c>
      <c r="F179" s="2">
        <v>25</v>
      </c>
      <c r="G179" s="78">
        <f>N10</f>
        <v>6.3000000000000007</v>
      </c>
      <c r="H179" s="22">
        <f>G179</f>
        <v>6.3000000000000007</v>
      </c>
    </row>
    <row r="180" spans="1:8" x14ac:dyDescent="0.25">
      <c r="A180" t="s">
        <v>405</v>
      </c>
      <c r="B180" s="2">
        <v>5</v>
      </c>
      <c r="C180" s="2">
        <v>500</v>
      </c>
      <c r="D180" s="49">
        <v>60</v>
      </c>
      <c r="E180" s="32">
        <f t="shared" si="5"/>
        <v>560</v>
      </c>
      <c r="F180" s="2">
        <v>25</v>
      </c>
      <c r="G180" s="78">
        <f>N10</f>
        <v>6.3000000000000007</v>
      </c>
      <c r="H180" s="22">
        <f>G180</f>
        <v>6.3000000000000007</v>
      </c>
    </row>
    <row r="181" spans="1:8" x14ac:dyDescent="0.25">
      <c r="A181" t="s">
        <v>456</v>
      </c>
      <c r="B181" s="2">
        <v>6</v>
      </c>
      <c r="C181" s="2">
        <v>38</v>
      </c>
      <c r="D181" s="49">
        <v>45</v>
      </c>
      <c r="E181" s="32">
        <f t="shared" si="5"/>
        <v>83</v>
      </c>
      <c r="F181" s="2">
        <v>25</v>
      </c>
      <c r="G181" s="78"/>
      <c r="H181" s="22">
        <f t="shared" si="6"/>
        <v>0</v>
      </c>
    </row>
    <row r="182" spans="1:8" x14ac:dyDescent="0.25">
      <c r="A182" t="s">
        <v>458</v>
      </c>
      <c r="B182" s="2">
        <v>6</v>
      </c>
      <c r="C182" s="2">
        <v>100</v>
      </c>
      <c r="D182" s="49">
        <v>80</v>
      </c>
      <c r="E182" s="32">
        <f t="shared" si="5"/>
        <v>180</v>
      </c>
      <c r="F182" s="2">
        <v>25</v>
      </c>
      <c r="G182" s="78"/>
      <c r="H182" s="22">
        <f t="shared" si="6"/>
        <v>0</v>
      </c>
    </row>
    <row r="183" spans="1:8" x14ac:dyDescent="0.25">
      <c r="A183" t="s">
        <v>460</v>
      </c>
      <c r="B183" s="2">
        <v>6</v>
      </c>
      <c r="C183" s="2">
        <v>125</v>
      </c>
      <c r="D183" s="49">
        <v>80</v>
      </c>
      <c r="E183" s="32">
        <f t="shared" si="5"/>
        <v>205</v>
      </c>
      <c r="F183" s="2">
        <v>25</v>
      </c>
      <c r="G183" s="78"/>
      <c r="H183" s="22">
        <f t="shared" si="6"/>
        <v>0</v>
      </c>
    </row>
    <row r="184" spans="1:8" x14ac:dyDescent="0.25">
      <c r="A184" t="s">
        <v>462</v>
      </c>
      <c r="B184" s="2">
        <v>6</v>
      </c>
      <c r="C184" s="2">
        <v>150</v>
      </c>
      <c r="D184" s="49">
        <v>80</v>
      </c>
      <c r="E184" s="32">
        <f t="shared" si="5"/>
        <v>230</v>
      </c>
      <c r="F184" s="2">
        <v>25</v>
      </c>
      <c r="G184" s="78"/>
      <c r="H184" s="22">
        <f t="shared" si="6"/>
        <v>0</v>
      </c>
    </row>
    <row r="185" spans="1:8" x14ac:dyDescent="0.25">
      <c r="A185" t="s">
        <v>464</v>
      </c>
      <c r="B185" s="2">
        <v>6</v>
      </c>
      <c r="C185" s="2">
        <v>200</v>
      </c>
      <c r="D185" s="49">
        <v>80</v>
      </c>
      <c r="E185" s="32">
        <f t="shared" si="5"/>
        <v>280</v>
      </c>
      <c r="F185" s="2">
        <v>25</v>
      </c>
      <c r="G185" s="78">
        <f>N12</f>
        <v>0.315</v>
      </c>
      <c r="H185" s="22">
        <f t="shared" si="6"/>
        <v>3.5279999999999996</v>
      </c>
    </row>
    <row r="186" spans="1:8" x14ac:dyDescent="0.25">
      <c r="A186" t="s">
        <v>466</v>
      </c>
      <c r="B186" s="2">
        <v>6</v>
      </c>
      <c r="C186" s="2">
        <v>250</v>
      </c>
      <c r="D186" s="49">
        <v>80</v>
      </c>
      <c r="E186" s="32">
        <f t="shared" si="5"/>
        <v>330</v>
      </c>
      <c r="F186" s="2">
        <v>25</v>
      </c>
      <c r="G186" s="78">
        <f>N12</f>
        <v>0.315</v>
      </c>
      <c r="H186" s="22">
        <f t="shared" si="6"/>
        <v>4.1579999999999995</v>
      </c>
    </row>
    <row r="187" spans="1:8" x14ac:dyDescent="0.25">
      <c r="A187" t="s">
        <v>468</v>
      </c>
      <c r="B187" s="2">
        <v>6</v>
      </c>
      <c r="C187" s="2">
        <v>300</v>
      </c>
      <c r="D187" s="49">
        <v>80</v>
      </c>
      <c r="E187" s="32">
        <f t="shared" si="5"/>
        <v>380</v>
      </c>
      <c r="F187" s="2">
        <v>25</v>
      </c>
      <c r="G187" s="78">
        <f>N12</f>
        <v>0.315</v>
      </c>
      <c r="H187" s="22">
        <f t="shared" si="6"/>
        <v>4.7879999999999994</v>
      </c>
    </row>
    <row r="188" spans="1:8" x14ac:dyDescent="0.25">
      <c r="A188" t="s">
        <v>470</v>
      </c>
      <c r="B188" s="2">
        <v>6</v>
      </c>
      <c r="C188" s="2">
        <v>350</v>
      </c>
      <c r="D188" s="49">
        <v>80</v>
      </c>
      <c r="E188" s="32">
        <f t="shared" si="5"/>
        <v>430</v>
      </c>
      <c r="F188" s="2">
        <v>25</v>
      </c>
      <c r="G188" s="78">
        <f>N13</f>
        <v>6.3000000000000007</v>
      </c>
      <c r="H188" s="22">
        <f>G188</f>
        <v>6.3000000000000007</v>
      </c>
    </row>
    <row r="189" spans="1:8" x14ac:dyDescent="0.25">
      <c r="A189" t="s">
        <v>472</v>
      </c>
      <c r="B189" s="2">
        <v>6</v>
      </c>
      <c r="C189" s="2">
        <v>400</v>
      </c>
      <c r="D189" s="49">
        <v>80</v>
      </c>
      <c r="E189" s="32">
        <f t="shared" si="5"/>
        <v>480</v>
      </c>
      <c r="F189" s="2">
        <v>25</v>
      </c>
      <c r="G189" s="78">
        <f>N13</f>
        <v>6.3000000000000007</v>
      </c>
      <c r="H189" s="22">
        <f>G189</f>
        <v>6.3000000000000007</v>
      </c>
    </row>
    <row r="190" spans="1:8" x14ac:dyDescent="0.25">
      <c r="A190" t="s">
        <v>474</v>
      </c>
      <c r="B190" s="2">
        <v>6</v>
      </c>
      <c r="C190" s="2">
        <v>450</v>
      </c>
      <c r="D190" s="49">
        <v>80</v>
      </c>
      <c r="E190" s="32">
        <f t="shared" si="5"/>
        <v>530</v>
      </c>
      <c r="F190" s="2">
        <v>25</v>
      </c>
      <c r="G190" s="78">
        <f>N13</f>
        <v>6.3000000000000007</v>
      </c>
      <c r="H190" s="22">
        <f>G190</f>
        <v>6.3000000000000007</v>
      </c>
    </row>
    <row r="191" spans="1:8" x14ac:dyDescent="0.25">
      <c r="A191" t="s">
        <v>476</v>
      </c>
      <c r="B191" s="2">
        <v>6</v>
      </c>
      <c r="C191" s="2">
        <v>500</v>
      </c>
      <c r="D191" s="49">
        <v>80</v>
      </c>
      <c r="E191" s="32">
        <f t="shared" si="5"/>
        <v>580</v>
      </c>
      <c r="F191" s="2">
        <v>25</v>
      </c>
      <c r="G191" s="78">
        <f>N13</f>
        <v>6.3000000000000007</v>
      </c>
      <c r="H191" s="22">
        <f>G191</f>
        <v>6.3000000000000007</v>
      </c>
    </row>
    <row r="192" spans="1:8" x14ac:dyDescent="0.25">
      <c r="A192" t="s">
        <v>407</v>
      </c>
      <c r="B192" s="2">
        <v>8</v>
      </c>
      <c r="C192" s="2">
        <v>150</v>
      </c>
      <c r="D192" s="49">
        <v>100</v>
      </c>
      <c r="E192" s="32">
        <f t="shared" si="5"/>
        <v>250</v>
      </c>
      <c r="F192" s="2">
        <v>25</v>
      </c>
      <c r="G192" s="78">
        <f>N17</f>
        <v>0.189</v>
      </c>
      <c r="H192" s="22">
        <f t="shared" si="6"/>
        <v>1.8900000000000001</v>
      </c>
    </row>
    <row r="193" spans="1:8" x14ac:dyDescent="0.25">
      <c r="A193" t="s">
        <v>409</v>
      </c>
      <c r="B193" s="2">
        <v>8</v>
      </c>
      <c r="C193" s="2">
        <v>175</v>
      </c>
      <c r="D193" s="49">
        <v>100</v>
      </c>
      <c r="E193" s="32">
        <f t="shared" si="5"/>
        <v>275</v>
      </c>
      <c r="F193" s="2">
        <v>25</v>
      </c>
      <c r="G193" s="78">
        <f>N17</f>
        <v>0.189</v>
      </c>
      <c r="H193" s="22">
        <f t="shared" si="6"/>
        <v>2.0790000000000002</v>
      </c>
    </row>
    <row r="194" spans="1:8" x14ac:dyDescent="0.25">
      <c r="A194" t="s">
        <v>411</v>
      </c>
      <c r="B194" s="2">
        <v>8</v>
      </c>
      <c r="C194" s="2">
        <v>200</v>
      </c>
      <c r="D194" s="49">
        <v>100</v>
      </c>
      <c r="E194" s="32">
        <f t="shared" si="5"/>
        <v>300</v>
      </c>
      <c r="F194" s="2">
        <v>25</v>
      </c>
      <c r="G194" s="78">
        <f>N18</f>
        <v>0.315</v>
      </c>
      <c r="H194" s="22">
        <f t="shared" si="6"/>
        <v>3.7800000000000002</v>
      </c>
    </row>
    <row r="195" spans="1:8" x14ac:dyDescent="0.25">
      <c r="A195" t="s">
        <v>413</v>
      </c>
      <c r="B195" s="2">
        <v>8</v>
      </c>
      <c r="C195" s="2">
        <v>250</v>
      </c>
      <c r="D195" s="49">
        <v>100</v>
      </c>
      <c r="E195" s="32">
        <f t="shared" si="5"/>
        <v>350</v>
      </c>
      <c r="F195" s="2">
        <v>25</v>
      </c>
      <c r="G195" s="78">
        <f>N18</f>
        <v>0.315</v>
      </c>
      <c r="H195" s="22">
        <f t="shared" si="6"/>
        <v>4.41</v>
      </c>
    </row>
    <row r="196" spans="1:8" x14ac:dyDescent="0.25">
      <c r="A196" t="s">
        <v>415</v>
      </c>
      <c r="B196" s="2">
        <v>8</v>
      </c>
      <c r="C196" s="2">
        <v>300</v>
      </c>
      <c r="D196" s="49">
        <v>100</v>
      </c>
      <c r="E196" s="32">
        <f t="shared" si="5"/>
        <v>400</v>
      </c>
      <c r="F196" s="2">
        <v>25</v>
      </c>
      <c r="G196" s="78">
        <f>N18</f>
        <v>0.315</v>
      </c>
      <c r="H196" s="22">
        <f t="shared" si="6"/>
        <v>5.04</v>
      </c>
    </row>
    <row r="197" spans="1:8" x14ac:dyDescent="0.25">
      <c r="A197" t="s">
        <v>417</v>
      </c>
      <c r="B197" s="2">
        <v>8</v>
      </c>
      <c r="C197" s="2">
        <v>350</v>
      </c>
      <c r="D197" s="49">
        <v>100</v>
      </c>
      <c r="E197" s="32">
        <f t="shared" si="5"/>
        <v>450</v>
      </c>
      <c r="F197" s="2">
        <v>25</v>
      </c>
      <c r="G197" s="78">
        <f>N19</f>
        <v>6.3000000000000007</v>
      </c>
      <c r="H197" s="22">
        <f>G197</f>
        <v>6.3000000000000007</v>
      </c>
    </row>
    <row r="198" spans="1:8" x14ac:dyDescent="0.25">
      <c r="A198" t="s">
        <v>419</v>
      </c>
      <c r="B198" s="2">
        <v>8</v>
      </c>
      <c r="C198" s="2">
        <v>400</v>
      </c>
      <c r="D198" s="49">
        <v>100</v>
      </c>
      <c r="E198" s="32">
        <f t="shared" si="5"/>
        <v>500</v>
      </c>
      <c r="F198" s="2">
        <v>25</v>
      </c>
      <c r="G198" s="78">
        <f>N19</f>
        <v>6.3000000000000007</v>
      </c>
      <c r="H198" s="22">
        <f>G198</f>
        <v>6.3000000000000007</v>
      </c>
    </row>
    <row r="199" spans="1:8" x14ac:dyDescent="0.25">
      <c r="A199" t="s">
        <v>421</v>
      </c>
      <c r="B199" s="2">
        <v>8</v>
      </c>
      <c r="C199" s="2">
        <v>450</v>
      </c>
      <c r="D199" s="49">
        <v>100</v>
      </c>
      <c r="E199" s="32">
        <f t="shared" si="5"/>
        <v>550</v>
      </c>
      <c r="F199" s="2">
        <v>25</v>
      </c>
      <c r="G199" s="78">
        <f>N19</f>
        <v>6.3000000000000007</v>
      </c>
      <c r="H199" s="22">
        <f>G199</f>
        <v>6.3000000000000007</v>
      </c>
    </row>
    <row r="200" spans="1:8" x14ac:dyDescent="0.25">
      <c r="A200" t="s">
        <v>423</v>
      </c>
      <c r="B200" s="2">
        <v>8</v>
      </c>
      <c r="C200" s="2">
        <v>500</v>
      </c>
      <c r="D200" s="49">
        <v>100</v>
      </c>
      <c r="E200" s="32">
        <f t="shared" ref="E200:E232" si="7">D200+C200</f>
        <v>600</v>
      </c>
      <c r="F200" s="2">
        <v>25</v>
      </c>
      <c r="G200" s="78">
        <f>N19</f>
        <v>6.3000000000000007</v>
      </c>
      <c r="H200" s="22">
        <f>G200</f>
        <v>6.3000000000000007</v>
      </c>
    </row>
    <row r="201" spans="1:8" x14ac:dyDescent="0.25">
      <c r="A201" t="s">
        <v>425</v>
      </c>
      <c r="B201" s="2">
        <v>10</v>
      </c>
      <c r="C201" s="2">
        <v>175</v>
      </c>
      <c r="D201" s="49">
        <v>100</v>
      </c>
      <c r="E201" s="32">
        <f t="shared" si="7"/>
        <v>275</v>
      </c>
      <c r="F201" s="2">
        <v>25</v>
      </c>
      <c r="G201" s="78">
        <f>N20</f>
        <v>0.189</v>
      </c>
      <c r="H201" s="22">
        <f t="shared" ref="H201:H232" si="8">E201/F201*G201</f>
        <v>2.0790000000000002</v>
      </c>
    </row>
    <row r="202" spans="1:8" x14ac:dyDescent="0.25">
      <c r="A202" t="s">
        <v>427</v>
      </c>
      <c r="B202" s="2">
        <v>10</v>
      </c>
      <c r="C202" s="2">
        <v>200</v>
      </c>
      <c r="D202" s="49">
        <v>100</v>
      </c>
      <c r="E202" s="32">
        <f t="shared" si="7"/>
        <v>300</v>
      </c>
      <c r="F202" s="2">
        <v>25</v>
      </c>
      <c r="G202" s="78">
        <f>N21</f>
        <v>0.315</v>
      </c>
      <c r="H202" s="22">
        <f t="shared" si="8"/>
        <v>3.7800000000000002</v>
      </c>
    </row>
    <row r="203" spans="1:8" x14ac:dyDescent="0.25">
      <c r="A203" t="s">
        <v>429</v>
      </c>
      <c r="B203" s="2">
        <v>10</v>
      </c>
      <c r="C203" s="2">
        <v>250</v>
      </c>
      <c r="D203" s="49">
        <v>100</v>
      </c>
      <c r="E203" s="32">
        <f t="shared" si="7"/>
        <v>350</v>
      </c>
      <c r="F203" s="2">
        <v>25</v>
      </c>
      <c r="G203" s="78">
        <f>N21</f>
        <v>0.315</v>
      </c>
      <c r="H203" s="22">
        <f t="shared" si="8"/>
        <v>4.41</v>
      </c>
    </row>
    <row r="204" spans="1:8" x14ac:dyDescent="0.25">
      <c r="A204" t="s">
        <v>431</v>
      </c>
      <c r="B204" s="2">
        <v>10</v>
      </c>
      <c r="C204" s="2">
        <v>300</v>
      </c>
      <c r="D204" s="49">
        <v>100</v>
      </c>
      <c r="E204" s="32">
        <f t="shared" si="7"/>
        <v>400</v>
      </c>
      <c r="F204" s="2">
        <v>25</v>
      </c>
      <c r="G204" s="78">
        <f>N21</f>
        <v>0.315</v>
      </c>
      <c r="H204" s="22">
        <f t="shared" si="8"/>
        <v>5.04</v>
      </c>
    </row>
    <row r="205" spans="1:8" x14ac:dyDescent="0.25">
      <c r="A205" t="s">
        <v>433</v>
      </c>
      <c r="B205" s="2">
        <v>10</v>
      </c>
      <c r="C205" s="2">
        <v>350</v>
      </c>
      <c r="D205" s="49">
        <v>100</v>
      </c>
      <c r="E205" s="32">
        <f t="shared" si="7"/>
        <v>450</v>
      </c>
      <c r="F205" s="2">
        <v>25</v>
      </c>
      <c r="G205" s="78">
        <f>N22</f>
        <v>6.3000000000000007</v>
      </c>
      <c r="H205" s="22">
        <f>G205</f>
        <v>6.3000000000000007</v>
      </c>
    </row>
    <row r="206" spans="1:8" x14ac:dyDescent="0.25">
      <c r="A206" t="s">
        <v>435</v>
      </c>
      <c r="B206" s="2">
        <v>10</v>
      </c>
      <c r="C206" s="2">
        <v>400</v>
      </c>
      <c r="D206" s="49">
        <v>100</v>
      </c>
      <c r="E206" s="32">
        <f t="shared" si="7"/>
        <v>500</v>
      </c>
      <c r="F206" s="2">
        <v>25</v>
      </c>
      <c r="G206" s="78">
        <f>N22</f>
        <v>6.3000000000000007</v>
      </c>
      <c r="H206" s="22">
        <f>G206</f>
        <v>6.3000000000000007</v>
      </c>
    </row>
    <row r="207" spans="1:8" x14ac:dyDescent="0.25">
      <c r="A207" t="s">
        <v>437</v>
      </c>
      <c r="B207" s="2">
        <v>10</v>
      </c>
      <c r="C207" s="2">
        <v>450</v>
      </c>
      <c r="D207" s="49">
        <v>100</v>
      </c>
      <c r="E207" s="32">
        <f t="shared" si="7"/>
        <v>550</v>
      </c>
      <c r="F207" s="2">
        <v>25</v>
      </c>
      <c r="G207" s="78">
        <f>N22</f>
        <v>6.3000000000000007</v>
      </c>
      <c r="H207" s="22">
        <f>G207</f>
        <v>6.3000000000000007</v>
      </c>
    </row>
    <row r="208" spans="1:8" x14ac:dyDescent="0.25">
      <c r="A208" t="s">
        <v>439</v>
      </c>
      <c r="B208" s="2">
        <v>10</v>
      </c>
      <c r="C208" s="2">
        <v>500</v>
      </c>
      <c r="D208" s="49">
        <v>100</v>
      </c>
      <c r="E208" s="32">
        <f t="shared" si="7"/>
        <v>600</v>
      </c>
      <c r="F208" s="2">
        <v>25</v>
      </c>
      <c r="G208" s="78">
        <f>N22</f>
        <v>6.3000000000000007</v>
      </c>
      <c r="H208" s="22">
        <f>G208</f>
        <v>6.3000000000000007</v>
      </c>
    </row>
    <row r="209" spans="1:8" x14ac:dyDescent="0.25">
      <c r="A209" t="s">
        <v>301</v>
      </c>
      <c r="B209" s="2">
        <v>3</v>
      </c>
      <c r="C209" s="2">
        <v>60</v>
      </c>
      <c r="D209" s="49">
        <v>60</v>
      </c>
      <c r="E209" s="32">
        <f t="shared" si="7"/>
        <v>120</v>
      </c>
      <c r="F209" s="2">
        <v>25</v>
      </c>
      <c r="G209" s="78"/>
      <c r="H209" s="22">
        <f t="shared" si="8"/>
        <v>0</v>
      </c>
    </row>
    <row r="210" spans="1:8" x14ac:dyDescent="0.25">
      <c r="A210" t="s">
        <v>303</v>
      </c>
      <c r="B210" s="2">
        <v>3</v>
      </c>
      <c r="C210" s="2">
        <v>60</v>
      </c>
      <c r="D210" s="49">
        <v>60</v>
      </c>
      <c r="E210" s="32">
        <f t="shared" si="7"/>
        <v>120</v>
      </c>
      <c r="F210" s="2">
        <v>25</v>
      </c>
      <c r="G210" s="78"/>
      <c r="H210" s="22">
        <f t="shared" si="8"/>
        <v>0</v>
      </c>
    </row>
    <row r="211" spans="1:8" x14ac:dyDescent="0.25">
      <c r="A211" t="s">
        <v>305</v>
      </c>
      <c r="B211" s="2">
        <v>3</v>
      </c>
      <c r="C211" s="2">
        <v>60</v>
      </c>
      <c r="D211" s="49">
        <v>60</v>
      </c>
      <c r="E211" s="32">
        <f t="shared" si="7"/>
        <v>120</v>
      </c>
      <c r="F211" s="2">
        <v>25</v>
      </c>
      <c r="G211" s="78"/>
      <c r="H211" s="22">
        <f t="shared" si="8"/>
        <v>0</v>
      </c>
    </row>
    <row r="212" spans="1:8" x14ac:dyDescent="0.25">
      <c r="A212" t="s">
        <v>307</v>
      </c>
      <c r="B212" s="2">
        <v>3</v>
      </c>
      <c r="C212" s="2">
        <v>60</v>
      </c>
      <c r="D212" s="49">
        <v>60</v>
      </c>
      <c r="E212" s="32">
        <f t="shared" si="7"/>
        <v>120</v>
      </c>
      <c r="F212" s="2">
        <v>25</v>
      </c>
      <c r="G212" s="78"/>
      <c r="H212" s="22">
        <f t="shared" si="8"/>
        <v>0</v>
      </c>
    </row>
    <row r="213" spans="1:8" x14ac:dyDescent="0.25">
      <c r="A213" t="s">
        <v>309</v>
      </c>
      <c r="B213" s="2">
        <v>4</v>
      </c>
      <c r="C213" s="2">
        <v>80</v>
      </c>
      <c r="D213" s="49">
        <v>60</v>
      </c>
      <c r="E213" s="32">
        <f t="shared" si="7"/>
        <v>140</v>
      </c>
      <c r="F213" s="2">
        <v>25</v>
      </c>
      <c r="G213" s="78"/>
      <c r="H213" s="22">
        <f t="shared" si="8"/>
        <v>0</v>
      </c>
    </row>
    <row r="214" spans="1:8" x14ac:dyDescent="0.25">
      <c r="A214" t="s">
        <v>311</v>
      </c>
      <c r="B214" s="2">
        <v>4</v>
      </c>
      <c r="C214" s="2">
        <v>80</v>
      </c>
      <c r="D214" s="49">
        <v>60</v>
      </c>
      <c r="E214" s="32">
        <f t="shared" si="7"/>
        <v>140</v>
      </c>
      <c r="F214" s="2">
        <v>25</v>
      </c>
      <c r="G214" s="78"/>
      <c r="H214" s="22">
        <f t="shared" si="8"/>
        <v>0</v>
      </c>
    </row>
    <row r="215" spans="1:8" x14ac:dyDescent="0.25">
      <c r="A215" t="s">
        <v>313</v>
      </c>
      <c r="B215" s="2">
        <v>5</v>
      </c>
      <c r="C215" s="2">
        <v>100</v>
      </c>
      <c r="D215" s="49">
        <v>60</v>
      </c>
      <c r="E215" s="32">
        <f t="shared" si="7"/>
        <v>160</v>
      </c>
      <c r="F215" s="2">
        <v>25</v>
      </c>
      <c r="G215" s="78"/>
      <c r="H215" s="22">
        <f t="shared" si="8"/>
        <v>0</v>
      </c>
    </row>
    <row r="216" spans="1:8" x14ac:dyDescent="0.25">
      <c r="A216" t="s">
        <v>315</v>
      </c>
      <c r="B216" s="2">
        <v>5</v>
      </c>
      <c r="C216" s="2">
        <v>100</v>
      </c>
      <c r="D216" s="49">
        <v>60</v>
      </c>
      <c r="E216" s="32">
        <f t="shared" si="7"/>
        <v>160</v>
      </c>
      <c r="F216" s="2">
        <v>25</v>
      </c>
      <c r="G216" s="78"/>
      <c r="H216" s="22">
        <f t="shared" si="8"/>
        <v>0</v>
      </c>
    </row>
    <row r="217" spans="1:8" x14ac:dyDescent="0.25">
      <c r="A217" t="s">
        <v>317</v>
      </c>
      <c r="B217" s="2">
        <v>6</v>
      </c>
      <c r="C217" s="2">
        <v>100</v>
      </c>
      <c r="D217" s="49">
        <v>80</v>
      </c>
      <c r="E217" s="32">
        <f t="shared" si="7"/>
        <v>180</v>
      </c>
      <c r="F217" s="2">
        <v>25</v>
      </c>
      <c r="G217" s="78"/>
      <c r="H217" s="22">
        <f t="shared" si="8"/>
        <v>0</v>
      </c>
    </row>
    <row r="218" spans="1:8" x14ac:dyDescent="0.25">
      <c r="A218" t="s">
        <v>319</v>
      </c>
      <c r="B218" s="2">
        <v>7</v>
      </c>
      <c r="C218" s="2">
        <v>125</v>
      </c>
      <c r="D218" s="49">
        <v>80</v>
      </c>
      <c r="E218" s="32">
        <f t="shared" si="7"/>
        <v>205</v>
      </c>
      <c r="F218" s="2">
        <v>25</v>
      </c>
      <c r="G218" s="78"/>
      <c r="H218" s="22">
        <f t="shared" si="8"/>
        <v>0</v>
      </c>
    </row>
    <row r="219" spans="1:8" x14ac:dyDescent="0.25">
      <c r="A219" t="s">
        <v>321</v>
      </c>
      <c r="B219" s="2">
        <v>8</v>
      </c>
      <c r="C219" s="2">
        <v>150</v>
      </c>
      <c r="D219" s="49">
        <v>100</v>
      </c>
      <c r="E219" s="32">
        <f t="shared" si="7"/>
        <v>250</v>
      </c>
      <c r="F219" s="2">
        <v>25</v>
      </c>
      <c r="G219" s="78">
        <f>N17</f>
        <v>0.189</v>
      </c>
      <c r="H219" s="22">
        <f t="shared" si="8"/>
        <v>1.8900000000000001</v>
      </c>
    </row>
    <row r="220" spans="1:8" x14ac:dyDescent="0.25">
      <c r="A220" t="s">
        <v>323</v>
      </c>
      <c r="B220" s="2">
        <v>8</v>
      </c>
      <c r="C220" s="2">
        <v>200</v>
      </c>
      <c r="D220" s="49">
        <v>100</v>
      </c>
      <c r="E220" s="32">
        <f t="shared" si="7"/>
        <v>300</v>
      </c>
      <c r="F220" s="2">
        <v>25</v>
      </c>
      <c r="G220" s="78">
        <f>N18</f>
        <v>0.315</v>
      </c>
      <c r="H220" s="22">
        <f t="shared" si="8"/>
        <v>3.7800000000000002</v>
      </c>
    </row>
    <row r="221" spans="1:8" x14ac:dyDescent="0.25">
      <c r="A221" t="s">
        <v>325</v>
      </c>
      <c r="B221" s="2">
        <v>3</v>
      </c>
      <c r="C221" s="2">
        <v>60</v>
      </c>
      <c r="D221" s="49">
        <v>60</v>
      </c>
      <c r="E221" s="32">
        <f t="shared" si="7"/>
        <v>120</v>
      </c>
      <c r="F221" s="2">
        <v>25</v>
      </c>
      <c r="G221" s="78"/>
      <c r="H221" s="22">
        <f t="shared" si="8"/>
        <v>0</v>
      </c>
    </row>
    <row r="222" spans="1:8" x14ac:dyDescent="0.25">
      <c r="A222" t="s">
        <v>327</v>
      </c>
      <c r="B222" s="2">
        <v>3</v>
      </c>
      <c r="C222" s="2">
        <v>60</v>
      </c>
      <c r="D222" s="49">
        <v>60</v>
      </c>
      <c r="E222" s="32">
        <f t="shared" si="7"/>
        <v>120</v>
      </c>
      <c r="F222" s="2">
        <v>25</v>
      </c>
      <c r="G222" s="78"/>
      <c r="H222" s="22">
        <f t="shared" si="8"/>
        <v>0</v>
      </c>
    </row>
    <row r="223" spans="1:8" x14ac:dyDescent="0.25">
      <c r="A223" t="s">
        <v>329</v>
      </c>
      <c r="B223" s="2">
        <v>3</v>
      </c>
      <c r="C223" s="2">
        <v>60</v>
      </c>
      <c r="D223" s="49">
        <v>60</v>
      </c>
      <c r="E223" s="32">
        <f t="shared" si="7"/>
        <v>120</v>
      </c>
      <c r="F223" s="2">
        <v>25</v>
      </c>
      <c r="G223" s="78"/>
      <c r="H223" s="22">
        <f t="shared" si="8"/>
        <v>0</v>
      </c>
    </row>
    <row r="224" spans="1:8" x14ac:dyDescent="0.25">
      <c r="A224" t="s">
        <v>331</v>
      </c>
      <c r="B224" s="2">
        <v>3</v>
      </c>
      <c r="C224" s="2">
        <v>60</v>
      </c>
      <c r="D224" s="49">
        <v>60</v>
      </c>
      <c r="E224" s="32">
        <f t="shared" si="7"/>
        <v>120</v>
      </c>
      <c r="F224" s="2">
        <v>25</v>
      </c>
      <c r="G224" s="78"/>
      <c r="H224" s="22">
        <f t="shared" si="8"/>
        <v>0</v>
      </c>
    </row>
    <row r="225" spans="1:8" x14ac:dyDescent="0.25">
      <c r="A225" t="s">
        <v>333</v>
      </c>
      <c r="B225" s="2">
        <v>4</v>
      </c>
      <c r="C225" s="2">
        <v>80</v>
      </c>
      <c r="D225" s="49">
        <v>60</v>
      </c>
      <c r="E225" s="32">
        <f t="shared" si="7"/>
        <v>140</v>
      </c>
      <c r="F225" s="2">
        <v>25</v>
      </c>
      <c r="G225" s="78"/>
      <c r="H225" s="22">
        <f t="shared" si="8"/>
        <v>0</v>
      </c>
    </row>
    <row r="226" spans="1:8" x14ac:dyDescent="0.25">
      <c r="A226" t="s">
        <v>335</v>
      </c>
      <c r="B226" s="2">
        <v>4</v>
      </c>
      <c r="C226" s="2">
        <v>80</v>
      </c>
      <c r="D226" s="49">
        <v>60</v>
      </c>
      <c r="E226" s="32">
        <f t="shared" si="7"/>
        <v>140</v>
      </c>
      <c r="F226" s="2">
        <v>25</v>
      </c>
      <c r="G226" s="78"/>
      <c r="H226" s="22">
        <f t="shared" si="8"/>
        <v>0</v>
      </c>
    </row>
    <row r="227" spans="1:8" x14ac:dyDescent="0.25">
      <c r="A227" t="s">
        <v>337</v>
      </c>
      <c r="B227" s="2">
        <v>5</v>
      </c>
      <c r="C227" s="2">
        <v>100</v>
      </c>
      <c r="D227" s="49">
        <v>60</v>
      </c>
      <c r="E227" s="32">
        <f t="shared" si="7"/>
        <v>160</v>
      </c>
      <c r="F227" s="2">
        <v>25</v>
      </c>
      <c r="G227" s="78"/>
      <c r="H227" s="22">
        <f t="shared" si="8"/>
        <v>0</v>
      </c>
    </row>
    <row r="228" spans="1:8" x14ac:dyDescent="0.25">
      <c r="A228" t="s">
        <v>339</v>
      </c>
      <c r="B228" s="2">
        <v>5</v>
      </c>
      <c r="C228" s="2">
        <v>100</v>
      </c>
      <c r="D228" s="49">
        <v>60</v>
      </c>
      <c r="E228" s="32">
        <f t="shared" si="7"/>
        <v>160</v>
      </c>
      <c r="F228" s="2">
        <v>25</v>
      </c>
      <c r="G228" s="78"/>
      <c r="H228" s="22">
        <f t="shared" si="8"/>
        <v>0</v>
      </c>
    </row>
    <row r="229" spans="1:8" x14ac:dyDescent="0.25">
      <c r="A229" t="s">
        <v>341</v>
      </c>
      <c r="B229" s="2">
        <v>6</v>
      </c>
      <c r="C229" s="2">
        <v>100</v>
      </c>
      <c r="D229" s="49">
        <v>80</v>
      </c>
      <c r="E229" s="32">
        <f t="shared" si="7"/>
        <v>180</v>
      </c>
      <c r="F229" s="2">
        <v>25</v>
      </c>
      <c r="G229" s="78"/>
      <c r="H229" s="22">
        <f t="shared" si="8"/>
        <v>0</v>
      </c>
    </row>
    <row r="230" spans="1:8" x14ac:dyDescent="0.25">
      <c r="A230" t="s">
        <v>343</v>
      </c>
      <c r="B230" s="2">
        <v>7</v>
      </c>
      <c r="C230" s="2">
        <v>125</v>
      </c>
      <c r="D230" s="49">
        <v>80</v>
      </c>
      <c r="E230" s="32">
        <f t="shared" si="7"/>
        <v>205</v>
      </c>
      <c r="F230" s="2">
        <v>25</v>
      </c>
      <c r="G230" s="78"/>
      <c r="H230" s="22">
        <f t="shared" si="8"/>
        <v>0</v>
      </c>
    </row>
    <row r="231" spans="1:8" x14ac:dyDescent="0.25">
      <c r="A231" t="s">
        <v>345</v>
      </c>
      <c r="B231" s="2">
        <v>8</v>
      </c>
      <c r="C231" s="2">
        <v>150</v>
      </c>
      <c r="D231" s="49">
        <v>100</v>
      </c>
      <c r="E231" s="32">
        <f t="shared" si="7"/>
        <v>250</v>
      </c>
      <c r="F231" s="2">
        <v>25</v>
      </c>
      <c r="G231" s="78">
        <f>N17</f>
        <v>0.189</v>
      </c>
      <c r="H231" s="22">
        <f t="shared" si="8"/>
        <v>1.8900000000000001</v>
      </c>
    </row>
    <row r="232" spans="1:8" x14ac:dyDescent="0.25">
      <c r="A232" t="s">
        <v>347</v>
      </c>
      <c r="B232" s="2">
        <v>8</v>
      </c>
      <c r="C232" s="2">
        <v>200</v>
      </c>
      <c r="D232" s="49">
        <v>100</v>
      </c>
      <c r="E232" s="32">
        <f t="shared" si="7"/>
        <v>300</v>
      </c>
      <c r="F232" s="2">
        <v>25</v>
      </c>
      <c r="G232" s="78">
        <f>N18</f>
        <v>0.315</v>
      </c>
      <c r="H232" s="22">
        <f t="shared" si="8"/>
        <v>3.7800000000000002</v>
      </c>
    </row>
    <row r="233" spans="1:8" x14ac:dyDescent="0.25">
      <c r="A233" t="s">
        <v>808</v>
      </c>
      <c r="B233" s="2">
        <v>2</v>
      </c>
      <c r="C233" s="2">
        <f>E233-D233</f>
        <v>50</v>
      </c>
      <c r="D233" s="2">
        <v>75</v>
      </c>
      <c r="E233" s="2">
        <v>125</v>
      </c>
      <c r="F233" s="2">
        <v>25</v>
      </c>
      <c r="G233" s="78">
        <f>N7</f>
        <v>0.189</v>
      </c>
      <c r="H233" s="22">
        <f t="shared" ref="H233:H259" si="9">E233/F233*G233</f>
        <v>0.94500000000000006</v>
      </c>
    </row>
    <row r="234" spans="1:8" x14ac:dyDescent="0.25">
      <c r="A234" t="s">
        <v>816</v>
      </c>
      <c r="B234" s="2">
        <v>2.5</v>
      </c>
      <c r="C234" s="2">
        <f t="shared" ref="C234:C259" si="10">E234-D234</f>
        <v>50</v>
      </c>
      <c r="D234" s="2">
        <v>100</v>
      </c>
      <c r="E234" s="2">
        <v>150</v>
      </c>
      <c r="F234" s="2">
        <v>25</v>
      </c>
      <c r="G234" s="78">
        <f>N7</f>
        <v>0.189</v>
      </c>
      <c r="H234" s="22">
        <f t="shared" si="9"/>
        <v>1.1339999999999999</v>
      </c>
    </row>
    <row r="235" spans="1:8" x14ac:dyDescent="0.25">
      <c r="A235" t="s">
        <v>809</v>
      </c>
      <c r="B235" s="2">
        <v>3</v>
      </c>
      <c r="C235" s="2">
        <f t="shared" si="10"/>
        <v>50</v>
      </c>
      <c r="D235" s="2">
        <v>100</v>
      </c>
      <c r="E235" s="2">
        <v>150</v>
      </c>
      <c r="F235" s="2">
        <v>25</v>
      </c>
      <c r="G235" s="78">
        <f>N7</f>
        <v>0.189</v>
      </c>
      <c r="H235" s="22">
        <f t="shared" si="9"/>
        <v>1.1339999999999999</v>
      </c>
    </row>
    <row r="236" spans="1:8" x14ac:dyDescent="0.25">
      <c r="A236" t="s">
        <v>810</v>
      </c>
      <c r="B236" s="2">
        <v>4</v>
      </c>
      <c r="C236" s="2">
        <f t="shared" si="10"/>
        <v>60</v>
      </c>
      <c r="D236" s="2">
        <v>100</v>
      </c>
      <c r="E236" s="2">
        <v>160</v>
      </c>
      <c r="F236" s="2">
        <v>25</v>
      </c>
      <c r="G236" s="78">
        <f>N7</f>
        <v>0.189</v>
      </c>
      <c r="H236" s="22">
        <f t="shared" si="9"/>
        <v>1.2096</v>
      </c>
    </row>
    <row r="237" spans="1:8" x14ac:dyDescent="0.25">
      <c r="A237" t="s">
        <v>811</v>
      </c>
      <c r="B237" s="2">
        <v>5</v>
      </c>
      <c r="C237" s="2">
        <f t="shared" si="10"/>
        <v>60</v>
      </c>
      <c r="D237" s="2">
        <v>100</v>
      </c>
      <c r="E237" s="2">
        <v>160</v>
      </c>
      <c r="F237" s="2">
        <v>25</v>
      </c>
      <c r="G237" s="78"/>
      <c r="H237" s="22">
        <f t="shared" si="9"/>
        <v>0</v>
      </c>
    </row>
    <row r="238" spans="1:8" x14ac:dyDescent="0.25">
      <c r="A238" t="s">
        <v>812</v>
      </c>
      <c r="B238" s="2">
        <v>6</v>
      </c>
      <c r="C238" s="2">
        <f t="shared" si="10"/>
        <v>80</v>
      </c>
      <c r="D238" s="2">
        <v>125</v>
      </c>
      <c r="E238" s="2">
        <v>205</v>
      </c>
      <c r="F238" s="2">
        <v>25</v>
      </c>
      <c r="G238" s="78">
        <v>0</v>
      </c>
      <c r="H238" s="22">
        <f t="shared" si="9"/>
        <v>0</v>
      </c>
    </row>
    <row r="239" spans="1:8" x14ac:dyDescent="0.25">
      <c r="A239" t="s">
        <v>813</v>
      </c>
      <c r="B239" s="2">
        <v>6</v>
      </c>
      <c r="C239" s="2">
        <f t="shared" si="10"/>
        <v>80</v>
      </c>
      <c r="D239" s="2">
        <v>150</v>
      </c>
      <c r="E239" s="2">
        <v>230</v>
      </c>
      <c r="F239" s="2">
        <v>25</v>
      </c>
      <c r="G239" s="78"/>
      <c r="H239" s="22">
        <f t="shared" si="9"/>
        <v>0</v>
      </c>
    </row>
    <row r="240" spans="1:8" x14ac:dyDescent="0.25">
      <c r="A240" t="s">
        <v>814</v>
      </c>
      <c r="B240" s="2">
        <v>8</v>
      </c>
      <c r="C240" s="2">
        <f t="shared" si="10"/>
        <v>95</v>
      </c>
      <c r="D240" s="2">
        <v>150</v>
      </c>
      <c r="E240" s="2">
        <v>245</v>
      </c>
      <c r="F240" s="2">
        <v>25</v>
      </c>
      <c r="G240" s="78"/>
      <c r="H240" s="22">
        <f t="shared" si="9"/>
        <v>0</v>
      </c>
    </row>
    <row r="241" spans="1:8" x14ac:dyDescent="0.25">
      <c r="A241" t="s">
        <v>815</v>
      </c>
      <c r="B241" s="2">
        <v>10</v>
      </c>
      <c r="C241" s="2">
        <f t="shared" si="10"/>
        <v>84</v>
      </c>
      <c r="D241" s="2">
        <v>200</v>
      </c>
      <c r="E241" s="2">
        <v>284</v>
      </c>
      <c r="F241" s="2">
        <v>25</v>
      </c>
      <c r="G241" s="78">
        <f>N20</f>
        <v>0.189</v>
      </c>
      <c r="H241" s="22">
        <f t="shared" si="9"/>
        <v>2.1470400000000001</v>
      </c>
    </row>
    <row r="242" spans="1:8" x14ac:dyDescent="0.25">
      <c r="A242" t="s">
        <v>799</v>
      </c>
      <c r="B242" s="2">
        <v>2</v>
      </c>
      <c r="C242" s="2">
        <f t="shared" si="10"/>
        <v>50</v>
      </c>
      <c r="D242" s="2">
        <v>75</v>
      </c>
      <c r="E242" s="2">
        <v>125</v>
      </c>
      <c r="F242" s="2">
        <v>25</v>
      </c>
      <c r="G242" s="78">
        <f>N7</f>
        <v>0.189</v>
      </c>
      <c r="H242" s="22">
        <f t="shared" si="9"/>
        <v>0.94500000000000006</v>
      </c>
    </row>
    <row r="243" spans="1:8" x14ac:dyDescent="0.25">
      <c r="A243" t="s">
        <v>800</v>
      </c>
      <c r="B243" s="2">
        <v>2.5</v>
      </c>
      <c r="C243" s="2">
        <f t="shared" si="10"/>
        <v>50</v>
      </c>
      <c r="D243" s="2">
        <v>100</v>
      </c>
      <c r="E243" s="2">
        <v>150</v>
      </c>
      <c r="F243" s="2">
        <v>25</v>
      </c>
      <c r="G243" s="78">
        <f>N7</f>
        <v>0.189</v>
      </c>
      <c r="H243" s="22">
        <f t="shared" si="9"/>
        <v>1.1339999999999999</v>
      </c>
    </row>
    <row r="244" spans="1:8" x14ac:dyDescent="0.25">
      <c r="A244" t="s">
        <v>801</v>
      </c>
      <c r="B244" s="2">
        <v>3</v>
      </c>
      <c r="C244" s="2">
        <f t="shared" si="10"/>
        <v>50</v>
      </c>
      <c r="D244" s="2">
        <v>100</v>
      </c>
      <c r="E244" s="2">
        <v>150</v>
      </c>
      <c r="F244" s="2">
        <v>25</v>
      </c>
      <c r="G244" s="78">
        <f>N7</f>
        <v>0.189</v>
      </c>
      <c r="H244" s="22">
        <f t="shared" si="9"/>
        <v>1.1339999999999999</v>
      </c>
    </row>
    <row r="245" spans="1:8" x14ac:dyDescent="0.25">
      <c r="A245" t="s">
        <v>802</v>
      </c>
      <c r="B245" s="2">
        <v>4</v>
      </c>
      <c r="C245" s="2">
        <f t="shared" si="10"/>
        <v>60</v>
      </c>
      <c r="D245" s="2">
        <v>100</v>
      </c>
      <c r="E245" s="2">
        <v>160</v>
      </c>
      <c r="F245" s="2">
        <v>25</v>
      </c>
      <c r="G245" s="78">
        <f>N7</f>
        <v>0.189</v>
      </c>
      <c r="H245" s="22">
        <f t="shared" si="9"/>
        <v>1.2096</v>
      </c>
    </row>
    <row r="246" spans="1:8" x14ac:dyDescent="0.25">
      <c r="A246" t="s">
        <v>803</v>
      </c>
      <c r="B246" s="2">
        <v>5</v>
      </c>
      <c r="C246" s="2">
        <f t="shared" si="10"/>
        <v>60</v>
      </c>
      <c r="D246" s="2">
        <v>100</v>
      </c>
      <c r="E246" s="2">
        <v>160</v>
      </c>
      <c r="F246" s="2">
        <v>25</v>
      </c>
      <c r="G246" s="78"/>
      <c r="H246" s="22">
        <f t="shared" si="9"/>
        <v>0</v>
      </c>
    </row>
    <row r="247" spans="1:8" x14ac:dyDescent="0.25">
      <c r="A247" t="s">
        <v>804</v>
      </c>
      <c r="B247" s="2">
        <v>6</v>
      </c>
      <c r="C247" s="2">
        <f t="shared" si="10"/>
        <v>80</v>
      </c>
      <c r="D247" s="2">
        <v>125</v>
      </c>
      <c r="E247" s="2">
        <v>205</v>
      </c>
      <c r="F247" s="2">
        <v>25</v>
      </c>
      <c r="G247" s="78">
        <v>0</v>
      </c>
      <c r="H247" s="22">
        <f t="shared" si="9"/>
        <v>0</v>
      </c>
    </row>
    <row r="248" spans="1:8" x14ac:dyDescent="0.25">
      <c r="A248" t="s">
        <v>805</v>
      </c>
      <c r="B248" s="2">
        <v>6</v>
      </c>
      <c r="C248" s="2">
        <f t="shared" si="10"/>
        <v>80</v>
      </c>
      <c r="D248" s="2">
        <v>150</v>
      </c>
      <c r="E248" s="2">
        <v>230</v>
      </c>
      <c r="F248" s="2">
        <v>25</v>
      </c>
      <c r="G248" s="78">
        <v>0</v>
      </c>
      <c r="H248" s="22">
        <f t="shared" si="9"/>
        <v>0</v>
      </c>
    </row>
    <row r="249" spans="1:8" x14ac:dyDescent="0.25">
      <c r="A249" t="s">
        <v>806</v>
      </c>
      <c r="B249" s="2">
        <v>8</v>
      </c>
      <c r="C249" s="2">
        <f t="shared" si="10"/>
        <v>95</v>
      </c>
      <c r="D249" s="2">
        <v>150</v>
      </c>
      <c r="E249" s="2">
        <v>245</v>
      </c>
      <c r="F249" s="2">
        <v>25</v>
      </c>
      <c r="G249" s="78">
        <f>N17</f>
        <v>0.189</v>
      </c>
      <c r="H249" s="22">
        <f t="shared" si="9"/>
        <v>1.8522000000000001</v>
      </c>
    </row>
    <row r="250" spans="1:8" x14ac:dyDescent="0.25">
      <c r="A250" t="s">
        <v>807</v>
      </c>
      <c r="B250" s="2">
        <v>10</v>
      </c>
      <c r="C250" s="2">
        <f t="shared" si="10"/>
        <v>84</v>
      </c>
      <c r="D250" s="2">
        <v>200</v>
      </c>
      <c r="E250" s="2">
        <v>284</v>
      </c>
      <c r="F250" s="2">
        <v>25</v>
      </c>
      <c r="G250" s="78">
        <f>N20</f>
        <v>0.189</v>
      </c>
      <c r="H250" s="22">
        <f t="shared" si="9"/>
        <v>2.1470400000000001</v>
      </c>
    </row>
    <row r="251" spans="1:8" x14ac:dyDescent="0.25">
      <c r="A251" t="s">
        <v>799</v>
      </c>
      <c r="B251" s="2">
        <v>2</v>
      </c>
      <c r="C251" s="2">
        <f t="shared" si="10"/>
        <v>50</v>
      </c>
      <c r="D251" s="2">
        <v>75</v>
      </c>
      <c r="E251" s="2">
        <v>125</v>
      </c>
      <c r="F251" s="2">
        <v>25</v>
      </c>
      <c r="G251" s="78">
        <f>N7</f>
        <v>0.189</v>
      </c>
      <c r="H251" s="22">
        <f t="shared" si="9"/>
        <v>0.94500000000000006</v>
      </c>
    </row>
    <row r="252" spans="1:8" x14ac:dyDescent="0.25">
      <c r="A252" t="s">
        <v>817</v>
      </c>
      <c r="B252" s="2">
        <v>2.5</v>
      </c>
      <c r="C252" s="2">
        <f t="shared" si="10"/>
        <v>50</v>
      </c>
      <c r="D252" s="2">
        <v>100</v>
      </c>
      <c r="E252" s="2">
        <v>150</v>
      </c>
      <c r="F252" s="2">
        <v>25</v>
      </c>
      <c r="G252" s="78">
        <f>N7</f>
        <v>0.189</v>
      </c>
      <c r="H252" s="22">
        <f t="shared" si="9"/>
        <v>1.1339999999999999</v>
      </c>
    </row>
    <row r="253" spans="1:8" x14ac:dyDescent="0.25">
      <c r="A253" t="s">
        <v>818</v>
      </c>
      <c r="B253" s="2">
        <v>3</v>
      </c>
      <c r="C253" s="2">
        <f t="shared" si="10"/>
        <v>50</v>
      </c>
      <c r="D253" s="2">
        <v>100</v>
      </c>
      <c r="E253" s="2">
        <v>150</v>
      </c>
      <c r="F253" s="2">
        <v>25</v>
      </c>
      <c r="G253" s="78">
        <f>N7</f>
        <v>0.189</v>
      </c>
      <c r="H253" s="22">
        <f t="shared" si="9"/>
        <v>1.1339999999999999</v>
      </c>
    </row>
    <row r="254" spans="1:8" x14ac:dyDescent="0.25">
      <c r="A254" t="s">
        <v>819</v>
      </c>
      <c r="B254" s="2">
        <v>4</v>
      </c>
      <c r="C254" s="2">
        <f t="shared" si="10"/>
        <v>60</v>
      </c>
      <c r="D254" s="2">
        <v>100</v>
      </c>
      <c r="E254" s="2">
        <v>160</v>
      </c>
      <c r="F254" s="2">
        <v>25</v>
      </c>
      <c r="G254" s="78">
        <f>N7</f>
        <v>0.189</v>
      </c>
      <c r="H254" s="22">
        <f t="shared" si="9"/>
        <v>1.2096</v>
      </c>
    </row>
    <row r="255" spans="1:8" x14ac:dyDescent="0.25">
      <c r="A255" t="s">
        <v>820</v>
      </c>
      <c r="B255" s="2">
        <v>5</v>
      </c>
      <c r="C255" s="2">
        <f t="shared" si="10"/>
        <v>60</v>
      </c>
      <c r="D255" s="2">
        <v>100</v>
      </c>
      <c r="E255" s="2">
        <v>160</v>
      </c>
      <c r="F255" s="2">
        <v>25</v>
      </c>
      <c r="G255" s="78">
        <f>N7</f>
        <v>0.189</v>
      </c>
      <c r="H255" s="22">
        <f t="shared" si="9"/>
        <v>1.2096</v>
      </c>
    </row>
    <row r="256" spans="1:8" x14ac:dyDescent="0.25">
      <c r="A256" t="s">
        <v>821</v>
      </c>
      <c r="B256" s="2">
        <v>6</v>
      </c>
      <c r="C256" s="2">
        <f t="shared" si="10"/>
        <v>80</v>
      </c>
      <c r="D256" s="2">
        <v>125</v>
      </c>
      <c r="E256" s="2">
        <v>205</v>
      </c>
      <c r="F256" s="2">
        <v>25</v>
      </c>
      <c r="G256" s="78">
        <v>0</v>
      </c>
      <c r="H256" s="22">
        <f t="shared" si="9"/>
        <v>0</v>
      </c>
    </row>
    <row r="257" spans="1:8" x14ac:dyDescent="0.25">
      <c r="A257" t="s">
        <v>822</v>
      </c>
      <c r="B257" s="2">
        <v>6</v>
      </c>
      <c r="C257" s="2">
        <f t="shared" si="10"/>
        <v>80</v>
      </c>
      <c r="D257" s="2">
        <v>150</v>
      </c>
      <c r="E257" s="2">
        <v>230</v>
      </c>
      <c r="F257" s="2">
        <v>25</v>
      </c>
      <c r="G257" s="78">
        <v>0</v>
      </c>
      <c r="H257" s="22">
        <f t="shared" si="9"/>
        <v>0</v>
      </c>
    </row>
    <row r="258" spans="1:8" x14ac:dyDescent="0.25">
      <c r="A258" t="s">
        <v>823</v>
      </c>
      <c r="B258" s="2">
        <v>8</v>
      </c>
      <c r="C258" s="2">
        <f t="shared" si="10"/>
        <v>95</v>
      </c>
      <c r="D258" s="2">
        <v>150</v>
      </c>
      <c r="E258" s="2">
        <v>245</v>
      </c>
      <c r="F258" s="2">
        <v>25</v>
      </c>
      <c r="G258" s="78">
        <f>N17</f>
        <v>0.189</v>
      </c>
      <c r="H258" s="22">
        <f t="shared" si="9"/>
        <v>1.8522000000000001</v>
      </c>
    </row>
    <row r="259" spans="1:8" x14ac:dyDescent="0.25">
      <c r="A259" t="s">
        <v>824</v>
      </c>
      <c r="B259" s="2">
        <v>10</v>
      </c>
      <c r="C259" s="2">
        <f t="shared" si="10"/>
        <v>84</v>
      </c>
      <c r="D259" s="2">
        <v>200</v>
      </c>
      <c r="E259" s="2">
        <v>284</v>
      </c>
      <c r="F259" s="2">
        <v>25</v>
      </c>
      <c r="G259" s="78">
        <f>N20</f>
        <v>0.189</v>
      </c>
      <c r="H259" s="22">
        <f t="shared" si="9"/>
        <v>2.1470400000000001</v>
      </c>
    </row>
    <row r="263" spans="1:8" x14ac:dyDescent="0.25">
      <c r="A263" t="s">
        <v>1089</v>
      </c>
      <c r="B263" s="2"/>
      <c r="C263" s="2"/>
      <c r="D263" s="2"/>
      <c r="E263" s="32"/>
      <c r="F263" s="2"/>
    </row>
    <row r="264" spans="1:8" x14ac:dyDescent="0.25">
      <c r="A264" t="s">
        <v>0</v>
      </c>
      <c r="B264" s="2" t="s">
        <v>443</v>
      </c>
      <c r="C264" s="2" t="s">
        <v>452</v>
      </c>
      <c r="D264" s="2" t="s">
        <v>454</v>
      </c>
      <c r="E264" s="32" t="s">
        <v>830</v>
      </c>
      <c r="F264" s="2" t="s">
        <v>960</v>
      </c>
      <c r="G264" s="2" t="s">
        <v>973</v>
      </c>
      <c r="H264" s="2" t="s">
        <v>448</v>
      </c>
    </row>
    <row r="265" spans="1:8" x14ac:dyDescent="0.25">
      <c r="A265" t="s">
        <v>833</v>
      </c>
      <c r="B265" s="2">
        <v>5</v>
      </c>
      <c r="C265" s="2">
        <v>75</v>
      </c>
      <c r="D265" s="2">
        <v>90</v>
      </c>
      <c r="E265" s="32">
        <v>165</v>
      </c>
      <c r="F265" s="2">
        <v>25</v>
      </c>
      <c r="G265" s="2">
        <f>N286</f>
        <v>0.19800000000000001</v>
      </c>
      <c r="H265" s="110"/>
    </row>
    <row r="266" spans="1:8" x14ac:dyDescent="0.25">
      <c r="A266" t="s">
        <v>835</v>
      </c>
      <c r="B266" s="2">
        <v>5</v>
      </c>
      <c r="C266" s="2">
        <v>100</v>
      </c>
      <c r="D266" s="2">
        <v>90</v>
      </c>
      <c r="E266" s="32">
        <v>190</v>
      </c>
      <c r="F266" s="2">
        <v>25</v>
      </c>
      <c r="G266" s="2">
        <f>N286</f>
        <v>0.19800000000000001</v>
      </c>
      <c r="H266" s="110"/>
    </row>
    <row r="267" spans="1:8" x14ac:dyDescent="0.25">
      <c r="A267" t="s">
        <v>837</v>
      </c>
      <c r="B267" s="2">
        <v>5</v>
      </c>
      <c r="C267" s="2">
        <v>150</v>
      </c>
      <c r="D267" s="2">
        <v>90</v>
      </c>
      <c r="E267" s="32">
        <v>240</v>
      </c>
      <c r="F267" s="2">
        <v>25</v>
      </c>
      <c r="G267" s="2">
        <f>N287</f>
        <v>0.26400000000000001</v>
      </c>
      <c r="H267" s="110">
        <f t="shared" ref="H267:H316" si="11">E267/F267*G267</f>
        <v>2.5344000000000002</v>
      </c>
    </row>
    <row r="268" spans="1:8" x14ac:dyDescent="0.25">
      <c r="A268" t="s">
        <v>839</v>
      </c>
      <c r="B268" s="2">
        <v>5</v>
      </c>
      <c r="C268" s="2">
        <v>200</v>
      </c>
      <c r="D268" s="2">
        <v>90</v>
      </c>
      <c r="E268" s="32">
        <v>290</v>
      </c>
      <c r="F268" s="2">
        <v>25</v>
      </c>
      <c r="G268" s="2">
        <f>N287</f>
        <v>0.26400000000000001</v>
      </c>
      <c r="H268" s="110">
        <f t="shared" si="11"/>
        <v>3.0624000000000002</v>
      </c>
    </row>
    <row r="269" spans="1:8" x14ac:dyDescent="0.25">
      <c r="A269" t="s">
        <v>841</v>
      </c>
      <c r="B269" s="2">
        <v>5</v>
      </c>
      <c r="C269" s="2">
        <v>250</v>
      </c>
      <c r="D269" s="2">
        <v>90</v>
      </c>
      <c r="E269" s="32">
        <v>340</v>
      </c>
      <c r="F269" s="2">
        <v>25</v>
      </c>
      <c r="G269" s="2">
        <f>N288</f>
        <v>0.33</v>
      </c>
      <c r="H269" s="110">
        <f t="shared" si="11"/>
        <v>4.4880000000000004</v>
      </c>
    </row>
    <row r="270" spans="1:8" x14ac:dyDescent="0.25">
      <c r="A270" t="s">
        <v>843</v>
      </c>
      <c r="B270" s="2">
        <v>5</v>
      </c>
      <c r="C270" s="2">
        <v>300</v>
      </c>
      <c r="D270" s="2">
        <v>90</v>
      </c>
      <c r="E270" s="32">
        <v>390</v>
      </c>
      <c r="F270" s="2">
        <v>25</v>
      </c>
      <c r="G270" s="2">
        <f>N288</f>
        <v>0.33</v>
      </c>
      <c r="H270" s="110">
        <f t="shared" si="11"/>
        <v>5.1479999999999997</v>
      </c>
    </row>
    <row r="271" spans="1:8" x14ac:dyDescent="0.25">
      <c r="A271" t="s">
        <v>845</v>
      </c>
      <c r="B271" s="2">
        <v>6</v>
      </c>
      <c r="C271" s="2">
        <v>100</v>
      </c>
      <c r="D271" s="2">
        <v>110</v>
      </c>
      <c r="E271" s="32">
        <v>210</v>
      </c>
      <c r="F271" s="2">
        <v>25</v>
      </c>
      <c r="G271" s="2">
        <f>N290</f>
        <v>0.19800000000000001</v>
      </c>
      <c r="H271" s="110"/>
    </row>
    <row r="272" spans="1:8" x14ac:dyDescent="0.25">
      <c r="A272" t="s">
        <v>847</v>
      </c>
      <c r="B272" s="2">
        <v>6</v>
      </c>
      <c r="C272" s="2">
        <v>125</v>
      </c>
      <c r="D272" s="2">
        <v>110</v>
      </c>
      <c r="E272" s="32">
        <v>235</v>
      </c>
      <c r="F272" s="2">
        <v>25</v>
      </c>
      <c r="G272" s="2">
        <f>N290</f>
        <v>0.19800000000000001</v>
      </c>
      <c r="H272" s="110">
        <f t="shared" si="11"/>
        <v>1.8612000000000002</v>
      </c>
    </row>
    <row r="273" spans="1:16" x14ac:dyDescent="0.25">
      <c r="A273" t="s">
        <v>849</v>
      </c>
      <c r="B273" s="2">
        <v>6</v>
      </c>
      <c r="C273" s="2">
        <v>150</v>
      </c>
      <c r="D273" s="2">
        <v>110</v>
      </c>
      <c r="E273" s="32">
        <v>260</v>
      </c>
      <c r="F273" s="2">
        <v>25</v>
      </c>
      <c r="G273" s="2">
        <f>N290</f>
        <v>0.19800000000000001</v>
      </c>
      <c r="H273" s="110">
        <f t="shared" si="11"/>
        <v>2.0592000000000001</v>
      </c>
    </row>
    <row r="274" spans="1:16" x14ac:dyDescent="0.25">
      <c r="A274" t="s">
        <v>851</v>
      </c>
      <c r="B274" s="2">
        <v>6</v>
      </c>
      <c r="C274" s="2">
        <v>200</v>
      </c>
      <c r="D274" s="2">
        <v>110</v>
      </c>
      <c r="E274" s="32">
        <v>310</v>
      </c>
      <c r="F274" s="2">
        <v>25</v>
      </c>
      <c r="G274" s="2">
        <f>N291</f>
        <v>0.33</v>
      </c>
      <c r="H274" s="110">
        <f t="shared" si="11"/>
        <v>4.0920000000000005</v>
      </c>
    </row>
    <row r="275" spans="1:16" x14ac:dyDescent="0.25">
      <c r="A275" t="s">
        <v>853</v>
      </c>
      <c r="B275" s="2">
        <v>6</v>
      </c>
      <c r="C275" s="2">
        <v>250</v>
      </c>
      <c r="D275" s="2">
        <v>110</v>
      </c>
      <c r="E275" s="32">
        <v>360</v>
      </c>
      <c r="F275" s="2">
        <v>25</v>
      </c>
      <c r="G275" s="2">
        <f>N291</f>
        <v>0.33</v>
      </c>
      <c r="H275" s="110">
        <f t="shared" si="11"/>
        <v>4.7520000000000007</v>
      </c>
    </row>
    <row r="276" spans="1:16" x14ac:dyDescent="0.25">
      <c r="A276" t="s">
        <v>855</v>
      </c>
      <c r="B276" s="2">
        <v>6</v>
      </c>
      <c r="C276" s="2">
        <v>300</v>
      </c>
      <c r="D276" s="2">
        <v>110</v>
      </c>
      <c r="E276" s="32">
        <v>410</v>
      </c>
      <c r="F276" s="2">
        <v>25</v>
      </c>
      <c r="G276" s="2">
        <f>N291</f>
        <v>0.33</v>
      </c>
      <c r="H276" s="110">
        <f t="shared" si="11"/>
        <v>5.4119999999999999</v>
      </c>
    </row>
    <row r="277" spans="1:16" x14ac:dyDescent="0.25">
      <c r="A277" t="s">
        <v>857</v>
      </c>
      <c r="B277" s="2">
        <v>6</v>
      </c>
      <c r="C277" s="2">
        <v>350</v>
      </c>
      <c r="D277" s="2">
        <v>110</v>
      </c>
      <c r="E277" s="32">
        <v>460</v>
      </c>
      <c r="F277" s="2">
        <v>25</v>
      </c>
      <c r="G277" s="2">
        <f>N292</f>
        <v>6.6000000000000005</v>
      </c>
      <c r="H277" s="110">
        <f>N289</f>
        <v>6.6000000000000005</v>
      </c>
    </row>
    <row r="278" spans="1:16" x14ac:dyDescent="0.25">
      <c r="A278" t="s">
        <v>859</v>
      </c>
      <c r="B278" s="2">
        <v>6</v>
      </c>
      <c r="C278" s="2">
        <v>400</v>
      </c>
      <c r="D278" s="2">
        <v>110</v>
      </c>
      <c r="E278" s="32">
        <v>510</v>
      </c>
      <c r="F278" s="2">
        <v>25</v>
      </c>
      <c r="G278" s="2">
        <f>N289</f>
        <v>6.6000000000000005</v>
      </c>
      <c r="H278" s="110">
        <f>N289</f>
        <v>6.6000000000000005</v>
      </c>
    </row>
    <row r="279" spans="1:16" x14ac:dyDescent="0.25">
      <c r="A279" t="s">
        <v>861</v>
      </c>
      <c r="B279" s="2">
        <v>8</v>
      </c>
      <c r="C279" s="2">
        <v>125</v>
      </c>
      <c r="D279" s="2">
        <v>125</v>
      </c>
      <c r="E279" s="32">
        <v>250</v>
      </c>
      <c r="F279" s="2">
        <v>25</v>
      </c>
      <c r="G279" s="2">
        <f>N296</f>
        <v>0.19800000000000001</v>
      </c>
      <c r="H279" s="110">
        <f t="shared" si="11"/>
        <v>1.98</v>
      </c>
    </row>
    <row r="280" spans="1:16" x14ac:dyDescent="0.25">
      <c r="A280" t="s">
        <v>863</v>
      </c>
      <c r="B280" s="2">
        <v>8</v>
      </c>
      <c r="C280" s="2">
        <v>150</v>
      </c>
      <c r="D280" s="2">
        <v>125</v>
      </c>
      <c r="E280" s="32">
        <v>275</v>
      </c>
      <c r="F280" s="2">
        <v>25</v>
      </c>
      <c r="G280" s="2">
        <f>N296</f>
        <v>0.19800000000000001</v>
      </c>
      <c r="H280" s="110">
        <f t="shared" si="11"/>
        <v>2.1779999999999999</v>
      </c>
    </row>
    <row r="281" spans="1:16" x14ac:dyDescent="0.25">
      <c r="A281" t="s">
        <v>865</v>
      </c>
      <c r="B281" s="2">
        <v>8</v>
      </c>
      <c r="C281" s="2">
        <v>200</v>
      </c>
      <c r="D281" s="2">
        <v>125</v>
      </c>
      <c r="E281" s="32">
        <v>325</v>
      </c>
      <c r="F281" s="2">
        <v>25</v>
      </c>
      <c r="G281" s="2">
        <f>N297</f>
        <v>0.33</v>
      </c>
      <c r="H281" s="110">
        <f t="shared" si="11"/>
        <v>4.29</v>
      </c>
    </row>
    <row r="282" spans="1:16" x14ac:dyDescent="0.25">
      <c r="A282" t="s">
        <v>867</v>
      </c>
      <c r="B282" s="2">
        <v>8</v>
      </c>
      <c r="C282" s="2">
        <v>250</v>
      </c>
      <c r="D282" s="2">
        <v>125</v>
      </c>
      <c r="E282" s="32">
        <v>375</v>
      </c>
      <c r="F282" s="2">
        <v>25</v>
      </c>
      <c r="G282" s="2">
        <f>N297</f>
        <v>0.33</v>
      </c>
      <c r="H282" s="110">
        <f t="shared" si="11"/>
        <v>4.95</v>
      </c>
      <c r="J282" s="103" t="s">
        <v>701</v>
      </c>
      <c r="K282" s="103"/>
      <c r="L282" s="103"/>
      <c r="M282" s="103"/>
      <c r="N282" s="103"/>
      <c r="O282" s="103"/>
      <c r="P282" s="103"/>
    </row>
    <row r="283" spans="1:16" x14ac:dyDescent="0.25">
      <c r="A283" t="s">
        <v>869</v>
      </c>
      <c r="B283" s="2">
        <v>8</v>
      </c>
      <c r="C283" s="2">
        <v>300</v>
      </c>
      <c r="D283" s="2">
        <v>125</v>
      </c>
      <c r="E283" s="32">
        <v>425</v>
      </c>
      <c r="F283" s="2">
        <v>25</v>
      </c>
      <c r="G283" s="2">
        <f>N297</f>
        <v>0.33</v>
      </c>
      <c r="H283" s="110">
        <f t="shared" si="11"/>
        <v>5.61</v>
      </c>
      <c r="J283" s="103" t="s">
        <v>702</v>
      </c>
      <c r="K283" s="103"/>
      <c r="L283" s="103"/>
      <c r="M283" s="103"/>
      <c r="N283" s="103"/>
      <c r="O283" s="103"/>
      <c r="P283" s="103"/>
    </row>
    <row r="284" spans="1:16" ht="17.25" thickBot="1" x14ac:dyDescent="0.3">
      <c r="A284" t="s">
        <v>871</v>
      </c>
      <c r="B284" s="2">
        <v>8</v>
      </c>
      <c r="C284" s="2">
        <v>350</v>
      </c>
      <c r="D284" s="2">
        <v>125</v>
      </c>
      <c r="E284" s="32">
        <v>475</v>
      </c>
      <c r="F284" s="2">
        <v>25</v>
      </c>
      <c r="G284" s="2">
        <f>N298</f>
        <v>6.6000000000000005</v>
      </c>
      <c r="H284" s="110">
        <f>N298</f>
        <v>6.6000000000000005</v>
      </c>
      <c r="J284" s="103"/>
      <c r="K284" s="103"/>
      <c r="L284" s="103"/>
      <c r="M284" s="103"/>
      <c r="N284" s="103"/>
      <c r="O284" s="103"/>
      <c r="P284" s="103"/>
    </row>
    <row r="285" spans="1:16" x14ac:dyDescent="0.25">
      <c r="A285" t="s">
        <v>873</v>
      </c>
      <c r="B285" s="2">
        <v>8</v>
      </c>
      <c r="C285" s="2">
        <v>400</v>
      </c>
      <c r="D285" s="2">
        <v>125</v>
      </c>
      <c r="E285" s="32">
        <v>525</v>
      </c>
      <c r="F285" s="2">
        <v>25</v>
      </c>
      <c r="G285" s="2">
        <f>N298</f>
        <v>6.6000000000000005</v>
      </c>
      <c r="H285" s="110">
        <f>N298</f>
        <v>6.6000000000000005</v>
      </c>
      <c r="J285" s="61" t="s">
        <v>1</v>
      </c>
      <c r="K285" s="105" t="s">
        <v>442</v>
      </c>
      <c r="L285" s="105" t="s">
        <v>1007</v>
      </c>
      <c r="M285" s="105" t="s">
        <v>529</v>
      </c>
      <c r="N285" s="44" t="s">
        <v>447</v>
      </c>
      <c r="O285" s="104"/>
      <c r="P285" s="104"/>
    </row>
    <row r="286" spans="1:16" x14ac:dyDescent="0.25">
      <c r="A286" t="s">
        <v>875</v>
      </c>
      <c r="B286" s="2">
        <v>8</v>
      </c>
      <c r="C286" s="2">
        <v>450</v>
      </c>
      <c r="D286" s="2">
        <v>125</v>
      </c>
      <c r="E286" s="32">
        <v>575</v>
      </c>
      <c r="F286" s="2">
        <v>25</v>
      </c>
      <c r="G286" s="2">
        <f>N298</f>
        <v>6.6000000000000005</v>
      </c>
      <c r="H286" s="110">
        <f>N298</f>
        <v>6.6000000000000005</v>
      </c>
      <c r="J286" s="108" t="s">
        <v>607</v>
      </c>
      <c r="K286" s="106" t="s">
        <v>681</v>
      </c>
      <c r="L286" s="51">
        <v>0.18</v>
      </c>
      <c r="M286" s="106">
        <v>1.1000000000000001</v>
      </c>
      <c r="N286" s="45">
        <f>M286*L286</f>
        <v>0.19800000000000001</v>
      </c>
      <c r="O286" s="104"/>
      <c r="P286" s="104"/>
    </row>
    <row r="287" spans="1:16" x14ac:dyDescent="0.25">
      <c r="A287" t="s">
        <v>877</v>
      </c>
      <c r="B287" s="2">
        <v>8</v>
      </c>
      <c r="C287" s="2">
        <v>500</v>
      </c>
      <c r="D287" s="2">
        <v>125</v>
      </c>
      <c r="E287" s="32">
        <v>625</v>
      </c>
      <c r="F287" s="2">
        <v>25</v>
      </c>
      <c r="G287" s="2">
        <f>N298</f>
        <v>6.6000000000000005</v>
      </c>
      <c r="H287" s="110">
        <f>N298</f>
        <v>6.6000000000000005</v>
      </c>
      <c r="J287" s="108" t="s">
        <v>607</v>
      </c>
      <c r="K287" s="106" t="s">
        <v>682</v>
      </c>
      <c r="L287" s="51">
        <v>0.24</v>
      </c>
      <c r="M287" s="106">
        <v>1.1000000000000001</v>
      </c>
      <c r="N287" s="45">
        <f t="shared" ref="N287:N301" si="12">M287*L287</f>
        <v>0.26400000000000001</v>
      </c>
      <c r="O287" s="104"/>
      <c r="P287" s="104"/>
    </row>
    <row r="288" spans="1:16" x14ac:dyDescent="0.25">
      <c r="A288" t="s">
        <v>879</v>
      </c>
      <c r="B288" s="2">
        <v>4</v>
      </c>
      <c r="C288" s="2">
        <v>75</v>
      </c>
      <c r="D288" s="2">
        <v>98</v>
      </c>
      <c r="E288" s="32">
        <v>173</v>
      </c>
      <c r="F288" s="2">
        <v>25</v>
      </c>
      <c r="G288" s="2">
        <f>N286</f>
        <v>0.19800000000000001</v>
      </c>
      <c r="H288" s="110">
        <f t="shared" si="11"/>
        <v>1.37016</v>
      </c>
      <c r="J288" s="108" t="s">
        <v>607</v>
      </c>
      <c r="K288" s="106" t="s">
        <v>508</v>
      </c>
      <c r="L288" s="51">
        <v>0.3</v>
      </c>
      <c r="M288" s="106">
        <v>1.1000000000000001</v>
      </c>
      <c r="N288" s="45">
        <f t="shared" si="12"/>
        <v>0.33</v>
      </c>
      <c r="O288" s="104"/>
      <c r="P288" s="104"/>
    </row>
    <row r="289" spans="1:16" x14ac:dyDescent="0.25">
      <c r="A289" t="s">
        <v>881</v>
      </c>
      <c r="B289" s="2">
        <v>4</v>
      </c>
      <c r="C289" s="2">
        <v>100</v>
      </c>
      <c r="D289" s="2">
        <v>98</v>
      </c>
      <c r="E289" s="32">
        <v>198</v>
      </c>
      <c r="F289" s="2">
        <v>25</v>
      </c>
      <c r="G289" s="2">
        <f>N286</f>
        <v>0.19800000000000001</v>
      </c>
      <c r="H289" s="110">
        <f t="shared" si="11"/>
        <v>1.56816</v>
      </c>
      <c r="J289" s="108" t="s">
        <v>652</v>
      </c>
      <c r="K289" s="106" t="s">
        <v>513</v>
      </c>
      <c r="L289" s="51">
        <v>6</v>
      </c>
      <c r="M289" s="106">
        <v>1.1000000000000001</v>
      </c>
      <c r="N289" s="45">
        <f t="shared" si="12"/>
        <v>6.6000000000000005</v>
      </c>
      <c r="O289" s="104"/>
      <c r="P289" s="104"/>
    </row>
    <row r="290" spans="1:16" x14ac:dyDescent="0.25">
      <c r="A290" t="s">
        <v>883</v>
      </c>
      <c r="B290" s="2">
        <v>5</v>
      </c>
      <c r="C290" s="2">
        <v>100</v>
      </c>
      <c r="D290" s="2">
        <v>98</v>
      </c>
      <c r="E290" s="32">
        <v>198</v>
      </c>
      <c r="F290" s="2">
        <v>25</v>
      </c>
      <c r="G290" s="2">
        <f>N286</f>
        <v>0.19800000000000001</v>
      </c>
      <c r="H290" s="110">
        <f t="shared" si="11"/>
        <v>1.56816</v>
      </c>
      <c r="J290" s="108" t="s">
        <v>492</v>
      </c>
      <c r="K290" s="106" t="s">
        <v>602</v>
      </c>
      <c r="L290" s="51">
        <v>0.18</v>
      </c>
      <c r="M290" s="106">
        <v>1.1000000000000001</v>
      </c>
      <c r="N290" s="45">
        <f t="shared" si="12"/>
        <v>0.19800000000000001</v>
      </c>
      <c r="O290" s="104" t="s">
        <v>961</v>
      </c>
      <c r="P290" s="104"/>
    </row>
    <row r="291" spans="1:16" x14ac:dyDescent="0.25">
      <c r="A291" t="s">
        <v>885</v>
      </c>
      <c r="B291" s="2">
        <v>5</v>
      </c>
      <c r="C291" s="2">
        <v>125</v>
      </c>
      <c r="D291" s="2">
        <v>98</v>
      </c>
      <c r="E291" s="32">
        <v>223</v>
      </c>
      <c r="F291" s="2">
        <v>25</v>
      </c>
      <c r="G291" s="2">
        <f>N287</f>
        <v>0.26400000000000001</v>
      </c>
      <c r="H291" s="110">
        <f t="shared" si="11"/>
        <v>2.3548800000000001</v>
      </c>
      <c r="J291" s="108" t="s">
        <v>492</v>
      </c>
      <c r="K291" s="106" t="s">
        <v>689</v>
      </c>
      <c r="L291" s="51">
        <v>0.3</v>
      </c>
      <c r="M291" s="106">
        <v>1.1000000000000001</v>
      </c>
      <c r="N291" s="45">
        <f t="shared" si="12"/>
        <v>0.33</v>
      </c>
      <c r="O291" s="104" t="s">
        <v>962</v>
      </c>
      <c r="P291" s="104" t="s">
        <v>963</v>
      </c>
    </row>
    <row r="292" spans="1:16" x14ac:dyDescent="0.25">
      <c r="A292" t="s">
        <v>887</v>
      </c>
      <c r="B292" s="2">
        <v>5</v>
      </c>
      <c r="C292" s="2">
        <v>150</v>
      </c>
      <c r="D292" s="2">
        <v>98</v>
      </c>
      <c r="E292" s="32">
        <v>248</v>
      </c>
      <c r="F292" s="2">
        <v>25</v>
      </c>
      <c r="G292" s="2">
        <f>N287</f>
        <v>0.26400000000000001</v>
      </c>
      <c r="H292" s="110">
        <f t="shared" si="11"/>
        <v>2.6188800000000003</v>
      </c>
      <c r="J292" s="108" t="s">
        <v>492</v>
      </c>
      <c r="K292" s="106" t="s">
        <v>690</v>
      </c>
      <c r="L292" s="51">
        <v>6</v>
      </c>
      <c r="M292" s="106">
        <v>1.1000000000000001</v>
      </c>
      <c r="N292" s="45">
        <f t="shared" si="12"/>
        <v>6.6000000000000005</v>
      </c>
      <c r="O292" s="104" t="s">
        <v>964</v>
      </c>
      <c r="P292" s="104" t="s">
        <v>965</v>
      </c>
    </row>
    <row r="293" spans="1:16" x14ac:dyDescent="0.25">
      <c r="A293" t="s">
        <v>889</v>
      </c>
      <c r="B293" s="2">
        <v>5</v>
      </c>
      <c r="C293" s="2">
        <v>200</v>
      </c>
      <c r="D293" s="2">
        <v>98</v>
      </c>
      <c r="E293" s="32">
        <v>298</v>
      </c>
      <c r="F293" s="2">
        <v>25</v>
      </c>
      <c r="G293" s="2">
        <f>N287</f>
        <v>0.26400000000000001</v>
      </c>
      <c r="H293" s="110">
        <f t="shared" si="11"/>
        <v>3.1468800000000003</v>
      </c>
      <c r="J293" s="108" t="s">
        <v>519</v>
      </c>
      <c r="K293" s="106" t="s">
        <v>602</v>
      </c>
      <c r="L293" s="51">
        <v>0.18</v>
      </c>
      <c r="M293" s="106">
        <v>1.1000000000000001</v>
      </c>
      <c r="N293" s="45">
        <f t="shared" si="12"/>
        <v>0.19800000000000001</v>
      </c>
      <c r="O293" s="104" t="s">
        <v>966</v>
      </c>
      <c r="P293" s="104" t="s">
        <v>967</v>
      </c>
    </row>
    <row r="294" spans="1:16" x14ac:dyDescent="0.25">
      <c r="A294" t="s">
        <v>891</v>
      </c>
      <c r="B294" s="2">
        <v>5</v>
      </c>
      <c r="C294" s="2">
        <v>250</v>
      </c>
      <c r="D294" s="2">
        <v>98</v>
      </c>
      <c r="E294" s="32">
        <v>348</v>
      </c>
      <c r="F294" s="2">
        <v>25</v>
      </c>
      <c r="G294" s="2">
        <f>N288</f>
        <v>0.33</v>
      </c>
      <c r="H294" s="110">
        <f t="shared" si="11"/>
        <v>4.5936000000000003</v>
      </c>
      <c r="J294" s="108" t="s">
        <v>519</v>
      </c>
      <c r="K294" s="106" t="s">
        <v>689</v>
      </c>
      <c r="L294" s="51">
        <v>0.3</v>
      </c>
      <c r="M294" s="106">
        <v>1.1000000000000001</v>
      </c>
      <c r="N294" s="45">
        <f t="shared" si="12"/>
        <v>0.33</v>
      </c>
      <c r="O294" s="104" t="s">
        <v>968</v>
      </c>
      <c r="P294" s="104" t="s">
        <v>969</v>
      </c>
    </row>
    <row r="295" spans="1:16" x14ac:dyDescent="0.25">
      <c r="A295" t="s">
        <v>893</v>
      </c>
      <c r="B295" s="2">
        <v>5</v>
      </c>
      <c r="C295" s="2">
        <v>300</v>
      </c>
      <c r="D295" s="2">
        <v>98</v>
      </c>
      <c r="E295" s="32">
        <v>398</v>
      </c>
      <c r="F295" s="2">
        <v>25</v>
      </c>
      <c r="G295" s="2">
        <f>N288</f>
        <v>0.33</v>
      </c>
      <c r="H295" s="110">
        <f t="shared" si="11"/>
        <v>5.2536000000000005</v>
      </c>
      <c r="J295" s="108" t="s">
        <v>519</v>
      </c>
      <c r="K295" s="106" t="s">
        <v>695</v>
      </c>
      <c r="L295" s="51">
        <v>6</v>
      </c>
      <c r="M295" s="106">
        <v>1.1000000000000001</v>
      </c>
      <c r="N295" s="45">
        <f t="shared" si="12"/>
        <v>6.6000000000000005</v>
      </c>
      <c r="O295" s="104" t="s">
        <v>970</v>
      </c>
      <c r="P295" s="104" t="s">
        <v>971</v>
      </c>
    </row>
    <row r="296" spans="1:16" x14ac:dyDescent="0.25">
      <c r="A296" t="s">
        <v>895</v>
      </c>
      <c r="B296" s="2">
        <v>6</v>
      </c>
      <c r="C296" s="2">
        <v>100</v>
      </c>
      <c r="D296" s="2">
        <v>119</v>
      </c>
      <c r="E296" s="32">
        <v>219</v>
      </c>
      <c r="F296" s="2">
        <v>25</v>
      </c>
      <c r="G296" s="2">
        <f>N290</f>
        <v>0.19800000000000001</v>
      </c>
      <c r="H296" s="110"/>
      <c r="J296" s="108" t="s">
        <v>524</v>
      </c>
      <c r="K296" s="106" t="s">
        <v>602</v>
      </c>
      <c r="L296" s="51">
        <v>0.18</v>
      </c>
      <c r="M296" s="106">
        <v>1.1000000000000001</v>
      </c>
      <c r="N296" s="45">
        <f t="shared" si="12"/>
        <v>0.19800000000000001</v>
      </c>
      <c r="O296" s="104" t="s">
        <v>972</v>
      </c>
      <c r="P296" s="104" t="s">
        <v>971</v>
      </c>
    </row>
    <row r="297" spans="1:16" x14ac:dyDescent="0.25">
      <c r="A297" t="s">
        <v>897</v>
      </c>
      <c r="B297" s="2">
        <v>6</v>
      </c>
      <c r="C297" s="2">
        <v>125</v>
      </c>
      <c r="D297" s="2">
        <v>119</v>
      </c>
      <c r="E297" s="32">
        <v>244</v>
      </c>
      <c r="F297" s="2">
        <v>25</v>
      </c>
      <c r="G297" s="2">
        <f>N290</f>
        <v>0.19800000000000001</v>
      </c>
      <c r="H297" s="110">
        <f t="shared" si="11"/>
        <v>1.93248</v>
      </c>
      <c r="J297" s="108" t="s">
        <v>524</v>
      </c>
      <c r="K297" s="106" t="s">
        <v>689</v>
      </c>
      <c r="L297" s="51">
        <v>0.3</v>
      </c>
      <c r="M297" s="106">
        <v>1.1000000000000001</v>
      </c>
      <c r="N297" s="45">
        <f t="shared" si="12"/>
        <v>0.33</v>
      </c>
      <c r="O297" s="104"/>
      <c r="P297" s="104"/>
    </row>
    <row r="298" spans="1:16" x14ac:dyDescent="0.25">
      <c r="A298" t="s">
        <v>899</v>
      </c>
      <c r="B298" s="2">
        <v>6</v>
      </c>
      <c r="C298" s="2">
        <v>150</v>
      </c>
      <c r="D298" s="2">
        <v>119</v>
      </c>
      <c r="E298" s="32">
        <v>269</v>
      </c>
      <c r="F298" s="2">
        <v>25</v>
      </c>
      <c r="G298" s="2">
        <f>N290</f>
        <v>0.19800000000000001</v>
      </c>
      <c r="H298" s="110">
        <f t="shared" si="11"/>
        <v>2.1304799999999999</v>
      </c>
      <c r="J298" s="108" t="s">
        <v>524</v>
      </c>
      <c r="K298" s="106" t="s">
        <v>695</v>
      </c>
      <c r="L298" s="51">
        <v>6</v>
      </c>
      <c r="M298" s="106">
        <v>1.1000000000000001</v>
      </c>
      <c r="N298" s="45">
        <f t="shared" si="12"/>
        <v>6.6000000000000005</v>
      </c>
      <c r="O298" s="104"/>
      <c r="P298" s="104"/>
    </row>
    <row r="299" spans="1:16" x14ac:dyDescent="0.25">
      <c r="A299" t="s">
        <v>901</v>
      </c>
      <c r="B299" s="2">
        <v>6</v>
      </c>
      <c r="C299" s="2">
        <v>200</v>
      </c>
      <c r="D299" s="2">
        <v>119</v>
      </c>
      <c r="E299" s="32">
        <v>319</v>
      </c>
      <c r="F299" s="2">
        <v>25</v>
      </c>
      <c r="G299" s="2">
        <f>N291</f>
        <v>0.33</v>
      </c>
      <c r="H299" s="110">
        <f t="shared" si="11"/>
        <v>4.2107999999999999</v>
      </c>
      <c r="J299" s="108" t="s">
        <v>525</v>
      </c>
      <c r="K299" s="106" t="s">
        <v>602</v>
      </c>
      <c r="L299" s="51">
        <v>0.18</v>
      </c>
      <c r="M299" s="106">
        <v>1.1000000000000001</v>
      </c>
      <c r="N299" s="45">
        <f t="shared" si="12"/>
        <v>0.19800000000000001</v>
      </c>
      <c r="O299" s="104"/>
      <c r="P299" s="104"/>
    </row>
    <row r="300" spans="1:16" x14ac:dyDescent="0.25">
      <c r="A300" t="s">
        <v>903</v>
      </c>
      <c r="B300" s="2">
        <v>6</v>
      </c>
      <c r="C300" s="2">
        <v>250</v>
      </c>
      <c r="D300" s="2">
        <v>119</v>
      </c>
      <c r="E300" s="32">
        <v>369</v>
      </c>
      <c r="F300" s="2">
        <v>25</v>
      </c>
      <c r="G300" s="2">
        <f>N291</f>
        <v>0.33</v>
      </c>
      <c r="H300" s="110">
        <f t="shared" si="11"/>
        <v>4.8708</v>
      </c>
      <c r="J300" s="108" t="s">
        <v>525</v>
      </c>
      <c r="K300" s="106" t="s">
        <v>689</v>
      </c>
      <c r="L300" s="51">
        <v>0.3</v>
      </c>
      <c r="M300" s="106">
        <v>1.1000000000000001</v>
      </c>
      <c r="N300" s="45">
        <f t="shared" si="12"/>
        <v>0.33</v>
      </c>
      <c r="O300" s="104"/>
      <c r="P300" s="104"/>
    </row>
    <row r="301" spans="1:16" ht="17.25" thickBot="1" x14ac:dyDescent="0.3">
      <c r="A301" t="s">
        <v>905</v>
      </c>
      <c r="B301" s="2">
        <v>6</v>
      </c>
      <c r="C301" s="2">
        <v>300</v>
      </c>
      <c r="D301" s="2">
        <v>119</v>
      </c>
      <c r="E301" s="32">
        <v>419</v>
      </c>
      <c r="F301" s="2">
        <v>25</v>
      </c>
      <c r="G301" s="2">
        <f>N291</f>
        <v>0.33</v>
      </c>
      <c r="H301" s="110">
        <f t="shared" si="11"/>
        <v>5.530800000000001</v>
      </c>
      <c r="J301" s="109" t="s">
        <v>525</v>
      </c>
      <c r="K301" s="107" t="s">
        <v>695</v>
      </c>
      <c r="L301" s="53">
        <v>6</v>
      </c>
      <c r="M301" s="106">
        <v>1.1000000000000001</v>
      </c>
      <c r="N301" s="46">
        <f t="shared" si="12"/>
        <v>6.6000000000000005</v>
      </c>
      <c r="O301" s="104"/>
      <c r="P301" s="104"/>
    </row>
    <row r="302" spans="1:16" x14ac:dyDescent="0.25">
      <c r="A302" t="s">
        <v>907</v>
      </c>
      <c r="B302" s="2">
        <v>6</v>
      </c>
      <c r="C302" s="2">
        <v>350</v>
      </c>
      <c r="D302" s="2">
        <v>119</v>
      </c>
      <c r="E302" s="32">
        <v>469</v>
      </c>
      <c r="F302" s="2">
        <v>25</v>
      </c>
      <c r="G302" s="2">
        <f>N292</f>
        <v>6.6000000000000005</v>
      </c>
      <c r="H302" s="110">
        <f>N301</f>
        <v>6.6000000000000005</v>
      </c>
      <c r="J302" s="104"/>
      <c r="K302" s="104"/>
      <c r="L302" s="104"/>
      <c r="M302" s="104"/>
      <c r="N302" s="104"/>
      <c r="O302" s="104"/>
      <c r="P302" s="104"/>
    </row>
    <row r="303" spans="1:16" x14ac:dyDescent="0.25">
      <c r="A303" t="s">
        <v>909</v>
      </c>
      <c r="B303" s="2">
        <v>6</v>
      </c>
      <c r="C303" s="2">
        <v>400</v>
      </c>
      <c r="D303" s="2">
        <v>119</v>
      </c>
      <c r="E303" s="32">
        <v>519</v>
      </c>
      <c r="F303" s="2">
        <v>25</v>
      </c>
      <c r="G303" s="2">
        <f>N292</f>
        <v>6.6000000000000005</v>
      </c>
      <c r="H303" s="110">
        <f>N301</f>
        <v>6.6000000000000005</v>
      </c>
      <c r="J303" s="104" t="s">
        <v>786</v>
      </c>
      <c r="K303" s="104"/>
      <c r="L303" s="104"/>
      <c r="M303" s="104"/>
      <c r="N303" s="104"/>
      <c r="O303" s="104"/>
      <c r="P303" s="104"/>
    </row>
    <row r="304" spans="1:16" x14ac:dyDescent="0.25">
      <c r="A304" t="s">
        <v>911</v>
      </c>
      <c r="B304" s="2">
        <v>7</v>
      </c>
      <c r="C304" s="2">
        <v>150</v>
      </c>
      <c r="D304" s="2">
        <v>134</v>
      </c>
      <c r="E304" s="32">
        <v>284</v>
      </c>
      <c r="F304" s="2">
        <v>25</v>
      </c>
      <c r="G304" s="2">
        <f>N293</f>
        <v>0.19800000000000001</v>
      </c>
      <c r="H304" s="110">
        <f t="shared" si="11"/>
        <v>2.2492800000000002</v>
      </c>
      <c r="J304" s="104" t="s">
        <v>488</v>
      </c>
      <c r="K304" s="104" t="s">
        <v>793</v>
      </c>
      <c r="L304" s="104"/>
      <c r="M304" s="104"/>
      <c r="N304" s="104"/>
      <c r="O304" s="104"/>
      <c r="P304" s="104"/>
    </row>
    <row r="305" spans="1:16" x14ac:dyDescent="0.25">
      <c r="A305" t="s">
        <v>913</v>
      </c>
      <c r="B305" s="2">
        <v>7</v>
      </c>
      <c r="C305" s="2">
        <v>175</v>
      </c>
      <c r="D305" s="2">
        <v>134</v>
      </c>
      <c r="E305" s="32">
        <v>309</v>
      </c>
      <c r="F305" s="2">
        <v>25</v>
      </c>
      <c r="G305" s="2">
        <f>N294</f>
        <v>0.33</v>
      </c>
      <c r="H305" s="110">
        <f t="shared" si="11"/>
        <v>4.0788000000000002</v>
      </c>
      <c r="J305" s="104" t="s">
        <v>489</v>
      </c>
      <c r="K305" s="104" t="s">
        <v>794</v>
      </c>
      <c r="L305" s="104"/>
      <c r="M305" s="104"/>
      <c r="N305" s="104"/>
      <c r="O305" s="104"/>
      <c r="P305" s="104"/>
    </row>
    <row r="306" spans="1:16" x14ac:dyDescent="0.25">
      <c r="A306" t="s">
        <v>915</v>
      </c>
      <c r="B306" s="2">
        <v>7</v>
      </c>
      <c r="C306" s="2">
        <v>200</v>
      </c>
      <c r="D306" s="2">
        <v>134</v>
      </c>
      <c r="E306" s="32">
        <v>334</v>
      </c>
      <c r="F306" s="2">
        <v>25</v>
      </c>
      <c r="G306" s="2">
        <f>N294</f>
        <v>0.33</v>
      </c>
      <c r="H306" s="110">
        <f t="shared" si="11"/>
        <v>4.4088000000000003</v>
      </c>
      <c r="J306" s="104" t="s">
        <v>491</v>
      </c>
      <c r="K306" s="104" t="s">
        <v>795</v>
      </c>
      <c r="L306" s="104"/>
      <c r="M306" s="104"/>
      <c r="N306" s="104"/>
      <c r="O306" s="104"/>
      <c r="P306" s="104"/>
    </row>
    <row r="307" spans="1:16" x14ac:dyDescent="0.25">
      <c r="A307" t="s">
        <v>917</v>
      </c>
      <c r="B307" s="2">
        <v>7</v>
      </c>
      <c r="C307" s="2">
        <v>250</v>
      </c>
      <c r="D307" s="2">
        <v>134</v>
      </c>
      <c r="E307" s="32">
        <v>384</v>
      </c>
      <c r="F307" s="2">
        <v>25</v>
      </c>
      <c r="G307" s="2">
        <f>N294</f>
        <v>0.33</v>
      </c>
      <c r="H307" s="110">
        <f t="shared" si="11"/>
        <v>5.0688000000000004</v>
      </c>
      <c r="J307" s="104" t="s">
        <v>492</v>
      </c>
      <c r="K307" s="104" t="s">
        <v>796</v>
      </c>
      <c r="L307" s="104"/>
      <c r="M307" s="104"/>
      <c r="N307" s="104"/>
      <c r="O307" s="104"/>
      <c r="P307" s="104"/>
    </row>
    <row r="308" spans="1:16" x14ac:dyDescent="0.25">
      <c r="A308" t="s">
        <v>919</v>
      </c>
      <c r="B308" s="2">
        <v>7</v>
      </c>
      <c r="C308" s="2">
        <v>300</v>
      </c>
      <c r="D308" s="2">
        <v>134</v>
      </c>
      <c r="E308" s="32">
        <v>434</v>
      </c>
      <c r="F308" s="2">
        <v>25</v>
      </c>
      <c r="G308" s="2">
        <f>N294</f>
        <v>0.33</v>
      </c>
      <c r="H308" s="110">
        <f t="shared" si="11"/>
        <v>5.7287999999999997</v>
      </c>
      <c r="J308" s="104" t="s">
        <v>519</v>
      </c>
      <c r="K308" s="104" t="s">
        <v>797</v>
      </c>
      <c r="L308" s="104"/>
      <c r="M308" s="104"/>
      <c r="N308" s="104"/>
      <c r="O308" s="104"/>
      <c r="P308" s="104"/>
    </row>
    <row r="309" spans="1:16" x14ac:dyDescent="0.25">
      <c r="A309" t="s">
        <v>921</v>
      </c>
      <c r="B309" s="2">
        <v>7</v>
      </c>
      <c r="C309" s="2">
        <v>350</v>
      </c>
      <c r="D309" s="2">
        <v>134</v>
      </c>
      <c r="E309" s="32">
        <v>484</v>
      </c>
      <c r="F309" s="2">
        <v>25</v>
      </c>
      <c r="G309" s="2">
        <f>N295</f>
        <v>6.6000000000000005</v>
      </c>
      <c r="H309" s="110">
        <f>N301</f>
        <v>6.6000000000000005</v>
      </c>
      <c r="J309" s="104" t="s">
        <v>524</v>
      </c>
      <c r="K309" s="104" t="s">
        <v>797</v>
      </c>
      <c r="L309" s="104"/>
      <c r="M309" s="104"/>
      <c r="N309" s="104"/>
      <c r="O309" s="104"/>
      <c r="P309" s="104"/>
    </row>
    <row r="310" spans="1:16" x14ac:dyDescent="0.25">
      <c r="A310" t="s">
        <v>923</v>
      </c>
      <c r="B310" s="2">
        <v>7</v>
      </c>
      <c r="C310" s="2">
        <v>400</v>
      </c>
      <c r="D310" s="2">
        <v>134</v>
      </c>
      <c r="E310" s="32">
        <v>534</v>
      </c>
      <c r="F310" s="2">
        <v>25</v>
      </c>
      <c r="G310" s="2">
        <f>N295</f>
        <v>6.6000000000000005</v>
      </c>
      <c r="H310" s="110">
        <f>N301</f>
        <v>6.6000000000000005</v>
      </c>
    </row>
    <row r="311" spans="1:16" x14ac:dyDescent="0.25">
      <c r="A311" t="s">
        <v>925</v>
      </c>
      <c r="B311" s="2">
        <v>7</v>
      </c>
      <c r="C311" s="2">
        <v>450</v>
      </c>
      <c r="D311" s="2">
        <v>134</v>
      </c>
      <c r="E311" s="32">
        <v>584</v>
      </c>
      <c r="F311" s="2">
        <v>25</v>
      </c>
      <c r="G311" s="2">
        <f>N295</f>
        <v>6.6000000000000005</v>
      </c>
      <c r="H311" s="110">
        <f>N301</f>
        <v>6.6000000000000005</v>
      </c>
    </row>
    <row r="312" spans="1:16" x14ac:dyDescent="0.25">
      <c r="A312" t="s">
        <v>927</v>
      </c>
      <c r="B312" s="2">
        <v>7</v>
      </c>
      <c r="C312" s="2">
        <v>500</v>
      </c>
      <c r="D312" s="2">
        <v>134</v>
      </c>
      <c r="E312" s="32">
        <v>634</v>
      </c>
      <c r="F312" s="2">
        <v>25</v>
      </c>
      <c r="G312" s="2">
        <f>N295</f>
        <v>6.6000000000000005</v>
      </c>
      <c r="H312" s="110">
        <f>N301</f>
        <v>6.6000000000000005</v>
      </c>
    </row>
    <row r="313" spans="1:16" x14ac:dyDescent="0.25">
      <c r="A313" t="s">
        <v>929</v>
      </c>
      <c r="B313" s="2">
        <v>8</v>
      </c>
      <c r="C313" s="2">
        <v>175</v>
      </c>
      <c r="D313" s="2">
        <v>134</v>
      </c>
      <c r="E313" s="32">
        <v>309</v>
      </c>
      <c r="F313" s="2">
        <v>25</v>
      </c>
      <c r="G313" s="2">
        <f>N300</f>
        <v>0.33</v>
      </c>
      <c r="H313" s="110">
        <f t="shared" si="11"/>
        <v>4.0788000000000002</v>
      </c>
    </row>
    <row r="314" spans="1:16" x14ac:dyDescent="0.25">
      <c r="A314" t="s">
        <v>931</v>
      </c>
      <c r="B314" s="2">
        <v>8</v>
      </c>
      <c r="C314" s="2">
        <v>200</v>
      </c>
      <c r="D314" s="2">
        <v>134</v>
      </c>
      <c r="E314" s="32">
        <v>334</v>
      </c>
      <c r="F314" s="2">
        <v>25</v>
      </c>
      <c r="G314" s="2">
        <f>N300</f>
        <v>0.33</v>
      </c>
      <c r="H314" s="110">
        <f t="shared" si="11"/>
        <v>4.4088000000000003</v>
      </c>
    </row>
    <row r="315" spans="1:16" x14ac:dyDescent="0.25">
      <c r="A315" t="s">
        <v>933</v>
      </c>
      <c r="B315" s="2">
        <v>8</v>
      </c>
      <c r="C315" s="2">
        <v>250</v>
      </c>
      <c r="D315" s="2">
        <v>134</v>
      </c>
      <c r="E315" s="32">
        <v>384</v>
      </c>
      <c r="F315" s="2">
        <v>25</v>
      </c>
      <c r="G315" s="2">
        <f>N300</f>
        <v>0.33</v>
      </c>
      <c r="H315" s="110">
        <f t="shared" si="11"/>
        <v>5.0688000000000004</v>
      </c>
    </row>
    <row r="316" spans="1:16" x14ac:dyDescent="0.25">
      <c r="A316" t="s">
        <v>935</v>
      </c>
      <c r="B316" s="2">
        <v>8</v>
      </c>
      <c r="C316" s="2">
        <v>300</v>
      </c>
      <c r="D316" s="2">
        <v>134</v>
      </c>
      <c r="E316" s="32">
        <v>434</v>
      </c>
      <c r="F316" s="2">
        <v>25</v>
      </c>
      <c r="G316" s="2">
        <f>N300</f>
        <v>0.33</v>
      </c>
      <c r="H316" s="110">
        <f t="shared" si="11"/>
        <v>5.7287999999999997</v>
      </c>
    </row>
    <row r="317" spans="1:16" x14ac:dyDescent="0.25">
      <c r="A317" t="s">
        <v>937</v>
      </c>
      <c r="B317" s="2">
        <v>8</v>
      </c>
      <c r="C317" s="2">
        <v>350</v>
      </c>
      <c r="D317" s="2">
        <v>134</v>
      </c>
      <c r="E317" s="32">
        <v>484</v>
      </c>
      <c r="F317" s="2">
        <v>25</v>
      </c>
      <c r="G317" s="2">
        <f>N301</f>
        <v>6.6000000000000005</v>
      </c>
      <c r="H317" s="110">
        <f>N301</f>
        <v>6.6000000000000005</v>
      </c>
    </row>
    <row r="318" spans="1:16" x14ac:dyDescent="0.25">
      <c r="A318" t="s">
        <v>939</v>
      </c>
      <c r="B318" s="2">
        <v>8</v>
      </c>
      <c r="C318" s="2">
        <v>400</v>
      </c>
      <c r="D318" s="2">
        <v>134</v>
      </c>
      <c r="E318" s="32">
        <v>534</v>
      </c>
      <c r="F318" s="2">
        <v>25</v>
      </c>
      <c r="G318" s="2">
        <f>N301</f>
        <v>6.6000000000000005</v>
      </c>
      <c r="H318" s="110">
        <f>N301</f>
        <v>6.6000000000000005</v>
      </c>
    </row>
    <row r="319" spans="1:16" x14ac:dyDescent="0.25">
      <c r="A319" t="s">
        <v>941</v>
      </c>
      <c r="B319" s="2">
        <v>8</v>
      </c>
      <c r="C319" s="2">
        <v>450</v>
      </c>
      <c r="D319" s="2">
        <v>134</v>
      </c>
      <c r="E319" s="32">
        <v>584</v>
      </c>
      <c r="F319" s="2">
        <v>25</v>
      </c>
      <c r="G319" s="2">
        <f>N301</f>
        <v>6.6000000000000005</v>
      </c>
      <c r="H319" s="110">
        <f>N301</f>
        <v>6.6000000000000005</v>
      </c>
    </row>
    <row r="320" spans="1:16" x14ac:dyDescent="0.25">
      <c r="A320" t="s">
        <v>943</v>
      </c>
      <c r="B320" s="2">
        <v>8</v>
      </c>
      <c r="C320" s="2">
        <v>500</v>
      </c>
      <c r="D320" s="2">
        <v>134</v>
      </c>
      <c r="E320" s="32">
        <v>634</v>
      </c>
      <c r="F320" s="2">
        <v>25</v>
      </c>
      <c r="G320" s="2">
        <f>N301</f>
        <v>6.6000000000000005</v>
      </c>
      <c r="H320" s="110">
        <f>N301</f>
        <v>6.6000000000000005</v>
      </c>
    </row>
    <row r="323" spans="1:8" ht="21" x14ac:dyDescent="0.25">
      <c r="A323" s="25" t="s">
        <v>959</v>
      </c>
      <c r="B323" s="113"/>
      <c r="C323" s="113"/>
      <c r="D323" s="113"/>
      <c r="E323" s="113"/>
    </row>
    <row r="324" spans="1:8" x14ac:dyDescent="0.25">
      <c r="A324" s="115" t="s">
        <v>0</v>
      </c>
      <c r="B324" s="28" t="s">
        <v>443</v>
      </c>
      <c r="C324" s="28" t="s">
        <v>452</v>
      </c>
      <c r="D324" s="28" t="s">
        <v>454</v>
      </c>
      <c r="E324" s="28" t="s">
        <v>645</v>
      </c>
      <c r="F324" s="113" t="s">
        <v>960</v>
      </c>
      <c r="G324" s="113" t="s">
        <v>973</v>
      </c>
      <c r="H324" s="113" t="s">
        <v>448</v>
      </c>
    </row>
    <row r="325" spans="1:8" x14ac:dyDescent="0.25">
      <c r="A325" s="115" t="s">
        <v>834</v>
      </c>
      <c r="B325" s="28">
        <v>5</v>
      </c>
      <c r="C325" s="28">
        <v>75</v>
      </c>
      <c r="D325" s="28">
        <v>90</v>
      </c>
      <c r="E325" s="33">
        <f t="shared" ref="E325:E403" si="13">D325+C325</f>
        <v>165</v>
      </c>
      <c r="F325" s="113">
        <v>25</v>
      </c>
      <c r="G325" s="113">
        <f>N286</f>
        <v>0.19800000000000001</v>
      </c>
      <c r="H325" s="114"/>
    </row>
    <row r="326" spans="1:8" x14ac:dyDescent="0.25">
      <c r="A326" s="115" t="s">
        <v>836</v>
      </c>
      <c r="B326" s="28">
        <v>5</v>
      </c>
      <c r="C326" s="28">
        <v>100</v>
      </c>
      <c r="D326" s="28">
        <v>90</v>
      </c>
      <c r="E326" s="33">
        <f t="shared" si="13"/>
        <v>190</v>
      </c>
      <c r="F326" s="113">
        <v>25</v>
      </c>
      <c r="G326" s="2">
        <f>N286</f>
        <v>0.19800000000000001</v>
      </c>
      <c r="H326" s="114"/>
    </row>
    <row r="327" spans="1:8" x14ac:dyDescent="0.25">
      <c r="A327" s="115" t="s">
        <v>838</v>
      </c>
      <c r="B327" s="28">
        <v>5</v>
      </c>
      <c r="C327" s="28">
        <v>150</v>
      </c>
      <c r="D327" s="28">
        <v>90</v>
      </c>
      <c r="E327" s="33">
        <f t="shared" si="13"/>
        <v>240</v>
      </c>
      <c r="F327" s="113">
        <v>25</v>
      </c>
      <c r="G327" s="2">
        <f>N287</f>
        <v>0.26400000000000001</v>
      </c>
      <c r="H327" s="114">
        <f t="shared" ref="H327:H389" si="14">E327/F327*G327</f>
        <v>2.5344000000000002</v>
      </c>
    </row>
    <row r="328" spans="1:8" x14ac:dyDescent="0.25">
      <c r="A328" s="115" t="s">
        <v>840</v>
      </c>
      <c r="B328" s="28">
        <v>5</v>
      </c>
      <c r="C328" s="28">
        <v>200</v>
      </c>
      <c r="D328" s="28">
        <v>90</v>
      </c>
      <c r="E328" s="33">
        <f t="shared" si="13"/>
        <v>290</v>
      </c>
      <c r="F328" s="113">
        <v>25</v>
      </c>
      <c r="G328" s="2">
        <f>N287</f>
        <v>0.26400000000000001</v>
      </c>
      <c r="H328" s="114">
        <f t="shared" si="14"/>
        <v>3.0624000000000002</v>
      </c>
    </row>
    <row r="329" spans="1:8" x14ac:dyDescent="0.25">
      <c r="A329" s="115" t="s">
        <v>842</v>
      </c>
      <c r="B329" s="28">
        <v>5</v>
      </c>
      <c r="C329" s="28">
        <v>250</v>
      </c>
      <c r="D329" s="28">
        <v>90</v>
      </c>
      <c r="E329" s="33">
        <f t="shared" si="13"/>
        <v>340</v>
      </c>
      <c r="F329" s="113">
        <v>25</v>
      </c>
      <c r="G329" s="2">
        <f>N288</f>
        <v>0.33</v>
      </c>
      <c r="H329" s="114">
        <f t="shared" si="14"/>
        <v>4.4880000000000004</v>
      </c>
    </row>
    <row r="330" spans="1:8" x14ac:dyDescent="0.25">
      <c r="A330" s="115" t="s">
        <v>844</v>
      </c>
      <c r="B330" s="28">
        <v>5</v>
      </c>
      <c r="C330" s="28">
        <v>300</v>
      </c>
      <c r="D330" s="28">
        <v>90</v>
      </c>
      <c r="E330" s="33">
        <f t="shared" si="13"/>
        <v>390</v>
      </c>
      <c r="F330" s="113">
        <v>25</v>
      </c>
      <c r="G330" s="2">
        <f>N288</f>
        <v>0.33</v>
      </c>
      <c r="H330" s="114">
        <f t="shared" si="14"/>
        <v>5.1479999999999997</v>
      </c>
    </row>
    <row r="331" spans="1:8" x14ac:dyDescent="0.25">
      <c r="A331" s="115" t="s">
        <v>846</v>
      </c>
      <c r="B331" s="28">
        <v>6</v>
      </c>
      <c r="C331" s="28">
        <v>100</v>
      </c>
      <c r="D331" s="28">
        <v>110</v>
      </c>
      <c r="E331" s="33">
        <f t="shared" si="13"/>
        <v>210</v>
      </c>
      <c r="F331" s="113">
        <v>25</v>
      </c>
      <c r="G331" s="2">
        <f>N290</f>
        <v>0.19800000000000001</v>
      </c>
      <c r="H331" s="114"/>
    </row>
    <row r="332" spans="1:8" x14ac:dyDescent="0.25">
      <c r="A332" s="115" t="s">
        <v>848</v>
      </c>
      <c r="B332" s="28">
        <v>6</v>
      </c>
      <c r="C332" s="28">
        <v>125</v>
      </c>
      <c r="D332" s="28">
        <v>110</v>
      </c>
      <c r="E332" s="33">
        <f t="shared" si="13"/>
        <v>235</v>
      </c>
      <c r="F332" s="113">
        <v>25</v>
      </c>
      <c r="G332" s="2">
        <f>N290</f>
        <v>0.19800000000000001</v>
      </c>
      <c r="H332" s="114"/>
    </row>
    <row r="333" spans="1:8" x14ac:dyDescent="0.25">
      <c r="A333" s="115" t="s">
        <v>850</v>
      </c>
      <c r="B333" s="28">
        <v>6</v>
      </c>
      <c r="C333" s="28">
        <v>150</v>
      </c>
      <c r="D333" s="28">
        <v>110</v>
      </c>
      <c r="E333" s="33">
        <f t="shared" si="13"/>
        <v>260</v>
      </c>
      <c r="F333" s="113">
        <v>25</v>
      </c>
      <c r="G333" s="2">
        <f>N290</f>
        <v>0.19800000000000001</v>
      </c>
      <c r="H333" s="114">
        <f t="shared" si="14"/>
        <v>2.0592000000000001</v>
      </c>
    </row>
    <row r="334" spans="1:8" x14ac:dyDescent="0.25">
      <c r="A334" s="115" t="s">
        <v>852</v>
      </c>
      <c r="B334" s="28">
        <v>6</v>
      </c>
      <c r="C334" s="28">
        <v>200</v>
      </c>
      <c r="D334" s="28">
        <v>110</v>
      </c>
      <c r="E334" s="33">
        <f t="shared" si="13"/>
        <v>310</v>
      </c>
      <c r="F334" s="113">
        <v>25</v>
      </c>
      <c r="G334" s="2">
        <f>N291</f>
        <v>0.33</v>
      </c>
      <c r="H334" s="114">
        <f t="shared" si="14"/>
        <v>4.0920000000000005</v>
      </c>
    </row>
    <row r="335" spans="1:8" x14ac:dyDescent="0.25">
      <c r="A335" s="115" t="s">
        <v>854</v>
      </c>
      <c r="B335" s="28">
        <v>6</v>
      </c>
      <c r="C335" s="28">
        <v>250</v>
      </c>
      <c r="D335" s="28">
        <v>110</v>
      </c>
      <c r="E335" s="33">
        <f t="shared" si="13"/>
        <v>360</v>
      </c>
      <c r="F335" s="113">
        <v>25</v>
      </c>
      <c r="G335" s="2">
        <f>N291</f>
        <v>0.33</v>
      </c>
      <c r="H335" s="114">
        <f t="shared" si="14"/>
        <v>4.7520000000000007</v>
      </c>
    </row>
    <row r="336" spans="1:8" x14ac:dyDescent="0.25">
      <c r="A336" s="115" t="s">
        <v>856</v>
      </c>
      <c r="B336" s="28">
        <v>6</v>
      </c>
      <c r="C336" s="28">
        <v>300</v>
      </c>
      <c r="D336" s="28">
        <v>110</v>
      </c>
      <c r="E336" s="33">
        <f t="shared" si="13"/>
        <v>410</v>
      </c>
      <c r="F336" s="113">
        <v>25</v>
      </c>
      <c r="G336" s="2">
        <f>N291</f>
        <v>0.33</v>
      </c>
      <c r="H336" s="114">
        <f t="shared" si="14"/>
        <v>5.4119999999999999</v>
      </c>
    </row>
    <row r="337" spans="1:8" x14ac:dyDescent="0.25">
      <c r="A337" s="115" t="s">
        <v>858</v>
      </c>
      <c r="B337" s="28">
        <v>6</v>
      </c>
      <c r="C337" s="28">
        <v>350</v>
      </c>
      <c r="D337" s="28">
        <v>110</v>
      </c>
      <c r="E337" s="33">
        <f t="shared" si="13"/>
        <v>460</v>
      </c>
      <c r="F337" s="113">
        <v>25</v>
      </c>
      <c r="G337" s="2">
        <f>N292</f>
        <v>6.6000000000000005</v>
      </c>
      <c r="H337" s="114">
        <f>G337</f>
        <v>6.6000000000000005</v>
      </c>
    </row>
    <row r="338" spans="1:8" x14ac:dyDescent="0.25">
      <c r="A338" s="115" t="s">
        <v>860</v>
      </c>
      <c r="B338" s="28">
        <v>6</v>
      </c>
      <c r="C338" s="28">
        <v>400</v>
      </c>
      <c r="D338" s="28">
        <v>110</v>
      </c>
      <c r="E338" s="33">
        <f t="shared" si="13"/>
        <v>510</v>
      </c>
      <c r="F338" s="113">
        <v>25</v>
      </c>
      <c r="G338" s="2">
        <f>N292</f>
        <v>6.6000000000000005</v>
      </c>
      <c r="H338" s="114">
        <f>H344</f>
        <v>6.6000000000000005</v>
      </c>
    </row>
    <row r="339" spans="1:8" x14ac:dyDescent="0.25">
      <c r="A339" s="115" t="s">
        <v>862</v>
      </c>
      <c r="B339" s="28">
        <v>8</v>
      </c>
      <c r="C339" s="28">
        <v>125</v>
      </c>
      <c r="D339" s="28">
        <v>125</v>
      </c>
      <c r="E339" s="33">
        <f t="shared" si="13"/>
        <v>250</v>
      </c>
      <c r="F339" s="113">
        <v>25</v>
      </c>
      <c r="G339" s="2">
        <f>N296</f>
        <v>0.19800000000000001</v>
      </c>
      <c r="H339" s="114">
        <f t="shared" si="14"/>
        <v>1.98</v>
      </c>
    </row>
    <row r="340" spans="1:8" x14ac:dyDescent="0.25">
      <c r="A340" s="115" t="s">
        <v>864</v>
      </c>
      <c r="B340" s="28">
        <v>8</v>
      </c>
      <c r="C340" s="28">
        <v>150</v>
      </c>
      <c r="D340" s="28">
        <v>125</v>
      </c>
      <c r="E340" s="33">
        <f t="shared" si="13"/>
        <v>275</v>
      </c>
      <c r="F340" s="113">
        <v>25</v>
      </c>
      <c r="G340" s="2">
        <f>N296</f>
        <v>0.19800000000000001</v>
      </c>
      <c r="H340" s="114">
        <f t="shared" si="14"/>
        <v>2.1779999999999999</v>
      </c>
    </row>
    <row r="341" spans="1:8" x14ac:dyDescent="0.25">
      <c r="A341" s="115" t="s">
        <v>866</v>
      </c>
      <c r="B341" s="28">
        <v>8</v>
      </c>
      <c r="C341" s="28">
        <v>200</v>
      </c>
      <c r="D341" s="28">
        <v>125</v>
      </c>
      <c r="E341" s="33">
        <f t="shared" si="13"/>
        <v>325</v>
      </c>
      <c r="F341" s="113">
        <v>25</v>
      </c>
      <c r="G341" s="2">
        <f>N297</f>
        <v>0.33</v>
      </c>
      <c r="H341" s="114">
        <f t="shared" si="14"/>
        <v>4.29</v>
      </c>
    </row>
    <row r="342" spans="1:8" x14ac:dyDescent="0.25">
      <c r="A342" s="115" t="s">
        <v>868</v>
      </c>
      <c r="B342" s="28">
        <v>8</v>
      </c>
      <c r="C342" s="28">
        <v>250</v>
      </c>
      <c r="D342" s="28">
        <v>125</v>
      </c>
      <c r="E342" s="33">
        <f t="shared" si="13"/>
        <v>375</v>
      </c>
      <c r="F342" s="113">
        <v>25</v>
      </c>
      <c r="G342" s="2">
        <f>N297</f>
        <v>0.33</v>
      </c>
      <c r="H342" s="114">
        <f t="shared" si="14"/>
        <v>4.95</v>
      </c>
    </row>
    <row r="343" spans="1:8" x14ac:dyDescent="0.25">
      <c r="A343" s="115" t="s">
        <v>870</v>
      </c>
      <c r="B343" s="28">
        <v>8</v>
      </c>
      <c r="C343" s="28">
        <v>300</v>
      </c>
      <c r="D343" s="28">
        <v>125</v>
      </c>
      <c r="E343" s="33">
        <f t="shared" si="13"/>
        <v>425</v>
      </c>
      <c r="F343" s="113">
        <v>25</v>
      </c>
      <c r="G343" s="2">
        <f>N297</f>
        <v>0.33</v>
      </c>
      <c r="H343" s="114">
        <f t="shared" si="14"/>
        <v>5.61</v>
      </c>
    </row>
    <row r="344" spans="1:8" x14ac:dyDescent="0.25">
      <c r="A344" s="115" t="s">
        <v>872</v>
      </c>
      <c r="B344" s="28">
        <v>8</v>
      </c>
      <c r="C344" s="28">
        <v>350</v>
      </c>
      <c r="D344" s="28">
        <v>125</v>
      </c>
      <c r="E344" s="33">
        <f t="shared" si="13"/>
        <v>475</v>
      </c>
      <c r="F344" s="113">
        <v>25</v>
      </c>
      <c r="G344" s="2">
        <f>N298</f>
        <v>6.6000000000000005</v>
      </c>
      <c r="H344" s="114">
        <f>G344</f>
        <v>6.6000000000000005</v>
      </c>
    </row>
    <row r="345" spans="1:8" x14ac:dyDescent="0.25">
      <c r="A345" s="115" t="s">
        <v>874</v>
      </c>
      <c r="B345" s="28">
        <v>8</v>
      </c>
      <c r="C345" s="28">
        <v>400</v>
      </c>
      <c r="D345" s="28">
        <v>125</v>
      </c>
      <c r="E345" s="33">
        <f t="shared" si="13"/>
        <v>525</v>
      </c>
      <c r="F345" s="113">
        <v>25</v>
      </c>
      <c r="G345" s="2">
        <f>N298</f>
        <v>6.6000000000000005</v>
      </c>
      <c r="H345" s="114">
        <f>G345</f>
        <v>6.6000000000000005</v>
      </c>
    </row>
    <row r="346" spans="1:8" x14ac:dyDescent="0.25">
      <c r="A346" s="115" t="s">
        <v>876</v>
      </c>
      <c r="B346" s="28">
        <v>8</v>
      </c>
      <c r="C346" s="28">
        <v>450</v>
      </c>
      <c r="D346" s="28">
        <v>125</v>
      </c>
      <c r="E346" s="33">
        <f t="shared" si="13"/>
        <v>575</v>
      </c>
      <c r="F346" s="113">
        <v>25</v>
      </c>
      <c r="G346" s="2">
        <f>N298</f>
        <v>6.6000000000000005</v>
      </c>
      <c r="H346" s="114">
        <f>G346</f>
        <v>6.6000000000000005</v>
      </c>
    </row>
    <row r="347" spans="1:8" x14ac:dyDescent="0.25">
      <c r="A347" s="115" t="s">
        <v>878</v>
      </c>
      <c r="B347" s="28">
        <v>8</v>
      </c>
      <c r="C347" s="28">
        <v>500</v>
      </c>
      <c r="D347" s="28">
        <v>125</v>
      </c>
      <c r="E347" s="33">
        <f t="shared" si="13"/>
        <v>625</v>
      </c>
      <c r="F347" s="113">
        <v>25</v>
      </c>
      <c r="G347" s="2">
        <f>N298</f>
        <v>6.6000000000000005</v>
      </c>
      <c r="H347" s="114">
        <f>G347</f>
        <v>6.6000000000000005</v>
      </c>
    </row>
    <row r="348" spans="1:8" x14ac:dyDescent="0.25">
      <c r="A348" s="115" t="s">
        <v>1064</v>
      </c>
      <c r="B348" s="28">
        <v>5</v>
      </c>
      <c r="C348" s="28">
        <v>75</v>
      </c>
      <c r="D348" s="28">
        <v>90</v>
      </c>
      <c r="E348" s="33">
        <f t="shared" si="13"/>
        <v>165</v>
      </c>
      <c r="F348" s="113">
        <v>25</v>
      </c>
      <c r="G348" s="2">
        <f>N286</f>
        <v>0.19800000000000001</v>
      </c>
      <c r="H348" s="114"/>
    </row>
    <row r="349" spans="1:8" x14ac:dyDescent="0.25">
      <c r="A349" s="115" t="s">
        <v>1065</v>
      </c>
      <c r="B349" s="28">
        <v>5</v>
      </c>
      <c r="C349" s="28">
        <v>100</v>
      </c>
      <c r="D349" s="28">
        <v>90</v>
      </c>
      <c r="E349" s="33">
        <f t="shared" si="13"/>
        <v>190</v>
      </c>
      <c r="F349" s="113">
        <v>25</v>
      </c>
      <c r="G349" s="2">
        <f>N286</f>
        <v>0.19800000000000001</v>
      </c>
      <c r="H349" s="114">
        <f t="shared" si="14"/>
        <v>1.5047999999999999</v>
      </c>
    </row>
    <row r="350" spans="1:8" x14ac:dyDescent="0.25">
      <c r="A350" s="115" t="s">
        <v>1066</v>
      </c>
      <c r="B350" s="28">
        <v>5</v>
      </c>
      <c r="C350" s="28">
        <v>150</v>
      </c>
      <c r="D350" s="28">
        <v>90</v>
      </c>
      <c r="E350" s="33">
        <f t="shared" si="13"/>
        <v>240</v>
      </c>
      <c r="F350" s="113">
        <v>25</v>
      </c>
      <c r="G350" s="2">
        <f>N287</f>
        <v>0.26400000000000001</v>
      </c>
      <c r="H350" s="114">
        <f t="shared" si="14"/>
        <v>2.5344000000000002</v>
      </c>
    </row>
    <row r="351" spans="1:8" x14ac:dyDescent="0.25">
      <c r="A351" s="115" t="s">
        <v>1067</v>
      </c>
      <c r="B351" s="28">
        <v>5</v>
      </c>
      <c r="C351" s="28">
        <v>200</v>
      </c>
      <c r="D351" s="28">
        <v>90</v>
      </c>
      <c r="E351" s="33">
        <f t="shared" si="13"/>
        <v>290</v>
      </c>
      <c r="F351" s="113">
        <v>25</v>
      </c>
      <c r="G351" s="2">
        <f>N287</f>
        <v>0.26400000000000001</v>
      </c>
      <c r="H351" s="114">
        <f t="shared" si="14"/>
        <v>3.0624000000000002</v>
      </c>
    </row>
    <row r="352" spans="1:8" x14ac:dyDescent="0.25">
      <c r="A352" s="115" t="s">
        <v>1068</v>
      </c>
      <c r="B352" s="28">
        <v>5</v>
      </c>
      <c r="C352" s="28">
        <v>250</v>
      </c>
      <c r="D352" s="28">
        <v>90</v>
      </c>
      <c r="E352" s="33">
        <f t="shared" si="13"/>
        <v>340</v>
      </c>
      <c r="F352" s="113">
        <v>25</v>
      </c>
      <c r="G352" s="2">
        <f>N288</f>
        <v>0.33</v>
      </c>
      <c r="H352" s="114">
        <f t="shared" si="14"/>
        <v>4.4880000000000004</v>
      </c>
    </row>
    <row r="353" spans="1:8" x14ac:dyDescent="0.25">
      <c r="A353" s="115" t="s">
        <v>1069</v>
      </c>
      <c r="B353" s="28">
        <v>5</v>
      </c>
      <c r="C353" s="28">
        <v>300</v>
      </c>
      <c r="D353" s="28">
        <v>90</v>
      </c>
      <c r="E353" s="33">
        <f t="shared" si="13"/>
        <v>390</v>
      </c>
      <c r="F353" s="113">
        <v>25</v>
      </c>
      <c r="G353" s="2">
        <f>N288</f>
        <v>0.33</v>
      </c>
      <c r="H353" s="114">
        <f t="shared" si="14"/>
        <v>5.1479999999999997</v>
      </c>
    </row>
    <row r="354" spans="1:8" x14ac:dyDescent="0.25">
      <c r="A354" s="115" t="s">
        <v>1070</v>
      </c>
      <c r="B354" s="28">
        <v>6</v>
      </c>
      <c r="C354" s="28">
        <v>100</v>
      </c>
      <c r="D354" s="28">
        <v>110</v>
      </c>
      <c r="E354" s="33">
        <f t="shared" si="13"/>
        <v>210</v>
      </c>
      <c r="F354" s="113">
        <v>25</v>
      </c>
      <c r="G354" s="2">
        <f>N290</f>
        <v>0.19800000000000001</v>
      </c>
      <c r="H354" s="114"/>
    </row>
    <row r="355" spans="1:8" x14ac:dyDescent="0.25">
      <c r="A355" s="115" t="s">
        <v>1071</v>
      </c>
      <c r="B355" s="28">
        <v>6</v>
      </c>
      <c r="C355" s="28">
        <v>125</v>
      </c>
      <c r="D355" s="28">
        <v>110</v>
      </c>
      <c r="E355" s="33">
        <f t="shared" si="13"/>
        <v>235</v>
      </c>
      <c r="F355" s="113">
        <v>25</v>
      </c>
      <c r="G355" s="2">
        <f>N290</f>
        <v>0.19800000000000001</v>
      </c>
      <c r="H355" s="114"/>
    </row>
    <row r="356" spans="1:8" x14ac:dyDescent="0.25">
      <c r="A356" s="115" t="s">
        <v>1072</v>
      </c>
      <c r="B356" s="28">
        <v>6</v>
      </c>
      <c r="C356" s="28">
        <v>150</v>
      </c>
      <c r="D356" s="28">
        <v>110</v>
      </c>
      <c r="E356" s="33">
        <f t="shared" si="13"/>
        <v>260</v>
      </c>
      <c r="F356" s="113">
        <v>25</v>
      </c>
      <c r="G356" s="2">
        <f>N290</f>
        <v>0.19800000000000001</v>
      </c>
      <c r="H356" s="114">
        <f t="shared" si="14"/>
        <v>2.0592000000000001</v>
      </c>
    </row>
    <row r="357" spans="1:8" x14ac:dyDescent="0.25">
      <c r="A357" s="115" t="s">
        <v>1073</v>
      </c>
      <c r="B357" s="28">
        <v>6</v>
      </c>
      <c r="C357" s="28">
        <v>200</v>
      </c>
      <c r="D357" s="28">
        <v>110</v>
      </c>
      <c r="E357" s="33">
        <f t="shared" si="13"/>
        <v>310</v>
      </c>
      <c r="F357" s="113">
        <v>25</v>
      </c>
      <c r="G357" s="2">
        <f>N291</f>
        <v>0.33</v>
      </c>
      <c r="H357" s="114">
        <f t="shared" si="14"/>
        <v>4.0920000000000005</v>
      </c>
    </row>
    <row r="358" spans="1:8" x14ac:dyDescent="0.25">
      <c r="A358" s="115" t="s">
        <v>1074</v>
      </c>
      <c r="B358" s="28">
        <v>6</v>
      </c>
      <c r="C358" s="28">
        <v>250</v>
      </c>
      <c r="D358" s="28">
        <v>110</v>
      </c>
      <c r="E358" s="33">
        <f t="shared" si="13"/>
        <v>360</v>
      </c>
      <c r="F358" s="113">
        <v>25</v>
      </c>
      <c r="G358" s="2">
        <f>N291</f>
        <v>0.33</v>
      </c>
      <c r="H358" s="114">
        <f t="shared" si="14"/>
        <v>4.7520000000000007</v>
      </c>
    </row>
    <row r="359" spans="1:8" x14ac:dyDescent="0.25">
      <c r="A359" s="115" t="s">
        <v>1075</v>
      </c>
      <c r="B359" s="28">
        <v>6</v>
      </c>
      <c r="C359" s="28">
        <v>300</v>
      </c>
      <c r="D359" s="28">
        <v>110</v>
      </c>
      <c r="E359" s="33">
        <f t="shared" si="13"/>
        <v>410</v>
      </c>
      <c r="F359" s="113">
        <v>25</v>
      </c>
      <c r="G359" s="2">
        <f>N291</f>
        <v>0.33</v>
      </c>
      <c r="H359" s="114">
        <f t="shared" si="14"/>
        <v>5.4119999999999999</v>
      </c>
    </row>
    <row r="360" spans="1:8" x14ac:dyDescent="0.25">
      <c r="A360" s="115" t="s">
        <v>1076</v>
      </c>
      <c r="B360" s="28">
        <v>6</v>
      </c>
      <c r="C360" s="28">
        <v>350</v>
      </c>
      <c r="D360" s="28">
        <v>110</v>
      </c>
      <c r="E360" s="33">
        <f t="shared" si="13"/>
        <v>460</v>
      </c>
      <c r="F360" s="113">
        <v>25</v>
      </c>
      <c r="G360" s="2">
        <f>N292</f>
        <v>6.6000000000000005</v>
      </c>
      <c r="H360" s="114">
        <f>G360</f>
        <v>6.6000000000000005</v>
      </c>
    </row>
    <row r="361" spans="1:8" x14ac:dyDescent="0.25">
      <c r="A361" s="115" t="s">
        <v>1077</v>
      </c>
      <c r="B361" s="28">
        <v>6</v>
      </c>
      <c r="C361" s="28">
        <v>400</v>
      </c>
      <c r="D361" s="28">
        <v>110</v>
      </c>
      <c r="E361" s="33">
        <f t="shared" si="13"/>
        <v>510</v>
      </c>
      <c r="F361" s="113">
        <v>25</v>
      </c>
      <c r="G361" s="2">
        <f>N292</f>
        <v>6.6000000000000005</v>
      </c>
      <c r="H361" s="114">
        <f>G361</f>
        <v>6.6000000000000005</v>
      </c>
    </row>
    <row r="362" spans="1:8" x14ac:dyDescent="0.25">
      <c r="A362" s="115" t="s">
        <v>1078</v>
      </c>
      <c r="B362" s="28">
        <v>8</v>
      </c>
      <c r="C362" s="28">
        <v>125</v>
      </c>
      <c r="D362" s="28">
        <v>125</v>
      </c>
      <c r="E362" s="33">
        <f t="shared" si="13"/>
        <v>250</v>
      </c>
      <c r="F362" s="113">
        <v>25</v>
      </c>
      <c r="G362" s="2">
        <f>N296</f>
        <v>0.19800000000000001</v>
      </c>
      <c r="H362" s="114">
        <f t="shared" si="14"/>
        <v>1.98</v>
      </c>
    </row>
    <row r="363" spans="1:8" x14ac:dyDescent="0.25">
      <c r="A363" s="115" t="s">
        <v>1079</v>
      </c>
      <c r="B363" s="28">
        <v>8</v>
      </c>
      <c r="C363" s="28">
        <v>150</v>
      </c>
      <c r="D363" s="28">
        <v>125</v>
      </c>
      <c r="E363" s="33">
        <f t="shared" si="13"/>
        <v>275</v>
      </c>
      <c r="F363" s="113">
        <v>25</v>
      </c>
      <c r="G363" s="2">
        <f>N296</f>
        <v>0.19800000000000001</v>
      </c>
      <c r="H363" s="114">
        <f t="shared" si="14"/>
        <v>2.1779999999999999</v>
      </c>
    </row>
    <row r="364" spans="1:8" x14ac:dyDescent="0.25">
      <c r="A364" s="115" t="s">
        <v>1080</v>
      </c>
      <c r="B364" s="28">
        <v>8</v>
      </c>
      <c r="C364" s="28">
        <v>200</v>
      </c>
      <c r="D364" s="28">
        <v>125</v>
      </c>
      <c r="E364" s="33">
        <f t="shared" si="13"/>
        <v>325</v>
      </c>
      <c r="F364" s="113">
        <v>25</v>
      </c>
      <c r="G364" s="2">
        <f>N297</f>
        <v>0.33</v>
      </c>
      <c r="H364" s="114">
        <f t="shared" si="14"/>
        <v>4.29</v>
      </c>
    </row>
    <row r="365" spans="1:8" x14ac:dyDescent="0.25">
      <c r="A365" s="115" t="s">
        <v>1081</v>
      </c>
      <c r="B365" s="28">
        <v>8</v>
      </c>
      <c r="C365" s="28">
        <v>250</v>
      </c>
      <c r="D365" s="28">
        <v>125</v>
      </c>
      <c r="E365" s="33">
        <f t="shared" si="13"/>
        <v>375</v>
      </c>
      <c r="F365" s="113">
        <v>25</v>
      </c>
      <c r="G365" s="2">
        <f>N297</f>
        <v>0.33</v>
      </c>
      <c r="H365" s="114">
        <f t="shared" si="14"/>
        <v>4.95</v>
      </c>
    </row>
    <row r="366" spans="1:8" x14ac:dyDescent="0.25">
      <c r="A366" s="115" t="s">
        <v>1082</v>
      </c>
      <c r="B366" s="28">
        <v>8</v>
      </c>
      <c r="C366" s="28">
        <v>300</v>
      </c>
      <c r="D366" s="28">
        <v>125</v>
      </c>
      <c r="E366" s="33">
        <f t="shared" si="13"/>
        <v>425</v>
      </c>
      <c r="F366" s="113">
        <v>25</v>
      </c>
      <c r="G366" s="2">
        <f>N297</f>
        <v>0.33</v>
      </c>
      <c r="H366" s="114">
        <f t="shared" si="14"/>
        <v>5.61</v>
      </c>
    </row>
    <row r="367" spans="1:8" x14ac:dyDescent="0.25">
      <c r="A367" s="115" t="s">
        <v>1083</v>
      </c>
      <c r="B367" s="28">
        <v>8</v>
      </c>
      <c r="C367" s="28">
        <v>350</v>
      </c>
      <c r="D367" s="28">
        <v>125</v>
      </c>
      <c r="E367" s="33">
        <f t="shared" si="13"/>
        <v>475</v>
      </c>
      <c r="F367" s="113">
        <v>25</v>
      </c>
      <c r="G367" s="2">
        <f>N298</f>
        <v>6.6000000000000005</v>
      </c>
      <c r="H367" s="114">
        <f>G367</f>
        <v>6.6000000000000005</v>
      </c>
    </row>
    <row r="368" spans="1:8" x14ac:dyDescent="0.25">
      <c r="A368" s="115" t="s">
        <v>1084</v>
      </c>
      <c r="B368" s="28">
        <v>8</v>
      </c>
      <c r="C368" s="28">
        <v>400</v>
      </c>
      <c r="D368" s="28">
        <v>125</v>
      </c>
      <c r="E368" s="33">
        <f t="shared" si="13"/>
        <v>525</v>
      </c>
      <c r="F368" s="113">
        <v>25</v>
      </c>
      <c r="G368" s="2">
        <f>N298</f>
        <v>6.6000000000000005</v>
      </c>
      <c r="H368" s="114">
        <f>G368</f>
        <v>6.6000000000000005</v>
      </c>
    </row>
    <row r="369" spans="1:8" x14ac:dyDescent="0.25">
      <c r="A369" s="115" t="s">
        <v>1085</v>
      </c>
      <c r="B369" s="28">
        <v>8</v>
      </c>
      <c r="C369" s="28">
        <v>450</v>
      </c>
      <c r="D369" s="28">
        <v>125</v>
      </c>
      <c r="E369" s="33">
        <f t="shared" si="13"/>
        <v>575</v>
      </c>
      <c r="F369" s="113">
        <v>25</v>
      </c>
      <c r="G369" s="2">
        <f>N298</f>
        <v>6.6000000000000005</v>
      </c>
      <c r="H369" s="114">
        <f>G369</f>
        <v>6.6000000000000005</v>
      </c>
    </row>
    <row r="370" spans="1:8" x14ac:dyDescent="0.25">
      <c r="A370" s="115" t="s">
        <v>1086</v>
      </c>
      <c r="B370" s="28">
        <v>8</v>
      </c>
      <c r="C370" s="28">
        <v>500</v>
      </c>
      <c r="D370" s="28">
        <v>125</v>
      </c>
      <c r="E370" s="33">
        <f t="shared" si="13"/>
        <v>625</v>
      </c>
      <c r="F370" s="113">
        <v>25</v>
      </c>
      <c r="G370" s="2">
        <f>N298</f>
        <v>6.6000000000000005</v>
      </c>
      <c r="H370" s="114">
        <f>G370</f>
        <v>6.6000000000000005</v>
      </c>
    </row>
    <row r="371" spans="1:8" x14ac:dyDescent="0.25">
      <c r="A371" s="115" t="s">
        <v>880</v>
      </c>
      <c r="B371" s="28">
        <v>4</v>
      </c>
      <c r="C371" s="28">
        <v>75</v>
      </c>
      <c r="D371" s="28">
        <v>98</v>
      </c>
      <c r="E371" s="33">
        <f t="shared" si="13"/>
        <v>173</v>
      </c>
      <c r="F371" s="113">
        <v>25</v>
      </c>
      <c r="G371" s="2">
        <f>N286</f>
        <v>0.19800000000000001</v>
      </c>
      <c r="H371" s="114">
        <f t="shared" si="14"/>
        <v>1.37016</v>
      </c>
    </row>
    <row r="372" spans="1:8" x14ac:dyDescent="0.25">
      <c r="A372" s="115" t="s">
        <v>882</v>
      </c>
      <c r="B372" s="28">
        <v>4</v>
      </c>
      <c r="C372" s="28">
        <v>100</v>
      </c>
      <c r="D372" s="28">
        <v>98</v>
      </c>
      <c r="E372" s="33">
        <f t="shared" si="13"/>
        <v>198</v>
      </c>
      <c r="F372" s="113">
        <v>25</v>
      </c>
      <c r="G372" s="2">
        <f>N286</f>
        <v>0.19800000000000001</v>
      </c>
      <c r="H372" s="114">
        <f t="shared" si="14"/>
        <v>1.56816</v>
      </c>
    </row>
    <row r="373" spans="1:8" x14ac:dyDescent="0.25">
      <c r="A373" s="115" t="s">
        <v>884</v>
      </c>
      <c r="B373" s="28">
        <v>5</v>
      </c>
      <c r="C373" s="28">
        <v>100</v>
      </c>
      <c r="D373" s="28">
        <v>98</v>
      </c>
      <c r="E373" s="33">
        <f t="shared" si="13"/>
        <v>198</v>
      </c>
      <c r="F373" s="113">
        <v>25</v>
      </c>
      <c r="G373" s="2">
        <f>N286</f>
        <v>0.19800000000000001</v>
      </c>
      <c r="H373" s="114">
        <f t="shared" si="14"/>
        <v>1.56816</v>
      </c>
    </row>
    <row r="374" spans="1:8" x14ac:dyDescent="0.25">
      <c r="A374" s="115" t="s">
        <v>886</v>
      </c>
      <c r="B374" s="28">
        <v>5</v>
      </c>
      <c r="C374" s="28">
        <v>125</v>
      </c>
      <c r="D374" s="28">
        <v>98</v>
      </c>
      <c r="E374" s="33">
        <f t="shared" si="13"/>
        <v>223</v>
      </c>
      <c r="F374" s="113">
        <v>25</v>
      </c>
      <c r="G374" s="2">
        <f>N287</f>
        <v>0.26400000000000001</v>
      </c>
      <c r="H374" s="114">
        <f t="shared" si="14"/>
        <v>2.3548800000000001</v>
      </c>
    </row>
    <row r="375" spans="1:8" x14ac:dyDescent="0.25">
      <c r="A375" s="115" t="s">
        <v>888</v>
      </c>
      <c r="B375" s="28">
        <v>5</v>
      </c>
      <c r="C375" s="28">
        <v>150</v>
      </c>
      <c r="D375" s="28">
        <v>98</v>
      </c>
      <c r="E375" s="33">
        <f t="shared" si="13"/>
        <v>248</v>
      </c>
      <c r="F375" s="113">
        <v>25</v>
      </c>
      <c r="G375" s="2">
        <f>N287</f>
        <v>0.26400000000000001</v>
      </c>
      <c r="H375" s="114">
        <f t="shared" si="14"/>
        <v>2.6188800000000003</v>
      </c>
    </row>
    <row r="376" spans="1:8" x14ac:dyDescent="0.25">
      <c r="A376" s="115" t="s">
        <v>890</v>
      </c>
      <c r="B376" s="28">
        <v>5</v>
      </c>
      <c r="C376" s="28">
        <v>200</v>
      </c>
      <c r="D376" s="28">
        <v>98</v>
      </c>
      <c r="E376" s="33">
        <f t="shared" si="13"/>
        <v>298</v>
      </c>
      <c r="F376" s="113">
        <v>25</v>
      </c>
      <c r="G376" s="2">
        <f>N287</f>
        <v>0.26400000000000001</v>
      </c>
      <c r="H376" s="114">
        <f t="shared" si="14"/>
        <v>3.1468800000000003</v>
      </c>
    </row>
    <row r="377" spans="1:8" x14ac:dyDescent="0.25">
      <c r="A377" s="115" t="s">
        <v>892</v>
      </c>
      <c r="B377" s="28">
        <v>5</v>
      </c>
      <c r="C377" s="28">
        <v>250</v>
      </c>
      <c r="D377" s="28">
        <v>98</v>
      </c>
      <c r="E377" s="33">
        <f t="shared" si="13"/>
        <v>348</v>
      </c>
      <c r="F377" s="113">
        <v>25</v>
      </c>
      <c r="G377" s="2">
        <f>N288</f>
        <v>0.33</v>
      </c>
      <c r="H377" s="114">
        <f t="shared" si="14"/>
        <v>4.5936000000000003</v>
      </c>
    </row>
    <row r="378" spans="1:8" x14ac:dyDescent="0.25">
      <c r="A378" s="115" t="s">
        <v>894</v>
      </c>
      <c r="B378" s="28">
        <v>5</v>
      </c>
      <c r="C378" s="28">
        <v>300</v>
      </c>
      <c r="D378" s="28">
        <v>98</v>
      </c>
      <c r="E378" s="33">
        <f t="shared" si="13"/>
        <v>398</v>
      </c>
      <c r="F378" s="113">
        <v>25</v>
      </c>
      <c r="G378" s="2">
        <f>N288</f>
        <v>0.33</v>
      </c>
      <c r="H378" s="114">
        <f t="shared" si="14"/>
        <v>5.2536000000000005</v>
      </c>
    </row>
    <row r="379" spans="1:8" x14ac:dyDescent="0.25">
      <c r="A379" s="115" t="s">
        <v>896</v>
      </c>
      <c r="B379" s="28">
        <v>6</v>
      </c>
      <c r="C379" s="28">
        <v>100</v>
      </c>
      <c r="D379" s="28">
        <v>119</v>
      </c>
      <c r="E379" s="33">
        <f t="shared" si="13"/>
        <v>219</v>
      </c>
      <c r="F379" s="113">
        <v>25</v>
      </c>
      <c r="G379" s="2">
        <f>N291</f>
        <v>0.33</v>
      </c>
      <c r="H379" s="114"/>
    </row>
    <row r="380" spans="1:8" x14ac:dyDescent="0.25">
      <c r="A380" s="115" t="s">
        <v>898</v>
      </c>
      <c r="B380" s="28">
        <v>6</v>
      </c>
      <c r="C380" s="28">
        <v>125</v>
      </c>
      <c r="D380" s="28">
        <v>119</v>
      </c>
      <c r="E380" s="33">
        <f t="shared" si="13"/>
        <v>244</v>
      </c>
      <c r="F380" s="113">
        <v>25</v>
      </c>
      <c r="G380" s="2">
        <f>N291</f>
        <v>0.33</v>
      </c>
      <c r="H380" s="114">
        <f t="shared" si="14"/>
        <v>3.2208000000000001</v>
      </c>
    </row>
    <row r="381" spans="1:8" x14ac:dyDescent="0.25">
      <c r="A381" s="115" t="s">
        <v>900</v>
      </c>
      <c r="B381" s="28">
        <v>6</v>
      </c>
      <c r="C381" s="28">
        <v>150</v>
      </c>
      <c r="D381" s="28">
        <v>119</v>
      </c>
      <c r="E381" s="33">
        <f t="shared" si="13"/>
        <v>269</v>
      </c>
      <c r="F381" s="113">
        <v>25</v>
      </c>
      <c r="G381" s="2">
        <f>N291</f>
        <v>0.33</v>
      </c>
      <c r="H381" s="114">
        <f t="shared" si="14"/>
        <v>3.5508000000000002</v>
      </c>
    </row>
    <row r="382" spans="1:8" x14ac:dyDescent="0.25">
      <c r="A382" s="115" t="s">
        <v>902</v>
      </c>
      <c r="B382" s="28">
        <v>6</v>
      </c>
      <c r="C382" s="28">
        <v>200</v>
      </c>
      <c r="D382" s="28">
        <v>119</v>
      </c>
      <c r="E382" s="33">
        <f t="shared" si="13"/>
        <v>319</v>
      </c>
      <c r="F382" s="113">
        <v>25</v>
      </c>
      <c r="G382" s="2">
        <f>N291</f>
        <v>0.33</v>
      </c>
      <c r="H382" s="114">
        <f t="shared" si="14"/>
        <v>4.2107999999999999</v>
      </c>
    </row>
    <row r="383" spans="1:8" x14ac:dyDescent="0.25">
      <c r="A383" s="115" t="s">
        <v>904</v>
      </c>
      <c r="B383" s="28">
        <v>6</v>
      </c>
      <c r="C383" s="28">
        <v>250</v>
      </c>
      <c r="D383" s="28">
        <v>119</v>
      </c>
      <c r="E383" s="33">
        <f t="shared" si="13"/>
        <v>369</v>
      </c>
      <c r="F383" s="113">
        <v>25</v>
      </c>
      <c r="G383" s="2">
        <f>N291</f>
        <v>0.33</v>
      </c>
      <c r="H383" s="114">
        <f t="shared" si="14"/>
        <v>4.8708</v>
      </c>
    </row>
    <row r="384" spans="1:8" x14ac:dyDescent="0.25">
      <c r="A384" s="115" t="s">
        <v>906</v>
      </c>
      <c r="B384" s="28">
        <v>6</v>
      </c>
      <c r="C384" s="28">
        <v>300</v>
      </c>
      <c r="D384" s="28">
        <v>119</v>
      </c>
      <c r="E384" s="33">
        <f t="shared" si="13"/>
        <v>419</v>
      </c>
      <c r="F384" s="113">
        <v>25</v>
      </c>
      <c r="G384" s="2">
        <f>N291</f>
        <v>0.33</v>
      </c>
      <c r="H384" s="114">
        <f t="shared" si="14"/>
        <v>5.530800000000001</v>
      </c>
    </row>
    <row r="385" spans="1:8" x14ac:dyDescent="0.25">
      <c r="A385" s="115" t="s">
        <v>908</v>
      </c>
      <c r="B385" s="28">
        <v>6</v>
      </c>
      <c r="C385" s="28">
        <v>350</v>
      </c>
      <c r="D385" s="28">
        <v>119</v>
      </c>
      <c r="E385" s="33">
        <f t="shared" si="13"/>
        <v>469</v>
      </c>
      <c r="F385" s="113">
        <v>25</v>
      </c>
      <c r="G385" s="2">
        <f>N292</f>
        <v>6.6000000000000005</v>
      </c>
      <c r="H385" s="114">
        <f>G385</f>
        <v>6.6000000000000005</v>
      </c>
    </row>
    <row r="386" spans="1:8" x14ac:dyDescent="0.25">
      <c r="A386" s="115" t="s">
        <v>910</v>
      </c>
      <c r="B386" s="28">
        <v>6</v>
      </c>
      <c r="C386" s="28">
        <v>400</v>
      </c>
      <c r="D386" s="28">
        <v>119</v>
      </c>
      <c r="E386" s="33">
        <f t="shared" si="13"/>
        <v>519</v>
      </c>
      <c r="F386" s="113">
        <v>25</v>
      </c>
      <c r="G386" s="2">
        <f>N292</f>
        <v>6.6000000000000005</v>
      </c>
      <c r="H386" s="114">
        <f>G386</f>
        <v>6.6000000000000005</v>
      </c>
    </row>
    <row r="387" spans="1:8" x14ac:dyDescent="0.25">
      <c r="A387" s="115" t="s">
        <v>912</v>
      </c>
      <c r="B387" s="28">
        <v>7</v>
      </c>
      <c r="C387" s="28">
        <v>150</v>
      </c>
      <c r="D387" s="28">
        <v>134</v>
      </c>
      <c r="E387" s="33">
        <f t="shared" si="13"/>
        <v>284</v>
      </c>
      <c r="F387" s="113">
        <v>25</v>
      </c>
      <c r="G387" s="2">
        <f>N293</f>
        <v>0.19800000000000001</v>
      </c>
      <c r="H387" s="114">
        <f t="shared" si="14"/>
        <v>2.2492800000000002</v>
      </c>
    </row>
    <row r="388" spans="1:8" x14ac:dyDescent="0.25">
      <c r="A388" s="115" t="s">
        <v>914</v>
      </c>
      <c r="B388" s="28">
        <v>7</v>
      </c>
      <c r="C388" s="28">
        <v>175</v>
      </c>
      <c r="D388" s="28">
        <v>134</v>
      </c>
      <c r="E388" s="33">
        <f t="shared" si="13"/>
        <v>309</v>
      </c>
      <c r="F388" s="113">
        <v>25</v>
      </c>
      <c r="G388" s="2">
        <f>N294</f>
        <v>0.33</v>
      </c>
      <c r="H388" s="114">
        <f t="shared" si="14"/>
        <v>4.0788000000000002</v>
      </c>
    </row>
    <row r="389" spans="1:8" x14ac:dyDescent="0.25">
      <c r="A389" s="115" t="s">
        <v>916</v>
      </c>
      <c r="B389" s="28">
        <v>7</v>
      </c>
      <c r="C389" s="28">
        <v>200</v>
      </c>
      <c r="D389" s="28">
        <v>134</v>
      </c>
      <c r="E389" s="33">
        <f t="shared" si="13"/>
        <v>334</v>
      </c>
      <c r="F389" s="113">
        <v>25</v>
      </c>
      <c r="G389" s="2">
        <f>N294</f>
        <v>0.33</v>
      </c>
      <c r="H389" s="114">
        <f t="shared" si="14"/>
        <v>4.4088000000000003</v>
      </c>
    </row>
    <row r="390" spans="1:8" x14ac:dyDescent="0.25">
      <c r="A390" s="115" t="s">
        <v>918</v>
      </c>
      <c r="B390" s="28">
        <v>7</v>
      </c>
      <c r="C390" s="28">
        <v>250</v>
      </c>
      <c r="D390" s="28">
        <v>134</v>
      </c>
      <c r="E390" s="33">
        <f t="shared" si="13"/>
        <v>384</v>
      </c>
      <c r="F390" s="113">
        <v>25</v>
      </c>
      <c r="G390" s="2">
        <f>N294</f>
        <v>0.33</v>
      </c>
      <c r="H390" s="114">
        <f t="shared" ref="H390:H399" si="15">E390/F390*G390</f>
        <v>5.0688000000000004</v>
      </c>
    </row>
    <row r="391" spans="1:8" x14ac:dyDescent="0.25">
      <c r="A391" s="115" t="s">
        <v>920</v>
      </c>
      <c r="B391" s="28">
        <v>7</v>
      </c>
      <c r="C391" s="28">
        <v>300</v>
      </c>
      <c r="D391" s="28">
        <v>134</v>
      </c>
      <c r="E391" s="33">
        <f t="shared" si="13"/>
        <v>434</v>
      </c>
      <c r="F391" s="113">
        <v>25</v>
      </c>
      <c r="G391" s="2">
        <f>N294</f>
        <v>0.33</v>
      </c>
      <c r="H391" s="114">
        <f t="shared" si="15"/>
        <v>5.7287999999999997</v>
      </c>
    </row>
    <row r="392" spans="1:8" x14ac:dyDescent="0.25">
      <c r="A392" s="115" t="s">
        <v>922</v>
      </c>
      <c r="B392" s="28">
        <v>7</v>
      </c>
      <c r="C392" s="28">
        <v>350</v>
      </c>
      <c r="D392" s="28">
        <v>134</v>
      </c>
      <c r="E392" s="33">
        <f t="shared" si="13"/>
        <v>484</v>
      </c>
      <c r="F392" s="113">
        <v>25</v>
      </c>
      <c r="G392" s="2">
        <f>N295</f>
        <v>6.6000000000000005</v>
      </c>
      <c r="H392" s="114">
        <f>G392</f>
        <v>6.6000000000000005</v>
      </c>
    </row>
    <row r="393" spans="1:8" x14ac:dyDescent="0.25">
      <c r="A393" s="115" t="s">
        <v>924</v>
      </c>
      <c r="B393" s="28">
        <v>7</v>
      </c>
      <c r="C393" s="28">
        <v>400</v>
      </c>
      <c r="D393" s="28">
        <v>134</v>
      </c>
      <c r="E393" s="33">
        <f t="shared" si="13"/>
        <v>534</v>
      </c>
      <c r="F393" s="113">
        <v>25</v>
      </c>
      <c r="G393" s="2">
        <f>N295</f>
        <v>6.6000000000000005</v>
      </c>
      <c r="H393" s="114">
        <f>G393</f>
        <v>6.6000000000000005</v>
      </c>
    </row>
    <row r="394" spans="1:8" x14ac:dyDescent="0.25">
      <c r="A394" s="115" t="s">
        <v>926</v>
      </c>
      <c r="B394" s="28">
        <v>7</v>
      </c>
      <c r="C394" s="28">
        <v>450</v>
      </c>
      <c r="D394" s="28">
        <v>134</v>
      </c>
      <c r="E394" s="33">
        <f t="shared" si="13"/>
        <v>584</v>
      </c>
      <c r="F394" s="113">
        <v>25</v>
      </c>
      <c r="G394" s="2">
        <f>N295</f>
        <v>6.6000000000000005</v>
      </c>
      <c r="H394" s="114">
        <f>G394</f>
        <v>6.6000000000000005</v>
      </c>
    </row>
    <row r="395" spans="1:8" x14ac:dyDescent="0.25">
      <c r="A395" s="115" t="s">
        <v>928</v>
      </c>
      <c r="B395" s="28">
        <v>7</v>
      </c>
      <c r="C395" s="28">
        <v>500</v>
      </c>
      <c r="D395" s="28">
        <v>134</v>
      </c>
      <c r="E395" s="33">
        <f t="shared" si="13"/>
        <v>634</v>
      </c>
      <c r="F395" s="113">
        <v>25</v>
      </c>
      <c r="G395" s="2">
        <f>N295</f>
        <v>6.6000000000000005</v>
      </c>
      <c r="H395" s="114">
        <f>G395</f>
        <v>6.6000000000000005</v>
      </c>
    </row>
    <row r="396" spans="1:8" x14ac:dyDescent="0.25">
      <c r="A396" s="115" t="s">
        <v>930</v>
      </c>
      <c r="B396" s="28">
        <v>8</v>
      </c>
      <c r="C396" s="28">
        <v>175</v>
      </c>
      <c r="D396" s="28">
        <v>134</v>
      </c>
      <c r="E396" s="33">
        <f t="shared" si="13"/>
        <v>309</v>
      </c>
      <c r="F396" s="113">
        <v>25</v>
      </c>
      <c r="G396" s="2">
        <f>N297</f>
        <v>0.33</v>
      </c>
      <c r="H396" s="114">
        <f t="shared" si="15"/>
        <v>4.0788000000000002</v>
      </c>
    </row>
    <row r="397" spans="1:8" x14ac:dyDescent="0.25">
      <c r="A397" s="115" t="s">
        <v>932</v>
      </c>
      <c r="B397" s="28">
        <v>8</v>
      </c>
      <c r="C397" s="28">
        <v>200</v>
      </c>
      <c r="D397" s="28">
        <v>134</v>
      </c>
      <c r="E397" s="33">
        <f t="shared" si="13"/>
        <v>334</v>
      </c>
      <c r="F397" s="113">
        <v>25</v>
      </c>
      <c r="G397" s="2">
        <f>N297</f>
        <v>0.33</v>
      </c>
      <c r="H397" s="114">
        <f t="shared" si="15"/>
        <v>4.4088000000000003</v>
      </c>
    </row>
    <row r="398" spans="1:8" x14ac:dyDescent="0.25">
      <c r="A398" s="115" t="s">
        <v>934</v>
      </c>
      <c r="B398" s="28">
        <v>8</v>
      </c>
      <c r="C398" s="28">
        <v>250</v>
      </c>
      <c r="D398" s="28">
        <v>134</v>
      </c>
      <c r="E398" s="33">
        <f t="shared" si="13"/>
        <v>384</v>
      </c>
      <c r="F398" s="113">
        <v>25</v>
      </c>
      <c r="G398" s="2">
        <f>N297</f>
        <v>0.33</v>
      </c>
      <c r="H398" s="114">
        <f t="shared" si="15"/>
        <v>5.0688000000000004</v>
      </c>
    </row>
    <row r="399" spans="1:8" x14ac:dyDescent="0.25">
      <c r="A399" s="115" t="s">
        <v>936</v>
      </c>
      <c r="B399" s="28">
        <v>8</v>
      </c>
      <c r="C399" s="28">
        <v>300</v>
      </c>
      <c r="D399" s="28">
        <v>134</v>
      </c>
      <c r="E399" s="33">
        <f t="shared" si="13"/>
        <v>434</v>
      </c>
      <c r="F399" s="113">
        <v>25</v>
      </c>
      <c r="G399" s="2">
        <f>N297</f>
        <v>0.33</v>
      </c>
      <c r="H399" s="114">
        <f t="shared" si="15"/>
        <v>5.7287999999999997</v>
      </c>
    </row>
    <row r="400" spans="1:8" x14ac:dyDescent="0.25">
      <c r="A400" s="115" t="s">
        <v>938</v>
      </c>
      <c r="B400" s="28">
        <v>8</v>
      </c>
      <c r="C400" s="28">
        <v>350</v>
      </c>
      <c r="D400" s="28">
        <v>134</v>
      </c>
      <c r="E400" s="33">
        <f t="shared" si="13"/>
        <v>484</v>
      </c>
      <c r="F400" s="113">
        <v>25</v>
      </c>
      <c r="G400" s="2">
        <f>N298</f>
        <v>6.6000000000000005</v>
      </c>
      <c r="H400" s="114">
        <f>G400</f>
        <v>6.6000000000000005</v>
      </c>
    </row>
    <row r="401" spans="1:8" x14ac:dyDescent="0.25">
      <c r="A401" s="115" t="s">
        <v>940</v>
      </c>
      <c r="B401" s="28">
        <v>8</v>
      </c>
      <c r="C401" s="28">
        <v>400</v>
      </c>
      <c r="D401" s="28">
        <v>134</v>
      </c>
      <c r="E401" s="33">
        <f t="shared" si="13"/>
        <v>534</v>
      </c>
      <c r="F401" s="113">
        <v>25</v>
      </c>
      <c r="G401" s="2">
        <f>N298</f>
        <v>6.6000000000000005</v>
      </c>
      <c r="H401" s="114">
        <f>G401</f>
        <v>6.6000000000000005</v>
      </c>
    </row>
    <row r="402" spans="1:8" x14ac:dyDescent="0.25">
      <c r="A402" s="115" t="s">
        <v>942</v>
      </c>
      <c r="B402" s="28">
        <v>8</v>
      </c>
      <c r="C402" s="28">
        <v>450</v>
      </c>
      <c r="D402" s="28">
        <v>134</v>
      </c>
      <c r="E402" s="33">
        <f t="shared" si="13"/>
        <v>584</v>
      </c>
      <c r="F402" s="113">
        <v>25</v>
      </c>
      <c r="G402" s="2">
        <f>N298</f>
        <v>6.6000000000000005</v>
      </c>
      <c r="H402" s="114">
        <f>G402</f>
        <v>6.6000000000000005</v>
      </c>
    </row>
    <row r="403" spans="1:8" x14ac:dyDescent="0.25">
      <c r="A403" s="115" t="s">
        <v>944</v>
      </c>
      <c r="B403" s="28">
        <v>8</v>
      </c>
      <c r="C403" s="28">
        <v>500</v>
      </c>
      <c r="D403" s="28">
        <v>134</v>
      </c>
      <c r="E403" s="33">
        <f t="shared" si="13"/>
        <v>634</v>
      </c>
      <c r="F403" s="113">
        <v>25</v>
      </c>
      <c r="G403" s="2">
        <f>N298</f>
        <v>6.6000000000000005</v>
      </c>
      <c r="H403" s="114">
        <f>G403</f>
        <v>6.6000000000000005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30"/>
  <sheetViews>
    <sheetView workbookViewId="0">
      <selection activeCell="H9" sqref="H9"/>
    </sheetView>
  </sheetViews>
  <sheetFormatPr defaultRowHeight="16.5" x14ac:dyDescent="0.25"/>
  <cols>
    <col min="1" max="1" width="15.625" customWidth="1"/>
    <col min="2" max="4" width="10.625" style="2" customWidth="1"/>
    <col min="5" max="14" width="10.625" customWidth="1"/>
  </cols>
  <sheetData>
    <row r="1" spans="1:15" ht="21" x14ac:dyDescent="0.25">
      <c r="A1" s="25" t="s">
        <v>565</v>
      </c>
    </row>
    <row r="3" spans="1:15" ht="17.25" thickBot="1" x14ac:dyDescent="0.3">
      <c r="F3" t="s">
        <v>1033</v>
      </c>
    </row>
    <row r="4" spans="1:15" x14ac:dyDescent="0.25">
      <c r="A4" t="s">
        <v>0</v>
      </c>
      <c r="B4" s="2" t="s">
        <v>443</v>
      </c>
      <c r="C4" s="28" t="s">
        <v>447</v>
      </c>
      <c r="D4" s="28" t="s">
        <v>449</v>
      </c>
      <c r="F4" s="54" t="s">
        <v>566</v>
      </c>
      <c r="G4" s="37" t="s">
        <v>567</v>
      </c>
      <c r="H4" s="37" t="s">
        <v>568</v>
      </c>
      <c r="I4" s="37" t="s">
        <v>4</v>
      </c>
      <c r="J4" s="37" t="s">
        <v>1026</v>
      </c>
      <c r="K4" s="37" t="s">
        <v>1032</v>
      </c>
      <c r="L4" s="37" t="s">
        <v>570</v>
      </c>
      <c r="M4" s="37" t="s">
        <v>1007</v>
      </c>
      <c r="N4" s="37" t="s">
        <v>764</v>
      </c>
      <c r="O4" s="44" t="s">
        <v>447</v>
      </c>
    </row>
    <row r="5" spans="1:15" x14ac:dyDescent="0.25">
      <c r="A5" t="s">
        <v>11</v>
      </c>
      <c r="B5" s="2">
        <v>3</v>
      </c>
      <c r="C5" s="19" t="s">
        <v>576</v>
      </c>
      <c r="D5" s="21" t="str">
        <f>C5</f>
        <v>N</v>
      </c>
      <c r="F5" s="57" t="s">
        <v>491</v>
      </c>
      <c r="G5" s="40">
        <v>3</v>
      </c>
      <c r="H5" s="40">
        <v>1</v>
      </c>
      <c r="I5" s="40">
        <v>0</v>
      </c>
      <c r="J5" s="40">
        <v>0</v>
      </c>
      <c r="K5" s="40">
        <v>0</v>
      </c>
      <c r="L5" s="40">
        <v>1</v>
      </c>
      <c r="M5" s="40">
        <f>L5+K5+J5+I5+H5+G5</f>
        <v>5</v>
      </c>
      <c r="N5" s="40">
        <v>1.05</v>
      </c>
      <c r="O5" s="70">
        <f>N5*M5</f>
        <v>5.25</v>
      </c>
    </row>
    <row r="6" spans="1:15" x14ac:dyDescent="0.25">
      <c r="A6" t="s">
        <v>13</v>
      </c>
      <c r="B6" s="2">
        <v>3</v>
      </c>
      <c r="C6" s="19" t="s">
        <v>576</v>
      </c>
      <c r="D6" s="21" t="str">
        <f t="shared" ref="D6:D69" si="0">C6</f>
        <v>N</v>
      </c>
      <c r="F6" s="57" t="s">
        <v>492</v>
      </c>
      <c r="G6" s="40">
        <v>3</v>
      </c>
      <c r="H6" s="40">
        <v>1</v>
      </c>
      <c r="I6" s="40">
        <v>0</v>
      </c>
      <c r="J6" s="40">
        <v>0</v>
      </c>
      <c r="K6" s="40">
        <v>0</v>
      </c>
      <c r="L6" s="40">
        <v>1</v>
      </c>
      <c r="M6" s="40">
        <f t="shared" ref="M6:M8" si="1">L6+K6+J6+I6+H6+G6</f>
        <v>5</v>
      </c>
      <c r="N6" s="40">
        <v>1.05</v>
      </c>
      <c r="O6" s="70">
        <f t="shared" ref="O6:O8" si="2">N6*M6</f>
        <v>5.25</v>
      </c>
    </row>
    <row r="7" spans="1:15" x14ac:dyDescent="0.25">
      <c r="A7" t="s">
        <v>15</v>
      </c>
      <c r="B7" s="2">
        <v>3</v>
      </c>
      <c r="C7" s="19" t="s">
        <v>576</v>
      </c>
      <c r="D7" s="21" t="str">
        <f t="shared" si="0"/>
        <v>N</v>
      </c>
      <c r="F7" s="57" t="s">
        <v>519</v>
      </c>
      <c r="G7" s="40">
        <v>3.2</v>
      </c>
      <c r="H7" s="40">
        <v>1</v>
      </c>
      <c r="I7" s="40">
        <v>0</v>
      </c>
      <c r="J7" s="40">
        <v>0</v>
      </c>
      <c r="K7" s="40">
        <v>0</v>
      </c>
      <c r="L7" s="40">
        <v>1</v>
      </c>
      <c r="M7" s="40">
        <f t="shared" si="1"/>
        <v>5.2</v>
      </c>
      <c r="N7" s="40">
        <v>1.05</v>
      </c>
      <c r="O7" s="70">
        <f t="shared" si="2"/>
        <v>5.4600000000000009</v>
      </c>
    </row>
    <row r="8" spans="1:15" ht="17.25" thickBot="1" x14ac:dyDescent="0.3">
      <c r="A8" t="s">
        <v>17</v>
      </c>
      <c r="B8" s="2">
        <v>3</v>
      </c>
      <c r="C8" s="19" t="s">
        <v>576</v>
      </c>
      <c r="D8" s="21" t="str">
        <f t="shared" si="0"/>
        <v>N</v>
      </c>
      <c r="F8" s="59" t="s">
        <v>524</v>
      </c>
      <c r="G8" s="43">
        <v>3.2</v>
      </c>
      <c r="H8" s="43">
        <v>1</v>
      </c>
      <c r="I8" s="43">
        <v>0</v>
      </c>
      <c r="J8" s="43">
        <v>0</v>
      </c>
      <c r="K8" s="43">
        <v>0</v>
      </c>
      <c r="L8" s="43">
        <v>1</v>
      </c>
      <c r="M8" s="43">
        <f t="shared" si="1"/>
        <v>5.2</v>
      </c>
      <c r="N8" s="43">
        <v>1.05</v>
      </c>
      <c r="O8" s="71">
        <f t="shared" si="2"/>
        <v>5.4600000000000009</v>
      </c>
    </row>
    <row r="9" spans="1:15" x14ac:dyDescent="0.25">
      <c r="A9" t="s">
        <v>19</v>
      </c>
      <c r="B9" s="2">
        <v>3</v>
      </c>
      <c r="C9" s="19" t="s">
        <v>576</v>
      </c>
      <c r="D9" s="21" t="str">
        <f t="shared" si="0"/>
        <v>N</v>
      </c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t="s">
        <v>21</v>
      </c>
      <c r="B10" s="2">
        <v>3</v>
      </c>
      <c r="C10" s="19" t="s">
        <v>576</v>
      </c>
      <c r="D10" s="21" t="str">
        <f t="shared" si="0"/>
        <v>N</v>
      </c>
      <c r="G10" s="2"/>
      <c r="H10" s="2"/>
      <c r="I10" s="2"/>
      <c r="J10" s="2"/>
      <c r="K10" s="2"/>
      <c r="L10" s="2"/>
      <c r="M10" s="2"/>
      <c r="N10" s="2"/>
      <c r="O10" s="2"/>
    </row>
    <row r="11" spans="1:15" ht="17.25" thickBot="1" x14ac:dyDescent="0.3">
      <c r="A11" t="s">
        <v>23</v>
      </c>
      <c r="B11" s="2">
        <v>3</v>
      </c>
      <c r="C11" s="19" t="s">
        <v>576</v>
      </c>
      <c r="D11" s="21" t="str">
        <f t="shared" si="0"/>
        <v>N</v>
      </c>
      <c r="F11" t="s">
        <v>1034</v>
      </c>
    </row>
    <row r="12" spans="1:15" x14ac:dyDescent="0.25">
      <c r="A12" t="s">
        <v>25</v>
      </c>
      <c r="B12" s="2">
        <v>3</v>
      </c>
      <c r="C12" s="19" t="s">
        <v>576</v>
      </c>
      <c r="D12" s="21" t="str">
        <f t="shared" si="0"/>
        <v>N</v>
      </c>
      <c r="F12" s="54" t="s">
        <v>1</v>
      </c>
      <c r="G12" s="37" t="s">
        <v>567</v>
      </c>
      <c r="H12" s="37" t="s">
        <v>568</v>
      </c>
      <c r="I12" s="37" t="s">
        <v>4</v>
      </c>
      <c r="J12" s="37" t="s">
        <v>1026</v>
      </c>
      <c r="K12" s="37" t="s">
        <v>1032</v>
      </c>
      <c r="L12" s="37" t="s">
        <v>570</v>
      </c>
      <c r="M12" s="37" t="s">
        <v>1007</v>
      </c>
      <c r="N12" s="37" t="s">
        <v>529</v>
      </c>
      <c r="O12" s="44" t="s">
        <v>447</v>
      </c>
    </row>
    <row r="13" spans="1:15" x14ac:dyDescent="0.25">
      <c r="A13" t="s">
        <v>35</v>
      </c>
      <c r="B13" s="2">
        <v>5</v>
      </c>
      <c r="C13" s="19">
        <f>O5</f>
        <v>5.25</v>
      </c>
      <c r="D13" s="21">
        <f t="shared" si="0"/>
        <v>5.25</v>
      </c>
      <c r="F13" s="57" t="s">
        <v>491</v>
      </c>
      <c r="G13" s="40">
        <v>3</v>
      </c>
      <c r="H13" s="40">
        <v>0</v>
      </c>
      <c r="I13" s="40">
        <v>0.08</v>
      </c>
      <c r="J13" s="40">
        <v>0.15</v>
      </c>
      <c r="K13" s="40">
        <v>0.7</v>
      </c>
      <c r="L13" s="40">
        <v>0</v>
      </c>
      <c r="M13" s="40">
        <f t="shared" ref="M13:M16" si="3">L13+K13+J13+I13+H13+G13</f>
        <v>3.9299999999999997</v>
      </c>
      <c r="N13" s="40">
        <v>1.05</v>
      </c>
      <c r="O13" s="70">
        <f t="shared" ref="O13:O16" si="4">N13*M13</f>
        <v>4.1265000000000001</v>
      </c>
    </row>
    <row r="14" spans="1:15" x14ac:dyDescent="0.25">
      <c r="A14" t="s">
        <v>27</v>
      </c>
      <c r="B14" s="2">
        <v>5</v>
      </c>
      <c r="C14" s="19">
        <f>O5</f>
        <v>5.25</v>
      </c>
      <c r="D14" s="21">
        <f t="shared" si="0"/>
        <v>5.25</v>
      </c>
      <c r="F14" s="57" t="s">
        <v>492</v>
      </c>
      <c r="G14" s="40">
        <v>3</v>
      </c>
      <c r="H14" s="40">
        <v>0</v>
      </c>
      <c r="I14" s="40">
        <v>6.2E-2</v>
      </c>
      <c r="J14" s="40">
        <v>0.13</v>
      </c>
      <c r="K14" s="40">
        <v>0.7</v>
      </c>
      <c r="L14" s="40">
        <v>0</v>
      </c>
      <c r="M14" s="40">
        <f t="shared" si="3"/>
        <v>3.8919999999999999</v>
      </c>
      <c r="N14" s="40">
        <v>1.05</v>
      </c>
      <c r="O14" s="70">
        <f t="shared" si="4"/>
        <v>4.0865999999999998</v>
      </c>
    </row>
    <row r="15" spans="1:15" x14ac:dyDescent="0.25">
      <c r="A15" t="s">
        <v>29</v>
      </c>
      <c r="B15" s="2">
        <v>5</v>
      </c>
      <c r="C15" s="19">
        <f>O5</f>
        <v>5.25</v>
      </c>
      <c r="D15" s="21">
        <f t="shared" si="0"/>
        <v>5.25</v>
      </c>
      <c r="F15" s="57" t="s">
        <v>519</v>
      </c>
      <c r="G15" s="40">
        <v>3.2</v>
      </c>
      <c r="H15" s="40">
        <v>0</v>
      </c>
      <c r="I15" s="40">
        <v>0.13</v>
      </c>
      <c r="J15" s="40">
        <v>0.25</v>
      </c>
      <c r="K15" s="40">
        <v>0.8</v>
      </c>
      <c r="L15" s="40">
        <v>0</v>
      </c>
      <c r="M15" s="40">
        <f t="shared" si="3"/>
        <v>4.3800000000000008</v>
      </c>
      <c r="N15" s="40">
        <v>1.05</v>
      </c>
      <c r="O15" s="70">
        <f t="shared" si="4"/>
        <v>4.5990000000000011</v>
      </c>
    </row>
    <row r="16" spans="1:15" ht="17.25" thickBot="1" x14ac:dyDescent="0.3">
      <c r="A16" t="s">
        <v>31</v>
      </c>
      <c r="B16" s="2">
        <v>5</v>
      </c>
      <c r="C16" s="19">
        <f>O5</f>
        <v>5.25</v>
      </c>
      <c r="D16" s="21">
        <f t="shared" si="0"/>
        <v>5.25</v>
      </c>
      <c r="F16" s="59" t="s">
        <v>524</v>
      </c>
      <c r="G16" s="43">
        <v>3.2</v>
      </c>
      <c r="H16" s="43">
        <v>0</v>
      </c>
      <c r="I16" s="43">
        <v>0.14000000000000001</v>
      </c>
      <c r="J16" s="43">
        <v>0.27</v>
      </c>
      <c r="K16" s="43">
        <v>0.8</v>
      </c>
      <c r="L16" s="43">
        <v>0</v>
      </c>
      <c r="M16" s="43">
        <f t="shared" si="3"/>
        <v>4.41</v>
      </c>
      <c r="N16" s="43">
        <v>1.05</v>
      </c>
      <c r="O16" s="71">
        <f t="shared" si="4"/>
        <v>4.6305000000000005</v>
      </c>
    </row>
    <row r="17" spans="1:4" x14ac:dyDescent="0.25">
      <c r="A17" t="s">
        <v>33</v>
      </c>
      <c r="B17" s="2">
        <v>5</v>
      </c>
      <c r="C17" s="19">
        <f>O5</f>
        <v>5.25</v>
      </c>
      <c r="D17" s="21">
        <f t="shared" si="0"/>
        <v>5.25</v>
      </c>
    </row>
    <row r="18" spans="1:4" x14ac:dyDescent="0.25">
      <c r="A18" t="s">
        <v>37</v>
      </c>
      <c r="B18" s="2">
        <v>5</v>
      </c>
      <c r="C18" s="19">
        <f>O5</f>
        <v>5.25</v>
      </c>
      <c r="D18" s="21">
        <f t="shared" si="0"/>
        <v>5.25</v>
      </c>
    </row>
    <row r="19" spans="1:4" x14ac:dyDescent="0.25">
      <c r="A19" t="s">
        <v>39</v>
      </c>
      <c r="B19" s="2">
        <v>5</v>
      </c>
      <c r="C19" s="19">
        <f>O5</f>
        <v>5.25</v>
      </c>
      <c r="D19" s="21">
        <f t="shared" si="0"/>
        <v>5.25</v>
      </c>
    </row>
    <row r="20" spans="1:4" x14ac:dyDescent="0.25">
      <c r="A20" t="s">
        <v>41</v>
      </c>
      <c r="B20" s="2">
        <v>5</v>
      </c>
      <c r="C20" s="19">
        <f>O5</f>
        <v>5.25</v>
      </c>
      <c r="D20" s="21">
        <f t="shared" si="0"/>
        <v>5.25</v>
      </c>
    </row>
    <row r="21" spans="1:4" x14ac:dyDescent="0.25">
      <c r="A21" t="s">
        <v>43</v>
      </c>
      <c r="B21" s="2">
        <v>5</v>
      </c>
      <c r="C21" s="19">
        <f>O5</f>
        <v>5.25</v>
      </c>
      <c r="D21" s="21">
        <f t="shared" si="0"/>
        <v>5.25</v>
      </c>
    </row>
    <row r="22" spans="1:4" x14ac:dyDescent="0.25">
      <c r="A22" t="s">
        <v>45</v>
      </c>
      <c r="B22" s="2">
        <v>5</v>
      </c>
      <c r="C22" s="19">
        <f>O5</f>
        <v>5.25</v>
      </c>
      <c r="D22" s="21">
        <f t="shared" si="0"/>
        <v>5.25</v>
      </c>
    </row>
    <row r="23" spans="1:4" x14ac:dyDescent="0.25">
      <c r="A23" t="s">
        <v>47</v>
      </c>
      <c r="B23" s="2">
        <v>5</v>
      </c>
      <c r="C23" s="19">
        <f>O5</f>
        <v>5.25</v>
      </c>
      <c r="D23" s="21">
        <f t="shared" si="0"/>
        <v>5.25</v>
      </c>
    </row>
    <row r="24" spans="1:4" x14ac:dyDescent="0.25">
      <c r="A24" t="s">
        <v>49</v>
      </c>
      <c r="B24" s="2">
        <v>6</v>
      </c>
      <c r="C24" s="19">
        <f>O6</f>
        <v>5.25</v>
      </c>
      <c r="D24" s="21">
        <f t="shared" si="0"/>
        <v>5.25</v>
      </c>
    </row>
    <row r="25" spans="1:4" x14ac:dyDescent="0.25">
      <c r="A25" t="s">
        <v>51</v>
      </c>
      <c r="B25" s="2">
        <v>6</v>
      </c>
      <c r="C25" s="19">
        <f>O6</f>
        <v>5.25</v>
      </c>
      <c r="D25" s="21">
        <f t="shared" si="0"/>
        <v>5.25</v>
      </c>
    </row>
    <row r="26" spans="1:4" x14ac:dyDescent="0.25">
      <c r="A26" t="s">
        <v>53</v>
      </c>
      <c r="B26" s="2">
        <v>6</v>
      </c>
      <c r="C26" s="19">
        <f>O6</f>
        <v>5.25</v>
      </c>
      <c r="D26" s="21">
        <f t="shared" si="0"/>
        <v>5.25</v>
      </c>
    </row>
    <row r="27" spans="1:4" x14ac:dyDescent="0.25">
      <c r="A27" t="s">
        <v>55</v>
      </c>
      <c r="B27" s="2">
        <v>6</v>
      </c>
      <c r="C27" s="19">
        <f>O6</f>
        <v>5.25</v>
      </c>
      <c r="D27" s="21">
        <f t="shared" si="0"/>
        <v>5.25</v>
      </c>
    </row>
    <row r="28" spans="1:4" x14ac:dyDescent="0.25">
      <c r="A28" t="s">
        <v>57</v>
      </c>
      <c r="B28" s="2">
        <v>6</v>
      </c>
      <c r="C28" s="19">
        <f>O6</f>
        <v>5.25</v>
      </c>
      <c r="D28" s="21">
        <f t="shared" si="0"/>
        <v>5.25</v>
      </c>
    </row>
    <row r="29" spans="1:4" x14ac:dyDescent="0.25">
      <c r="A29" t="s">
        <v>59</v>
      </c>
      <c r="B29" s="2">
        <v>6</v>
      </c>
      <c r="C29" s="19">
        <f>O6</f>
        <v>5.25</v>
      </c>
      <c r="D29" s="21">
        <f t="shared" si="0"/>
        <v>5.25</v>
      </c>
    </row>
    <row r="30" spans="1:4" x14ac:dyDescent="0.25">
      <c r="A30" t="s">
        <v>61</v>
      </c>
      <c r="B30" s="2">
        <v>6</v>
      </c>
      <c r="C30" s="19">
        <f>O6</f>
        <v>5.25</v>
      </c>
      <c r="D30" s="21">
        <f t="shared" si="0"/>
        <v>5.25</v>
      </c>
    </row>
    <row r="31" spans="1:4" x14ac:dyDescent="0.25">
      <c r="A31" t="s">
        <v>63</v>
      </c>
      <c r="B31" s="2">
        <v>6</v>
      </c>
      <c r="C31" s="19">
        <f>O6</f>
        <v>5.25</v>
      </c>
      <c r="D31" s="21">
        <f t="shared" si="0"/>
        <v>5.25</v>
      </c>
    </row>
    <row r="32" spans="1:4" x14ac:dyDescent="0.25">
      <c r="A32" t="s">
        <v>65</v>
      </c>
      <c r="B32" s="2">
        <v>6</v>
      </c>
      <c r="C32" s="19">
        <f>O6</f>
        <v>5.25</v>
      </c>
      <c r="D32" s="21">
        <f t="shared" si="0"/>
        <v>5.25</v>
      </c>
    </row>
    <row r="33" spans="1:4" x14ac:dyDescent="0.25">
      <c r="A33" t="s">
        <v>67</v>
      </c>
      <c r="B33" s="2">
        <v>6</v>
      </c>
      <c r="C33" s="19">
        <f>O6</f>
        <v>5.25</v>
      </c>
      <c r="D33" s="21">
        <f t="shared" si="0"/>
        <v>5.25</v>
      </c>
    </row>
    <row r="34" spans="1:4" x14ac:dyDescent="0.25">
      <c r="A34" t="s">
        <v>69</v>
      </c>
      <c r="B34" s="2">
        <v>8</v>
      </c>
      <c r="C34" s="19">
        <f>O8</f>
        <v>5.4600000000000009</v>
      </c>
      <c r="D34" s="21">
        <f t="shared" si="0"/>
        <v>5.4600000000000009</v>
      </c>
    </row>
    <row r="35" spans="1:4" x14ac:dyDescent="0.25">
      <c r="A35" t="s">
        <v>71</v>
      </c>
      <c r="B35" s="2">
        <v>8</v>
      </c>
      <c r="C35" s="19">
        <f>O8</f>
        <v>5.4600000000000009</v>
      </c>
      <c r="D35" s="21">
        <f t="shared" si="0"/>
        <v>5.4600000000000009</v>
      </c>
    </row>
    <row r="36" spans="1:4" x14ac:dyDescent="0.25">
      <c r="A36" t="s">
        <v>75</v>
      </c>
      <c r="B36" s="2">
        <v>8</v>
      </c>
      <c r="C36" s="19">
        <f>O8</f>
        <v>5.4600000000000009</v>
      </c>
      <c r="D36" s="21">
        <f t="shared" si="0"/>
        <v>5.4600000000000009</v>
      </c>
    </row>
    <row r="37" spans="1:4" x14ac:dyDescent="0.25">
      <c r="A37" t="s">
        <v>73</v>
      </c>
      <c r="B37" s="2">
        <v>8</v>
      </c>
      <c r="C37" s="19">
        <f>O8</f>
        <v>5.4600000000000009</v>
      </c>
      <c r="D37" s="21">
        <f t="shared" si="0"/>
        <v>5.4600000000000009</v>
      </c>
    </row>
    <row r="38" spans="1:4" x14ac:dyDescent="0.25">
      <c r="A38" t="s">
        <v>77</v>
      </c>
      <c r="B38" s="2">
        <v>8</v>
      </c>
      <c r="C38" s="19">
        <f>O8</f>
        <v>5.4600000000000009</v>
      </c>
      <c r="D38" s="21">
        <f t="shared" si="0"/>
        <v>5.4600000000000009</v>
      </c>
    </row>
    <row r="39" spans="1:4" x14ac:dyDescent="0.25">
      <c r="A39" t="s">
        <v>79</v>
      </c>
      <c r="B39" s="2">
        <v>8</v>
      </c>
      <c r="C39" s="19">
        <f>O8</f>
        <v>5.4600000000000009</v>
      </c>
      <c r="D39" s="21">
        <f t="shared" si="0"/>
        <v>5.4600000000000009</v>
      </c>
    </row>
    <row r="40" spans="1:4" x14ac:dyDescent="0.25">
      <c r="A40" t="s">
        <v>81</v>
      </c>
      <c r="B40" s="2">
        <v>8</v>
      </c>
      <c r="C40" s="19">
        <f>O8</f>
        <v>5.4600000000000009</v>
      </c>
      <c r="D40" s="21">
        <f t="shared" si="0"/>
        <v>5.4600000000000009</v>
      </c>
    </row>
    <row r="41" spans="1:4" x14ac:dyDescent="0.25">
      <c r="A41" t="s">
        <v>83</v>
      </c>
      <c r="B41" s="2">
        <v>8</v>
      </c>
      <c r="C41" s="19">
        <f>O8</f>
        <v>5.4600000000000009</v>
      </c>
      <c r="D41" s="21">
        <f t="shared" si="0"/>
        <v>5.4600000000000009</v>
      </c>
    </row>
    <row r="42" spans="1:4" x14ac:dyDescent="0.25">
      <c r="A42" t="s">
        <v>85</v>
      </c>
      <c r="B42" s="2">
        <v>8</v>
      </c>
      <c r="C42" s="19">
        <f>O8</f>
        <v>5.4600000000000009</v>
      </c>
      <c r="D42" s="21">
        <f t="shared" si="0"/>
        <v>5.4600000000000009</v>
      </c>
    </row>
    <row r="43" spans="1:4" x14ac:dyDescent="0.25">
      <c r="A43" t="s">
        <v>87</v>
      </c>
      <c r="B43" s="2">
        <v>8</v>
      </c>
      <c r="C43" s="19">
        <f>O8</f>
        <v>5.4600000000000009</v>
      </c>
      <c r="D43" s="21">
        <f t="shared" si="0"/>
        <v>5.4600000000000009</v>
      </c>
    </row>
    <row r="44" spans="1:4" x14ac:dyDescent="0.25">
      <c r="A44" t="s">
        <v>167</v>
      </c>
      <c r="B44" s="2">
        <v>10</v>
      </c>
      <c r="C44" s="19">
        <f>O8</f>
        <v>5.4600000000000009</v>
      </c>
      <c r="D44" s="21">
        <f t="shared" si="0"/>
        <v>5.4600000000000009</v>
      </c>
    </row>
    <row r="45" spans="1:4" x14ac:dyDescent="0.25">
      <c r="A45" t="s">
        <v>169</v>
      </c>
      <c r="B45" s="2">
        <v>10</v>
      </c>
      <c r="C45" s="19" t="s">
        <v>576</v>
      </c>
      <c r="D45" s="21" t="str">
        <f t="shared" si="0"/>
        <v>N</v>
      </c>
    </row>
    <row r="46" spans="1:4" x14ac:dyDescent="0.25">
      <c r="A46" t="s">
        <v>171</v>
      </c>
      <c r="B46" s="2">
        <v>10</v>
      </c>
      <c r="C46" s="19" t="s">
        <v>576</v>
      </c>
      <c r="D46" s="21" t="str">
        <f t="shared" si="0"/>
        <v>N</v>
      </c>
    </row>
    <row r="47" spans="1:4" x14ac:dyDescent="0.25">
      <c r="A47" t="s">
        <v>173</v>
      </c>
      <c r="B47" s="2">
        <v>10</v>
      </c>
      <c r="C47" s="19" t="s">
        <v>576</v>
      </c>
      <c r="D47" s="21" t="str">
        <f t="shared" si="0"/>
        <v>N</v>
      </c>
    </row>
    <row r="48" spans="1:4" x14ac:dyDescent="0.25">
      <c r="A48" t="s">
        <v>175</v>
      </c>
      <c r="B48" s="2">
        <v>10</v>
      </c>
      <c r="C48" s="19" t="s">
        <v>576</v>
      </c>
      <c r="D48" s="21" t="str">
        <f t="shared" si="0"/>
        <v>N</v>
      </c>
    </row>
    <row r="49" spans="1:4" x14ac:dyDescent="0.25">
      <c r="A49" t="s">
        <v>89</v>
      </c>
      <c r="B49" s="2">
        <v>3</v>
      </c>
      <c r="C49" s="19" t="s">
        <v>576</v>
      </c>
      <c r="D49" s="21" t="str">
        <f t="shared" si="0"/>
        <v>N</v>
      </c>
    </row>
    <row r="50" spans="1:4" x14ac:dyDescent="0.25">
      <c r="A50" t="s">
        <v>91</v>
      </c>
      <c r="B50" s="2">
        <v>3</v>
      </c>
      <c r="C50" s="19" t="s">
        <v>576</v>
      </c>
      <c r="D50" s="21" t="str">
        <f t="shared" si="0"/>
        <v>N</v>
      </c>
    </row>
    <row r="51" spans="1:4" x14ac:dyDescent="0.25">
      <c r="A51" t="s">
        <v>93</v>
      </c>
      <c r="B51" s="2">
        <v>3</v>
      </c>
      <c r="C51" s="19" t="s">
        <v>576</v>
      </c>
      <c r="D51" s="21" t="str">
        <f t="shared" si="0"/>
        <v>N</v>
      </c>
    </row>
    <row r="52" spans="1:4" x14ac:dyDescent="0.25">
      <c r="A52" t="s">
        <v>95</v>
      </c>
      <c r="B52" s="2">
        <v>3</v>
      </c>
      <c r="C52" s="19" t="s">
        <v>576</v>
      </c>
      <c r="D52" s="21" t="str">
        <f t="shared" si="0"/>
        <v>N</v>
      </c>
    </row>
    <row r="53" spans="1:4" x14ac:dyDescent="0.25">
      <c r="A53" t="s">
        <v>97</v>
      </c>
      <c r="B53" s="2">
        <v>3</v>
      </c>
      <c r="C53" s="19" t="s">
        <v>576</v>
      </c>
      <c r="D53" s="21" t="str">
        <f t="shared" si="0"/>
        <v>N</v>
      </c>
    </row>
    <row r="54" spans="1:4" x14ac:dyDescent="0.25">
      <c r="A54" t="s">
        <v>99</v>
      </c>
      <c r="B54" s="2">
        <v>3</v>
      </c>
      <c r="C54" s="19" t="s">
        <v>576</v>
      </c>
      <c r="D54" s="21" t="str">
        <f t="shared" si="0"/>
        <v>N</v>
      </c>
    </row>
    <row r="55" spans="1:4" x14ac:dyDescent="0.25">
      <c r="A55" t="s">
        <v>101</v>
      </c>
      <c r="B55" s="2">
        <v>3</v>
      </c>
      <c r="C55" s="19" t="s">
        <v>576</v>
      </c>
      <c r="D55" s="21" t="str">
        <f t="shared" si="0"/>
        <v>N</v>
      </c>
    </row>
    <row r="56" spans="1:4" x14ac:dyDescent="0.25">
      <c r="A56" t="s">
        <v>103</v>
      </c>
      <c r="B56" s="2">
        <v>3</v>
      </c>
      <c r="C56" s="19" t="s">
        <v>576</v>
      </c>
      <c r="D56" s="21" t="str">
        <f t="shared" si="0"/>
        <v>N</v>
      </c>
    </row>
    <row r="57" spans="1:4" x14ac:dyDescent="0.25">
      <c r="A57" t="s">
        <v>105</v>
      </c>
      <c r="B57" s="2">
        <v>5</v>
      </c>
      <c r="C57" s="19">
        <f>O5</f>
        <v>5.25</v>
      </c>
      <c r="D57" s="21">
        <f t="shared" si="0"/>
        <v>5.25</v>
      </c>
    </row>
    <row r="58" spans="1:4" x14ac:dyDescent="0.25">
      <c r="A58" t="s">
        <v>107</v>
      </c>
      <c r="B58" s="2">
        <v>5</v>
      </c>
      <c r="C58" s="19">
        <f>O5</f>
        <v>5.25</v>
      </c>
      <c r="D58" s="21">
        <f t="shared" si="0"/>
        <v>5.25</v>
      </c>
    </row>
    <row r="59" spans="1:4" x14ac:dyDescent="0.25">
      <c r="A59" t="s">
        <v>109</v>
      </c>
      <c r="B59" s="2">
        <v>5</v>
      </c>
      <c r="C59" s="19">
        <f>O5</f>
        <v>5.25</v>
      </c>
      <c r="D59" s="21">
        <f t="shared" si="0"/>
        <v>5.25</v>
      </c>
    </row>
    <row r="60" spans="1:4" x14ac:dyDescent="0.25">
      <c r="A60" t="s">
        <v>111</v>
      </c>
      <c r="B60" s="2">
        <v>5</v>
      </c>
      <c r="C60" s="19">
        <f>O5</f>
        <v>5.25</v>
      </c>
      <c r="D60" s="21">
        <f t="shared" si="0"/>
        <v>5.25</v>
      </c>
    </row>
    <row r="61" spans="1:4" x14ac:dyDescent="0.25">
      <c r="A61" t="s">
        <v>113</v>
      </c>
      <c r="B61" s="2">
        <v>5</v>
      </c>
      <c r="C61" s="19">
        <f>O5</f>
        <v>5.25</v>
      </c>
      <c r="D61" s="21">
        <f t="shared" si="0"/>
        <v>5.25</v>
      </c>
    </row>
    <row r="62" spans="1:4" x14ac:dyDescent="0.25">
      <c r="A62" t="s">
        <v>115</v>
      </c>
      <c r="B62" s="2">
        <v>5</v>
      </c>
      <c r="C62" s="19">
        <f>O5</f>
        <v>5.25</v>
      </c>
      <c r="D62" s="21">
        <f t="shared" si="0"/>
        <v>5.25</v>
      </c>
    </row>
    <row r="63" spans="1:4" x14ac:dyDescent="0.25">
      <c r="A63" t="s">
        <v>117</v>
      </c>
      <c r="B63" s="2">
        <v>5</v>
      </c>
      <c r="C63" s="19">
        <f>O5</f>
        <v>5.25</v>
      </c>
      <c r="D63" s="21">
        <f t="shared" si="0"/>
        <v>5.25</v>
      </c>
    </row>
    <row r="64" spans="1:4" x14ac:dyDescent="0.25">
      <c r="A64" t="s">
        <v>119</v>
      </c>
      <c r="B64" s="2">
        <v>5</v>
      </c>
      <c r="C64" s="19">
        <f>O5</f>
        <v>5.25</v>
      </c>
      <c r="D64" s="21">
        <f t="shared" si="0"/>
        <v>5.25</v>
      </c>
    </row>
    <row r="65" spans="1:4" x14ac:dyDescent="0.25">
      <c r="A65" t="s">
        <v>121</v>
      </c>
      <c r="B65" s="2">
        <v>5</v>
      </c>
      <c r="C65" s="19">
        <f>O5</f>
        <v>5.25</v>
      </c>
      <c r="D65" s="21">
        <f t="shared" si="0"/>
        <v>5.25</v>
      </c>
    </row>
    <row r="66" spans="1:4" x14ac:dyDescent="0.25">
      <c r="A66" t="s">
        <v>123</v>
      </c>
      <c r="B66" s="2">
        <v>5</v>
      </c>
      <c r="C66" s="19">
        <f>O5</f>
        <v>5.25</v>
      </c>
      <c r="D66" s="21">
        <f t="shared" si="0"/>
        <v>5.25</v>
      </c>
    </row>
    <row r="67" spans="1:4" x14ac:dyDescent="0.25">
      <c r="A67" t="s">
        <v>125</v>
      </c>
      <c r="B67" s="2">
        <v>5</v>
      </c>
      <c r="C67" s="19">
        <f>O5</f>
        <v>5.25</v>
      </c>
      <c r="D67" s="21">
        <f t="shared" si="0"/>
        <v>5.25</v>
      </c>
    </row>
    <row r="68" spans="1:4" x14ac:dyDescent="0.25">
      <c r="A68" t="s">
        <v>127</v>
      </c>
      <c r="B68" s="2">
        <v>6</v>
      </c>
      <c r="C68" s="19">
        <f>O6</f>
        <v>5.25</v>
      </c>
      <c r="D68" s="21">
        <f t="shared" si="0"/>
        <v>5.25</v>
      </c>
    </row>
    <row r="69" spans="1:4" x14ac:dyDescent="0.25">
      <c r="A69" t="s">
        <v>129</v>
      </c>
      <c r="B69" s="2">
        <v>6</v>
      </c>
      <c r="C69" s="19">
        <f>O6</f>
        <v>5.25</v>
      </c>
      <c r="D69" s="21">
        <f t="shared" si="0"/>
        <v>5.25</v>
      </c>
    </row>
    <row r="70" spans="1:4" x14ac:dyDescent="0.25">
      <c r="A70" t="s">
        <v>131</v>
      </c>
      <c r="B70" s="2">
        <v>6</v>
      </c>
      <c r="C70" s="19">
        <f>O6</f>
        <v>5.25</v>
      </c>
      <c r="D70" s="21">
        <f t="shared" ref="D70:D133" si="5">C70</f>
        <v>5.25</v>
      </c>
    </row>
    <row r="71" spans="1:4" x14ac:dyDescent="0.25">
      <c r="A71" t="s">
        <v>133</v>
      </c>
      <c r="B71" s="2">
        <v>6</v>
      </c>
      <c r="C71" s="19">
        <f>O6</f>
        <v>5.25</v>
      </c>
      <c r="D71" s="21">
        <f t="shared" si="5"/>
        <v>5.25</v>
      </c>
    </row>
    <row r="72" spans="1:4" x14ac:dyDescent="0.25">
      <c r="A72" t="s">
        <v>135</v>
      </c>
      <c r="B72" s="2">
        <v>6</v>
      </c>
      <c r="C72" s="19">
        <f>O6</f>
        <v>5.25</v>
      </c>
      <c r="D72" s="21">
        <f t="shared" si="5"/>
        <v>5.25</v>
      </c>
    </row>
    <row r="73" spans="1:4" x14ac:dyDescent="0.25">
      <c r="A73" t="s">
        <v>137</v>
      </c>
      <c r="B73" s="2">
        <v>6</v>
      </c>
      <c r="C73" s="19">
        <f>O6</f>
        <v>5.25</v>
      </c>
      <c r="D73" s="21">
        <f t="shared" si="5"/>
        <v>5.25</v>
      </c>
    </row>
    <row r="74" spans="1:4" x14ac:dyDescent="0.25">
      <c r="A74" t="s">
        <v>139</v>
      </c>
      <c r="B74" s="2">
        <v>6</v>
      </c>
      <c r="C74" s="19">
        <f>O6</f>
        <v>5.25</v>
      </c>
      <c r="D74" s="21">
        <f t="shared" si="5"/>
        <v>5.25</v>
      </c>
    </row>
    <row r="75" spans="1:4" x14ac:dyDescent="0.25">
      <c r="A75" t="s">
        <v>141</v>
      </c>
      <c r="B75" s="2">
        <v>6</v>
      </c>
      <c r="C75" s="19">
        <f>O6</f>
        <v>5.25</v>
      </c>
      <c r="D75" s="21">
        <f t="shared" si="5"/>
        <v>5.25</v>
      </c>
    </row>
    <row r="76" spans="1:4" x14ac:dyDescent="0.25">
      <c r="A76" t="s">
        <v>143</v>
      </c>
      <c r="B76" s="2">
        <v>6</v>
      </c>
      <c r="C76" s="19">
        <f>O6</f>
        <v>5.25</v>
      </c>
      <c r="D76" s="21">
        <f t="shared" si="5"/>
        <v>5.25</v>
      </c>
    </row>
    <row r="77" spans="1:4" x14ac:dyDescent="0.25">
      <c r="A77" t="s">
        <v>145</v>
      </c>
      <c r="B77" s="2">
        <v>6</v>
      </c>
      <c r="C77" s="19">
        <f>O6</f>
        <v>5.25</v>
      </c>
      <c r="D77" s="21">
        <f t="shared" si="5"/>
        <v>5.25</v>
      </c>
    </row>
    <row r="78" spans="1:4" x14ac:dyDescent="0.25">
      <c r="A78" t="s">
        <v>147</v>
      </c>
      <c r="B78" s="2">
        <v>8</v>
      </c>
      <c r="C78" s="19">
        <f>O8</f>
        <v>5.4600000000000009</v>
      </c>
      <c r="D78" s="21">
        <f t="shared" si="5"/>
        <v>5.4600000000000009</v>
      </c>
    </row>
    <row r="79" spans="1:4" x14ac:dyDescent="0.25">
      <c r="A79" t="s">
        <v>149</v>
      </c>
      <c r="B79" s="2">
        <v>8</v>
      </c>
      <c r="C79" s="19">
        <f>O8</f>
        <v>5.4600000000000009</v>
      </c>
      <c r="D79" s="21">
        <f t="shared" si="5"/>
        <v>5.4600000000000009</v>
      </c>
    </row>
    <row r="80" spans="1:4" x14ac:dyDescent="0.25">
      <c r="A80" t="s">
        <v>151</v>
      </c>
      <c r="B80" s="2">
        <v>8</v>
      </c>
      <c r="C80" s="19">
        <f>O8</f>
        <v>5.4600000000000009</v>
      </c>
      <c r="D80" s="21">
        <f t="shared" si="5"/>
        <v>5.4600000000000009</v>
      </c>
    </row>
    <row r="81" spans="1:4" x14ac:dyDescent="0.25">
      <c r="A81" t="s">
        <v>153</v>
      </c>
      <c r="B81" s="2">
        <v>8</v>
      </c>
      <c r="C81" s="19">
        <f>O8</f>
        <v>5.4600000000000009</v>
      </c>
      <c r="D81" s="21">
        <f t="shared" si="5"/>
        <v>5.4600000000000009</v>
      </c>
    </row>
    <row r="82" spans="1:4" x14ac:dyDescent="0.25">
      <c r="A82" t="s">
        <v>155</v>
      </c>
      <c r="B82" s="2">
        <v>8</v>
      </c>
      <c r="C82" s="19">
        <f>O8</f>
        <v>5.4600000000000009</v>
      </c>
      <c r="D82" s="21">
        <f t="shared" si="5"/>
        <v>5.4600000000000009</v>
      </c>
    </row>
    <row r="83" spans="1:4" x14ac:dyDescent="0.25">
      <c r="A83" t="s">
        <v>157</v>
      </c>
      <c r="B83" s="2">
        <v>8</v>
      </c>
      <c r="C83" s="19">
        <f>O8</f>
        <v>5.4600000000000009</v>
      </c>
      <c r="D83" s="21">
        <f t="shared" si="5"/>
        <v>5.4600000000000009</v>
      </c>
    </row>
    <row r="84" spans="1:4" x14ac:dyDescent="0.25">
      <c r="A84" t="s">
        <v>159</v>
      </c>
      <c r="B84" s="2">
        <v>8</v>
      </c>
      <c r="C84" s="19">
        <f>O8</f>
        <v>5.4600000000000009</v>
      </c>
      <c r="D84" s="21">
        <f t="shared" si="5"/>
        <v>5.4600000000000009</v>
      </c>
    </row>
    <row r="85" spans="1:4" x14ac:dyDescent="0.25">
      <c r="A85" t="s">
        <v>161</v>
      </c>
      <c r="B85" s="2">
        <v>8</v>
      </c>
      <c r="C85" s="19">
        <f>O8</f>
        <v>5.4600000000000009</v>
      </c>
      <c r="D85" s="21">
        <f t="shared" si="5"/>
        <v>5.4600000000000009</v>
      </c>
    </row>
    <row r="86" spans="1:4" x14ac:dyDescent="0.25">
      <c r="A86" t="s">
        <v>163</v>
      </c>
      <c r="B86" s="2">
        <v>8</v>
      </c>
      <c r="C86" s="19">
        <f>O8</f>
        <v>5.4600000000000009</v>
      </c>
      <c r="D86" s="21">
        <f t="shared" si="5"/>
        <v>5.4600000000000009</v>
      </c>
    </row>
    <row r="87" spans="1:4" x14ac:dyDescent="0.25">
      <c r="A87" t="s">
        <v>165</v>
      </c>
      <c r="B87" s="2">
        <v>8</v>
      </c>
      <c r="C87" s="19">
        <f>O8</f>
        <v>5.4600000000000009</v>
      </c>
      <c r="D87" s="21">
        <f t="shared" si="5"/>
        <v>5.4600000000000009</v>
      </c>
    </row>
    <row r="88" spans="1:4" x14ac:dyDescent="0.25">
      <c r="A88" t="s">
        <v>177</v>
      </c>
      <c r="B88" s="2">
        <v>10</v>
      </c>
      <c r="C88" s="19" t="s">
        <v>576</v>
      </c>
      <c r="D88" s="21" t="str">
        <f t="shared" si="5"/>
        <v>N</v>
      </c>
    </row>
    <row r="89" spans="1:4" x14ac:dyDescent="0.25">
      <c r="A89" t="s">
        <v>179</v>
      </c>
      <c r="B89" s="2">
        <v>10</v>
      </c>
      <c r="C89" s="19" t="s">
        <v>576</v>
      </c>
      <c r="D89" s="21" t="str">
        <f t="shared" si="5"/>
        <v>N</v>
      </c>
    </row>
    <row r="90" spans="1:4" x14ac:dyDescent="0.25">
      <c r="A90" t="s">
        <v>181</v>
      </c>
      <c r="B90" s="2">
        <v>10</v>
      </c>
      <c r="C90" s="19" t="s">
        <v>576</v>
      </c>
      <c r="D90" s="21" t="str">
        <f t="shared" si="5"/>
        <v>N</v>
      </c>
    </row>
    <row r="91" spans="1:4" x14ac:dyDescent="0.25">
      <c r="A91" t="s">
        <v>183</v>
      </c>
      <c r="B91" s="2">
        <v>10</v>
      </c>
      <c r="C91" s="19" t="s">
        <v>576</v>
      </c>
      <c r="D91" s="21" t="str">
        <f t="shared" si="5"/>
        <v>N</v>
      </c>
    </row>
    <row r="92" spans="1:4" x14ac:dyDescent="0.25">
      <c r="A92" t="s">
        <v>185</v>
      </c>
      <c r="B92" s="2">
        <v>10</v>
      </c>
      <c r="C92" s="19" t="s">
        <v>576</v>
      </c>
      <c r="D92" s="21" t="str">
        <f t="shared" si="5"/>
        <v>N</v>
      </c>
    </row>
    <row r="93" spans="1:4" x14ac:dyDescent="0.25">
      <c r="A93" t="s">
        <v>299</v>
      </c>
      <c r="B93" s="2">
        <v>3</v>
      </c>
      <c r="C93" s="19" t="s">
        <v>576</v>
      </c>
      <c r="D93" s="21" t="str">
        <f t="shared" si="5"/>
        <v>N</v>
      </c>
    </row>
    <row r="94" spans="1:4" x14ac:dyDescent="0.25">
      <c r="A94" t="s">
        <v>187</v>
      </c>
      <c r="B94" s="2">
        <v>3</v>
      </c>
      <c r="C94" s="19" t="s">
        <v>576</v>
      </c>
      <c r="D94" s="21" t="str">
        <f t="shared" si="5"/>
        <v>N</v>
      </c>
    </row>
    <row r="95" spans="1:4" x14ac:dyDescent="0.25">
      <c r="A95" t="s">
        <v>189</v>
      </c>
      <c r="B95" s="2">
        <v>3</v>
      </c>
      <c r="C95" s="19" t="s">
        <v>576</v>
      </c>
      <c r="D95" s="21" t="str">
        <f t="shared" si="5"/>
        <v>N</v>
      </c>
    </row>
    <row r="96" spans="1:4" x14ac:dyDescent="0.25">
      <c r="A96" t="s">
        <v>191</v>
      </c>
      <c r="B96" s="2">
        <v>3</v>
      </c>
      <c r="C96" s="19" t="s">
        <v>576</v>
      </c>
      <c r="D96" s="21" t="str">
        <f t="shared" si="5"/>
        <v>N</v>
      </c>
    </row>
    <row r="97" spans="1:4" x14ac:dyDescent="0.25">
      <c r="A97" t="s">
        <v>193</v>
      </c>
      <c r="B97" s="2">
        <v>3</v>
      </c>
      <c r="C97" s="19" t="s">
        <v>576</v>
      </c>
      <c r="D97" s="21" t="str">
        <f t="shared" si="5"/>
        <v>N</v>
      </c>
    </row>
    <row r="98" spans="1:4" x14ac:dyDescent="0.25">
      <c r="A98" t="s">
        <v>195</v>
      </c>
      <c r="B98" s="2">
        <v>3</v>
      </c>
      <c r="C98" s="19" t="s">
        <v>576</v>
      </c>
      <c r="D98" s="21" t="str">
        <f t="shared" si="5"/>
        <v>N</v>
      </c>
    </row>
    <row r="99" spans="1:4" x14ac:dyDescent="0.25">
      <c r="A99" t="s">
        <v>199</v>
      </c>
      <c r="B99" s="2">
        <v>3</v>
      </c>
      <c r="C99" s="19" t="s">
        <v>576</v>
      </c>
      <c r="D99" s="21" t="str">
        <f t="shared" si="5"/>
        <v>N</v>
      </c>
    </row>
    <row r="100" spans="1:4" x14ac:dyDescent="0.25">
      <c r="A100" t="s">
        <v>197</v>
      </c>
      <c r="B100" s="2">
        <v>3</v>
      </c>
      <c r="C100" s="19" t="s">
        <v>576</v>
      </c>
      <c r="D100" s="21" t="str">
        <f t="shared" si="5"/>
        <v>N</v>
      </c>
    </row>
    <row r="101" spans="1:4" x14ac:dyDescent="0.25">
      <c r="A101" t="s">
        <v>201</v>
      </c>
      <c r="B101" s="2">
        <v>4</v>
      </c>
      <c r="C101" s="19" t="s">
        <v>576</v>
      </c>
      <c r="D101" s="21" t="str">
        <f t="shared" si="5"/>
        <v>N</v>
      </c>
    </row>
    <row r="102" spans="1:4" x14ac:dyDescent="0.25">
      <c r="A102" t="s">
        <v>203</v>
      </c>
      <c r="B102" s="2">
        <v>4</v>
      </c>
      <c r="C102" s="19" t="s">
        <v>576</v>
      </c>
      <c r="D102" s="21" t="str">
        <f t="shared" si="5"/>
        <v>N</v>
      </c>
    </row>
    <row r="103" spans="1:4" x14ac:dyDescent="0.25">
      <c r="A103" t="s">
        <v>205</v>
      </c>
      <c r="B103" s="2">
        <v>4</v>
      </c>
      <c r="C103" s="19" t="s">
        <v>576</v>
      </c>
      <c r="D103" s="21" t="str">
        <f t="shared" si="5"/>
        <v>N</v>
      </c>
    </row>
    <row r="104" spans="1:4" x14ac:dyDescent="0.25">
      <c r="A104" t="s">
        <v>207</v>
      </c>
      <c r="B104" s="2">
        <v>4</v>
      </c>
      <c r="C104" s="19" t="s">
        <v>576</v>
      </c>
      <c r="D104" s="21" t="str">
        <f t="shared" si="5"/>
        <v>N</v>
      </c>
    </row>
    <row r="105" spans="1:4" x14ac:dyDescent="0.25">
      <c r="A105" t="s">
        <v>209</v>
      </c>
      <c r="B105" s="2">
        <v>4</v>
      </c>
      <c r="C105" s="19" t="s">
        <v>576</v>
      </c>
      <c r="D105" s="21" t="str">
        <f t="shared" si="5"/>
        <v>N</v>
      </c>
    </row>
    <row r="106" spans="1:4" x14ac:dyDescent="0.25">
      <c r="A106" t="s">
        <v>217</v>
      </c>
      <c r="B106" s="2">
        <v>4</v>
      </c>
      <c r="C106" s="19" t="s">
        <v>576</v>
      </c>
      <c r="D106" s="21" t="str">
        <f t="shared" si="5"/>
        <v>N</v>
      </c>
    </row>
    <row r="107" spans="1:4" x14ac:dyDescent="0.25">
      <c r="A107" t="s">
        <v>211</v>
      </c>
      <c r="B107" s="2">
        <v>4</v>
      </c>
      <c r="C107" s="19" t="s">
        <v>576</v>
      </c>
      <c r="D107" s="21" t="str">
        <f t="shared" si="5"/>
        <v>N</v>
      </c>
    </row>
    <row r="108" spans="1:4" x14ac:dyDescent="0.25">
      <c r="A108" t="s">
        <v>213</v>
      </c>
      <c r="B108" s="2">
        <v>4</v>
      </c>
      <c r="C108" s="19" t="s">
        <v>576</v>
      </c>
      <c r="D108" s="21" t="str">
        <f t="shared" si="5"/>
        <v>N</v>
      </c>
    </row>
    <row r="109" spans="1:4" x14ac:dyDescent="0.25">
      <c r="A109" t="s">
        <v>215</v>
      </c>
      <c r="B109" s="2">
        <v>4</v>
      </c>
      <c r="C109" s="19" t="s">
        <v>576</v>
      </c>
      <c r="D109" s="21" t="str">
        <f t="shared" si="5"/>
        <v>N</v>
      </c>
    </row>
    <row r="110" spans="1:4" x14ac:dyDescent="0.25">
      <c r="A110" t="s">
        <v>219</v>
      </c>
      <c r="B110" s="2">
        <v>4</v>
      </c>
      <c r="C110" s="19" t="s">
        <v>576</v>
      </c>
      <c r="D110" s="21" t="str">
        <f t="shared" si="5"/>
        <v>N</v>
      </c>
    </row>
    <row r="111" spans="1:4" x14ac:dyDescent="0.25">
      <c r="A111" t="s">
        <v>295</v>
      </c>
      <c r="B111" s="2">
        <v>5</v>
      </c>
      <c r="C111" s="19">
        <f>O5</f>
        <v>5.25</v>
      </c>
      <c r="D111" s="21">
        <f t="shared" si="5"/>
        <v>5.25</v>
      </c>
    </row>
    <row r="112" spans="1:4" x14ac:dyDescent="0.25">
      <c r="A112" t="s">
        <v>221</v>
      </c>
      <c r="B112" s="2">
        <v>5</v>
      </c>
      <c r="C112" s="19">
        <f>O5</f>
        <v>5.25</v>
      </c>
      <c r="D112" s="21">
        <f t="shared" si="5"/>
        <v>5.25</v>
      </c>
    </row>
    <row r="113" spans="1:4" x14ac:dyDescent="0.25">
      <c r="A113" t="s">
        <v>223</v>
      </c>
      <c r="B113" s="2">
        <v>5</v>
      </c>
      <c r="C113" s="19">
        <f>O5</f>
        <v>5.25</v>
      </c>
      <c r="D113" s="21">
        <f t="shared" si="5"/>
        <v>5.25</v>
      </c>
    </row>
    <row r="114" spans="1:4" x14ac:dyDescent="0.25">
      <c r="A114" t="s">
        <v>225</v>
      </c>
      <c r="B114" s="2">
        <v>5</v>
      </c>
      <c r="C114" s="19">
        <f>O5</f>
        <v>5.25</v>
      </c>
      <c r="D114" s="21">
        <f t="shared" si="5"/>
        <v>5.25</v>
      </c>
    </row>
    <row r="115" spans="1:4" x14ac:dyDescent="0.25">
      <c r="A115" t="s">
        <v>227</v>
      </c>
      <c r="B115" s="2">
        <v>5</v>
      </c>
      <c r="C115" s="19">
        <f>O5</f>
        <v>5.25</v>
      </c>
      <c r="D115" s="21">
        <f t="shared" si="5"/>
        <v>5.25</v>
      </c>
    </row>
    <row r="116" spans="1:4" x14ac:dyDescent="0.25">
      <c r="A116" t="s">
        <v>229</v>
      </c>
      <c r="B116" s="2">
        <v>5</v>
      </c>
      <c r="C116" s="19">
        <f>O5</f>
        <v>5.25</v>
      </c>
      <c r="D116" s="21">
        <f t="shared" si="5"/>
        <v>5.25</v>
      </c>
    </row>
    <row r="117" spans="1:4" x14ac:dyDescent="0.25">
      <c r="A117" t="s">
        <v>231</v>
      </c>
      <c r="B117" s="2">
        <v>5</v>
      </c>
      <c r="C117" s="19">
        <f>O5</f>
        <v>5.25</v>
      </c>
      <c r="D117" s="21">
        <f t="shared" si="5"/>
        <v>5.25</v>
      </c>
    </row>
    <row r="118" spans="1:4" x14ac:dyDescent="0.25">
      <c r="A118" t="s">
        <v>233</v>
      </c>
      <c r="B118" s="2">
        <v>5</v>
      </c>
      <c r="C118" s="19">
        <f>O5</f>
        <v>5.25</v>
      </c>
      <c r="D118" s="21">
        <f t="shared" si="5"/>
        <v>5.25</v>
      </c>
    </row>
    <row r="119" spans="1:4" x14ac:dyDescent="0.25">
      <c r="A119" t="s">
        <v>235</v>
      </c>
      <c r="B119" s="2">
        <v>5</v>
      </c>
      <c r="C119" s="19">
        <f>O5</f>
        <v>5.25</v>
      </c>
      <c r="D119" s="21">
        <f t="shared" si="5"/>
        <v>5.25</v>
      </c>
    </row>
    <row r="120" spans="1:4" x14ac:dyDescent="0.25">
      <c r="A120" t="s">
        <v>237</v>
      </c>
      <c r="B120" s="2">
        <v>5</v>
      </c>
      <c r="C120" s="19">
        <f>O5</f>
        <v>5.25</v>
      </c>
      <c r="D120" s="21">
        <f t="shared" si="5"/>
        <v>5.25</v>
      </c>
    </row>
    <row r="121" spans="1:4" x14ac:dyDescent="0.25">
      <c r="A121" t="s">
        <v>239</v>
      </c>
      <c r="B121" s="2">
        <v>5</v>
      </c>
      <c r="C121" s="19">
        <f>O5</f>
        <v>5.25</v>
      </c>
      <c r="D121" s="21">
        <f t="shared" si="5"/>
        <v>5.25</v>
      </c>
    </row>
    <row r="122" spans="1:4" x14ac:dyDescent="0.25">
      <c r="A122" t="s">
        <v>297</v>
      </c>
      <c r="B122" s="2">
        <v>6</v>
      </c>
      <c r="C122" s="19">
        <f>O6</f>
        <v>5.25</v>
      </c>
      <c r="D122" s="21">
        <f t="shared" si="5"/>
        <v>5.25</v>
      </c>
    </row>
    <row r="123" spans="1:4" x14ac:dyDescent="0.25">
      <c r="A123" t="s">
        <v>241</v>
      </c>
      <c r="B123" s="2">
        <v>6</v>
      </c>
      <c r="C123" s="19">
        <f>O6</f>
        <v>5.25</v>
      </c>
      <c r="D123" s="21">
        <f t="shared" si="5"/>
        <v>5.25</v>
      </c>
    </row>
    <row r="124" spans="1:4" x14ac:dyDescent="0.25">
      <c r="A124" t="s">
        <v>243</v>
      </c>
      <c r="B124" s="2">
        <v>6</v>
      </c>
      <c r="C124" s="19">
        <f>O6</f>
        <v>5.25</v>
      </c>
      <c r="D124" s="21">
        <f t="shared" si="5"/>
        <v>5.25</v>
      </c>
    </row>
    <row r="125" spans="1:4" x14ac:dyDescent="0.25">
      <c r="A125" t="s">
        <v>245</v>
      </c>
      <c r="B125" s="2">
        <v>6</v>
      </c>
      <c r="C125" s="19">
        <f>O6</f>
        <v>5.25</v>
      </c>
      <c r="D125" s="21">
        <f t="shared" si="5"/>
        <v>5.25</v>
      </c>
    </row>
    <row r="126" spans="1:4" x14ac:dyDescent="0.25">
      <c r="A126" t="s">
        <v>247</v>
      </c>
      <c r="B126" s="2">
        <v>6</v>
      </c>
      <c r="C126" s="19">
        <f>O6</f>
        <v>5.25</v>
      </c>
      <c r="D126" s="21">
        <f t="shared" si="5"/>
        <v>5.25</v>
      </c>
    </row>
    <row r="127" spans="1:4" x14ac:dyDescent="0.25">
      <c r="A127" t="s">
        <v>249</v>
      </c>
      <c r="B127" s="2">
        <v>6</v>
      </c>
      <c r="C127" s="19">
        <f>O6</f>
        <v>5.25</v>
      </c>
      <c r="D127" s="21">
        <f t="shared" si="5"/>
        <v>5.25</v>
      </c>
    </row>
    <row r="128" spans="1:4" x14ac:dyDescent="0.25">
      <c r="A128" t="s">
        <v>251</v>
      </c>
      <c r="B128" s="2">
        <v>6</v>
      </c>
      <c r="C128" s="19">
        <f>O6</f>
        <v>5.25</v>
      </c>
      <c r="D128" s="21">
        <f t="shared" si="5"/>
        <v>5.25</v>
      </c>
    </row>
    <row r="129" spans="1:4" x14ac:dyDescent="0.25">
      <c r="A129" t="s">
        <v>253</v>
      </c>
      <c r="B129" s="2">
        <v>6</v>
      </c>
      <c r="C129" s="19">
        <f>O6</f>
        <v>5.25</v>
      </c>
      <c r="D129" s="21">
        <f t="shared" si="5"/>
        <v>5.25</v>
      </c>
    </row>
    <row r="130" spans="1:4" x14ac:dyDescent="0.25">
      <c r="A130" t="s">
        <v>255</v>
      </c>
      <c r="B130" s="2">
        <v>6</v>
      </c>
      <c r="C130" s="19">
        <f>O6</f>
        <v>5.25</v>
      </c>
      <c r="D130" s="21">
        <f t="shared" si="5"/>
        <v>5.25</v>
      </c>
    </row>
    <row r="131" spans="1:4" x14ac:dyDescent="0.25">
      <c r="A131" t="s">
        <v>257</v>
      </c>
      <c r="B131" s="2">
        <v>6</v>
      </c>
      <c r="C131" s="19">
        <f>O6</f>
        <v>5.25</v>
      </c>
      <c r="D131" s="21">
        <f t="shared" si="5"/>
        <v>5.25</v>
      </c>
    </row>
    <row r="132" spans="1:4" x14ac:dyDescent="0.25">
      <c r="A132" t="s">
        <v>259</v>
      </c>
      <c r="B132" s="2">
        <v>6</v>
      </c>
      <c r="C132" s="19">
        <f>O6</f>
        <v>5.25</v>
      </c>
      <c r="D132" s="21">
        <f t="shared" si="5"/>
        <v>5.25</v>
      </c>
    </row>
    <row r="133" spans="1:4" x14ac:dyDescent="0.25">
      <c r="A133" t="s">
        <v>261</v>
      </c>
      <c r="B133" s="2">
        <v>7</v>
      </c>
      <c r="C133" s="19">
        <f>O7</f>
        <v>5.4600000000000009</v>
      </c>
      <c r="D133" s="21">
        <f t="shared" si="5"/>
        <v>5.4600000000000009</v>
      </c>
    </row>
    <row r="134" spans="1:4" x14ac:dyDescent="0.25">
      <c r="A134" t="s">
        <v>263</v>
      </c>
      <c r="B134" s="2">
        <v>7</v>
      </c>
      <c r="C134" s="19">
        <f>O7</f>
        <v>5.4600000000000009</v>
      </c>
      <c r="D134" s="21">
        <f t="shared" ref="D134:D197" si="6">C134</f>
        <v>5.4600000000000009</v>
      </c>
    </row>
    <row r="135" spans="1:4" x14ac:dyDescent="0.25">
      <c r="A135" t="s">
        <v>265</v>
      </c>
      <c r="B135" s="2">
        <v>7</v>
      </c>
      <c r="C135" s="19">
        <f>O7</f>
        <v>5.4600000000000009</v>
      </c>
      <c r="D135" s="21">
        <f t="shared" si="6"/>
        <v>5.4600000000000009</v>
      </c>
    </row>
    <row r="136" spans="1:4" x14ac:dyDescent="0.25">
      <c r="A136" t="s">
        <v>267</v>
      </c>
      <c r="B136" s="2">
        <v>7</v>
      </c>
      <c r="C136" s="19">
        <f>O7</f>
        <v>5.4600000000000009</v>
      </c>
      <c r="D136" s="21">
        <f t="shared" si="6"/>
        <v>5.4600000000000009</v>
      </c>
    </row>
    <row r="137" spans="1:4" x14ac:dyDescent="0.25">
      <c r="A137" t="s">
        <v>269</v>
      </c>
      <c r="B137" s="2">
        <v>7</v>
      </c>
      <c r="C137" s="19">
        <f>O7</f>
        <v>5.4600000000000009</v>
      </c>
      <c r="D137" s="21">
        <f t="shared" si="6"/>
        <v>5.4600000000000009</v>
      </c>
    </row>
    <row r="138" spans="1:4" x14ac:dyDescent="0.25">
      <c r="A138" t="s">
        <v>271</v>
      </c>
      <c r="B138" s="2">
        <v>7</v>
      </c>
      <c r="C138" s="19">
        <f>O7</f>
        <v>5.4600000000000009</v>
      </c>
      <c r="D138" s="21">
        <f t="shared" si="6"/>
        <v>5.4600000000000009</v>
      </c>
    </row>
    <row r="139" spans="1:4" x14ac:dyDescent="0.25">
      <c r="A139" t="s">
        <v>273</v>
      </c>
      <c r="B139" s="2">
        <v>7</v>
      </c>
      <c r="C139" s="19">
        <f>O7</f>
        <v>5.4600000000000009</v>
      </c>
      <c r="D139" s="21">
        <f t="shared" si="6"/>
        <v>5.4600000000000009</v>
      </c>
    </row>
    <row r="140" spans="1:4" x14ac:dyDescent="0.25">
      <c r="A140" t="s">
        <v>275</v>
      </c>
      <c r="B140" s="2">
        <v>7</v>
      </c>
      <c r="C140" s="19">
        <f>O7</f>
        <v>5.4600000000000009</v>
      </c>
      <c r="D140" s="21">
        <f t="shared" si="6"/>
        <v>5.4600000000000009</v>
      </c>
    </row>
    <row r="141" spans="1:4" x14ac:dyDescent="0.25">
      <c r="A141" t="s">
        <v>277</v>
      </c>
      <c r="B141" s="2">
        <v>7</v>
      </c>
      <c r="C141" s="19">
        <f>O7</f>
        <v>5.4600000000000009</v>
      </c>
      <c r="D141" s="21">
        <f t="shared" si="6"/>
        <v>5.4600000000000009</v>
      </c>
    </row>
    <row r="142" spans="1:4" x14ac:dyDescent="0.25">
      <c r="A142" t="s">
        <v>279</v>
      </c>
      <c r="B142" s="2">
        <v>8</v>
      </c>
      <c r="C142" s="19">
        <f>O8</f>
        <v>5.4600000000000009</v>
      </c>
      <c r="D142" s="21">
        <f t="shared" si="6"/>
        <v>5.4600000000000009</v>
      </c>
    </row>
    <row r="143" spans="1:4" x14ac:dyDescent="0.25">
      <c r="A143" t="s">
        <v>281</v>
      </c>
      <c r="B143" s="2">
        <v>8</v>
      </c>
      <c r="C143" s="19">
        <f>O8</f>
        <v>5.4600000000000009</v>
      </c>
      <c r="D143" s="21">
        <f t="shared" si="6"/>
        <v>5.4600000000000009</v>
      </c>
    </row>
    <row r="144" spans="1:4" x14ac:dyDescent="0.25">
      <c r="A144" t="s">
        <v>283</v>
      </c>
      <c r="B144" s="2">
        <v>8</v>
      </c>
      <c r="C144" s="19">
        <f>O8</f>
        <v>5.4600000000000009</v>
      </c>
      <c r="D144" s="21">
        <f t="shared" si="6"/>
        <v>5.4600000000000009</v>
      </c>
    </row>
    <row r="145" spans="1:4" x14ac:dyDescent="0.25">
      <c r="A145" t="s">
        <v>285</v>
      </c>
      <c r="B145" s="2">
        <v>8</v>
      </c>
      <c r="C145" s="19">
        <f>O8</f>
        <v>5.4600000000000009</v>
      </c>
      <c r="D145" s="21">
        <f t="shared" si="6"/>
        <v>5.4600000000000009</v>
      </c>
    </row>
    <row r="146" spans="1:4" x14ac:dyDescent="0.25">
      <c r="A146" t="s">
        <v>287</v>
      </c>
      <c r="B146" s="2">
        <v>8</v>
      </c>
      <c r="C146" s="19">
        <f>O8</f>
        <v>5.4600000000000009</v>
      </c>
      <c r="D146" s="21">
        <f t="shared" si="6"/>
        <v>5.4600000000000009</v>
      </c>
    </row>
    <row r="147" spans="1:4" x14ac:dyDescent="0.25">
      <c r="A147" t="s">
        <v>289</v>
      </c>
      <c r="B147" s="2">
        <v>8</v>
      </c>
      <c r="C147" s="19">
        <f>O8</f>
        <v>5.4600000000000009</v>
      </c>
      <c r="D147" s="21">
        <f t="shared" si="6"/>
        <v>5.4600000000000009</v>
      </c>
    </row>
    <row r="148" spans="1:4" x14ac:dyDescent="0.25">
      <c r="A148" t="s">
        <v>291</v>
      </c>
      <c r="B148" s="2">
        <v>8</v>
      </c>
      <c r="C148" s="19">
        <f>O8</f>
        <v>5.4600000000000009</v>
      </c>
      <c r="D148" s="21">
        <f t="shared" si="6"/>
        <v>5.4600000000000009</v>
      </c>
    </row>
    <row r="149" spans="1:4" x14ac:dyDescent="0.25">
      <c r="A149" t="s">
        <v>293</v>
      </c>
      <c r="B149" s="2">
        <v>8</v>
      </c>
      <c r="C149" s="19">
        <f>O8</f>
        <v>5.4600000000000009</v>
      </c>
      <c r="D149" s="21">
        <f t="shared" si="6"/>
        <v>5.4600000000000009</v>
      </c>
    </row>
    <row r="150" spans="1:4" x14ac:dyDescent="0.25">
      <c r="A150" t="s">
        <v>349</v>
      </c>
      <c r="B150" s="2">
        <v>3</v>
      </c>
      <c r="C150" s="19" t="s">
        <v>576</v>
      </c>
      <c r="D150" s="21" t="str">
        <f t="shared" si="6"/>
        <v>N</v>
      </c>
    </row>
    <row r="151" spans="1:4" x14ac:dyDescent="0.25">
      <c r="A151" t="s">
        <v>351</v>
      </c>
      <c r="B151" s="2">
        <v>3</v>
      </c>
      <c r="C151" s="19" t="s">
        <v>576</v>
      </c>
      <c r="D151" s="21" t="str">
        <f t="shared" si="6"/>
        <v>N</v>
      </c>
    </row>
    <row r="152" spans="1:4" x14ac:dyDescent="0.25">
      <c r="A152" t="s">
        <v>353</v>
      </c>
      <c r="B152" s="2">
        <v>3</v>
      </c>
      <c r="C152" s="19" t="s">
        <v>576</v>
      </c>
      <c r="D152" s="21" t="str">
        <f t="shared" si="6"/>
        <v>N</v>
      </c>
    </row>
    <row r="153" spans="1:4" x14ac:dyDescent="0.25">
      <c r="A153" t="s">
        <v>355</v>
      </c>
      <c r="B153" s="2">
        <v>3</v>
      </c>
      <c r="C153" s="19" t="s">
        <v>576</v>
      </c>
      <c r="D153" s="21" t="str">
        <f t="shared" si="6"/>
        <v>N</v>
      </c>
    </row>
    <row r="154" spans="1:4" x14ac:dyDescent="0.25">
      <c r="A154" t="s">
        <v>357</v>
      </c>
      <c r="B154" s="2">
        <v>3</v>
      </c>
      <c r="C154" s="19" t="s">
        <v>576</v>
      </c>
      <c r="D154" s="21" t="str">
        <f t="shared" si="6"/>
        <v>N</v>
      </c>
    </row>
    <row r="155" spans="1:4" x14ac:dyDescent="0.25">
      <c r="A155" t="s">
        <v>359</v>
      </c>
      <c r="B155" s="2">
        <v>3</v>
      </c>
      <c r="C155" s="19" t="s">
        <v>576</v>
      </c>
      <c r="D155" s="21" t="str">
        <f t="shared" si="6"/>
        <v>N</v>
      </c>
    </row>
    <row r="156" spans="1:4" x14ac:dyDescent="0.25">
      <c r="A156" t="s">
        <v>361</v>
      </c>
      <c r="B156" s="2">
        <v>3</v>
      </c>
      <c r="C156" s="19" t="s">
        <v>576</v>
      </c>
      <c r="D156" s="21" t="str">
        <f t="shared" si="6"/>
        <v>N</v>
      </c>
    </row>
    <row r="157" spans="1:4" x14ac:dyDescent="0.25">
      <c r="A157" t="s">
        <v>363</v>
      </c>
      <c r="B157" s="2">
        <v>3</v>
      </c>
      <c r="C157" s="19" t="s">
        <v>576</v>
      </c>
      <c r="D157" s="21" t="str">
        <f t="shared" si="6"/>
        <v>N</v>
      </c>
    </row>
    <row r="158" spans="1:4" x14ac:dyDescent="0.25">
      <c r="A158" t="s">
        <v>365</v>
      </c>
      <c r="B158" s="2">
        <v>4</v>
      </c>
      <c r="C158" s="19" t="s">
        <v>576</v>
      </c>
      <c r="D158" s="21" t="str">
        <f t="shared" si="6"/>
        <v>N</v>
      </c>
    </row>
    <row r="159" spans="1:4" x14ac:dyDescent="0.25">
      <c r="A159" t="s">
        <v>367</v>
      </c>
      <c r="B159" s="2">
        <v>4</v>
      </c>
      <c r="C159" s="19" t="s">
        <v>576</v>
      </c>
      <c r="D159" s="21" t="str">
        <f t="shared" si="6"/>
        <v>N</v>
      </c>
    </row>
    <row r="160" spans="1:4" x14ac:dyDescent="0.25">
      <c r="A160" t="s">
        <v>369</v>
      </c>
      <c r="B160" s="2">
        <v>4</v>
      </c>
      <c r="C160" s="19" t="s">
        <v>576</v>
      </c>
      <c r="D160" s="21" t="str">
        <f t="shared" si="6"/>
        <v>N</v>
      </c>
    </row>
    <row r="161" spans="1:4" x14ac:dyDescent="0.25">
      <c r="A161" t="s">
        <v>371</v>
      </c>
      <c r="B161" s="2">
        <v>4</v>
      </c>
      <c r="C161" s="19" t="s">
        <v>576</v>
      </c>
      <c r="D161" s="21" t="str">
        <f t="shared" si="6"/>
        <v>N</v>
      </c>
    </row>
    <row r="162" spans="1:4" x14ac:dyDescent="0.25">
      <c r="A162" t="s">
        <v>373</v>
      </c>
      <c r="B162" s="2">
        <v>4</v>
      </c>
      <c r="C162" s="19" t="s">
        <v>576</v>
      </c>
      <c r="D162" s="21" t="str">
        <f t="shared" si="6"/>
        <v>N</v>
      </c>
    </row>
    <row r="163" spans="1:4" x14ac:dyDescent="0.25">
      <c r="A163" t="s">
        <v>375</v>
      </c>
      <c r="B163" s="2">
        <v>4</v>
      </c>
      <c r="C163" s="19" t="s">
        <v>576</v>
      </c>
      <c r="D163" s="21" t="str">
        <f t="shared" si="6"/>
        <v>N</v>
      </c>
    </row>
    <row r="164" spans="1:4" x14ac:dyDescent="0.25">
      <c r="A164" t="s">
        <v>377</v>
      </c>
      <c r="B164" s="2">
        <v>4</v>
      </c>
      <c r="C164" s="19" t="s">
        <v>576</v>
      </c>
      <c r="D164" s="21" t="str">
        <f t="shared" si="6"/>
        <v>N</v>
      </c>
    </row>
    <row r="165" spans="1:4" x14ac:dyDescent="0.25">
      <c r="A165" t="s">
        <v>379</v>
      </c>
      <c r="B165" s="2">
        <v>4</v>
      </c>
      <c r="C165" s="19" t="s">
        <v>576</v>
      </c>
      <c r="D165" s="21" t="str">
        <f t="shared" si="6"/>
        <v>N</v>
      </c>
    </row>
    <row r="166" spans="1:4" x14ac:dyDescent="0.25">
      <c r="A166" t="s">
        <v>381</v>
      </c>
      <c r="B166" s="2">
        <v>4</v>
      </c>
      <c r="C166" s="19" t="s">
        <v>576</v>
      </c>
      <c r="D166" s="21" t="str">
        <f t="shared" si="6"/>
        <v>N</v>
      </c>
    </row>
    <row r="167" spans="1:4" x14ac:dyDescent="0.25">
      <c r="A167" t="s">
        <v>383</v>
      </c>
      <c r="B167" s="2">
        <v>4</v>
      </c>
      <c r="C167" s="19" t="s">
        <v>576</v>
      </c>
      <c r="D167" s="21" t="str">
        <f t="shared" si="6"/>
        <v>N</v>
      </c>
    </row>
    <row r="168" spans="1:4" x14ac:dyDescent="0.25">
      <c r="A168" t="s">
        <v>385</v>
      </c>
      <c r="B168" s="2">
        <v>5</v>
      </c>
      <c r="C168" s="19">
        <f>O5</f>
        <v>5.25</v>
      </c>
      <c r="D168" s="21">
        <f t="shared" si="6"/>
        <v>5.25</v>
      </c>
    </row>
    <row r="169" spans="1:4" x14ac:dyDescent="0.25">
      <c r="A169" t="s">
        <v>387</v>
      </c>
      <c r="B169" s="2">
        <v>5</v>
      </c>
      <c r="C169" s="19">
        <f>O5</f>
        <v>5.25</v>
      </c>
      <c r="D169" s="21">
        <f t="shared" si="6"/>
        <v>5.25</v>
      </c>
    </row>
    <row r="170" spans="1:4" x14ac:dyDescent="0.25">
      <c r="A170" t="s">
        <v>389</v>
      </c>
      <c r="B170" s="2">
        <v>5</v>
      </c>
      <c r="C170" s="19">
        <f>O5</f>
        <v>5.25</v>
      </c>
      <c r="D170" s="21">
        <f t="shared" si="6"/>
        <v>5.25</v>
      </c>
    </row>
    <row r="171" spans="1:4" x14ac:dyDescent="0.25">
      <c r="A171" t="s">
        <v>391</v>
      </c>
      <c r="B171" s="2">
        <v>5</v>
      </c>
      <c r="C171" s="19">
        <f>O5</f>
        <v>5.25</v>
      </c>
      <c r="D171" s="21">
        <f t="shared" si="6"/>
        <v>5.25</v>
      </c>
    </row>
    <row r="172" spans="1:4" x14ac:dyDescent="0.25">
      <c r="A172" t="s">
        <v>393</v>
      </c>
      <c r="B172" s="2">
        <v>5</v>
      </c>
      <c r="C172" s="19">
        <f>O5</f>
        <v>5.25</v>
      </c>
      <c r="D172" s="21">
        <f t="shared" si="6"/>
        <v>5.25</v>
      </c>
    </row>
    <row r="173" spans="1:4" x14ac:dyDescent="0.25">
      <c r="A173" t="s">
        <v>395</v>
      </c>
      <c r="B173" s="2">
        <v>5</v>
      </c>
      <c r="C173" s="19">
        <f>O5</f>
        <v>5.25</v>
      </c>
      <c r="D173" s="21">
        <f t="shared" si="6"/>
        <v>5.25</v>
      </c>
    </row>
    <row r="174" spans="1:4" x14ac:dyDescent="0.25">
      <c r="A174" t="s">
        <v>397</v>
      </c>
      <c r="B174" s="2">
        <v>5</v>
      </c>
      <c r="C174" s="19">
        <f>O5</f>
        <v>5.25</v>
      </c>
      <c r="D174" s="21">
        <f t="shared" si="6"/>
        <v>5.25</v>
      </c>
    </row>
    <row r="175" spans="1:4" x14ac:dyDescent="0.25">
      <c r="A175" t="s">
        <v>399</v>
      </c>
      <c r="B175" s="2">
        <v>5</v>
      </c>
      <c r="C175" s="19">
        <f>O5</f>
        <v>5.25</v>
      </c>
      <c r="D175" s="21">
        <f t="shared" si="6"/>
        <v>5.25</v>
      </c>
    </row>
    <row r="176" spans="1:4" x14ac:dyDescent="0.25">
      <c r="A176" t="s">
        <v>401</v>
      </c>
      <c r="B176" s="2">
        <v>5</v>
      </c>
      <c r="C176" s="19">
        <f>O5</f>
        <v>5.25</v>
      </c>
      <c r="D176" s="21">
        <f t="shared" si="6"/>
        <v>5.25</v>
      </c>
    </row>
    <row r="177" spans="1:4" x14ac:dyDescent="0.25">
      <c r="A177" t="s">
        <v>403</v>
      </c>
      <c r="B177" s="2">
        <v>5</v>
      </c>
      <c r="C177" s="19">
        <f>O5</f>
        <v>5.25</v>
      </c>
      <c r="D177" s="21">
        <f t="shared" si="6"/>
        <v>5.25</v>
      </c>
    </row>
    <row r="178" spans="1:4" x14ac:dyDescent="0.25">
      <c r="A178" t="s">
        <v>405</v>
      </c>
      <c r="B178" s="2">
        <v>5</v>
      </c>
      <c r="C178" s="19">
        <f>O5</f>
        <v>5.25</v>
      </c>
      <c r="D178" s="21">
        <f t="shared" si="6"/>
        <v>5.25</v>
      </c>
    </row>
    <row r="179" spans="1:4" x14ac:dyDescent="0.25">
      <c r="A179" t="s">
        <v>456</v>
      </c>
      <c r="B179" s="2">
        <v>6</v>
      </c>
      <c r="C179" s="19">
        <f>O6</f>
        <v>5.25</v>
      </c>
      <c r="D179" s="21">
        <f t="shared" si="6"/>
        <v>5.25</v>
      </c>
    </row>
    <row r="180" spans="1:4" x14ac:dyDescent="0.25">
      <c r="A180" t="s">
        <v>458</v>
      </c>
      <c r="B180" s="2">
        <v>6</v>
      </c>
      <c r="C180" s="19">
        <f>O6</f>
        <v>5.25</v>
      </c>
      <c r="D180" s="21">
        <f t="shared" si="6"/>
        <v>5.25</v>
      </c>
    </row>
    <row r="181" spans="1:4" x14ac:dyDescent="0.25">
      <c r="A181" t="s">
        <v>460</v>
      </c>
      <c r="B181" s="2">
        <v>6</v>
      </c>
      <c r="C181" s="19">
        <f>O6</f>
        <v>5.25</v>
      </c>
      <c r="D181" s="21">
        <f t="shared" si="6"/>
        <v>5.25</v>
      </c>
    </row>
    <row r="182" spans="1:4" x14ac:dyDescent="0.25">
      <c r="A182" t="s">
        <v>462</v>
      </c>
      <c r="B182" s="2">
        <v>6</v>
      </c>
      <c r="C182" s="19">
        <f>O6</f>
        <v>5.25</v>
      </c>
      <c r="D182" s="21">
        <f t="shared" si="6"/>
        <v>5.25</v>
      </c>
    </row>
    <row r="183" spans="1:4" x14ac:dyDescent="0.25">
      <c r="A183" t="s">
        <v>464</v>
      </c>
      <c r="B183" s="2">
        <v>6</v>
      </c>
      <c r="C183" s="19">
        <f>O6</f>
        <v>5.25</v>
      </c>
      <c r="D183" s="21">
        <f t="shared" si="6"/>
        <v>5.25</v>
      </c>
    </row>
    <row r="184" spans="1:4" x14ac:dyDescent="0.25">
      <c r="A184" t="s">
        <v>466</v>
      </c>
      <c r="B184" s="2">
        <v>6</v>
      </c>
      <c r="C184" s="19">
        <f>O6</f>
        <v>5.25</v>
      </c>
      <c r="D184" s="21">
        <f t="shared" si="6"/>
        <v>5.25</v>
      </c>
    </row>
    <row r="185" spans="1:4" x14ac:dyDescent="0.25">
      <c r="A185" t="s">
        <v>468</v>
      </c>
      <c r="B185" s="2">
        <v>6</v>
      </c>
      <c r="C185" s="19">
        <f>O6</f>
        <v>5.25</v>
      </c>
      <c r="D185" s="21">
        <f t="shared" si="6"/>
        <v>5.25</v>
      </c>
    </row>
    <row r="186" spans="1:4" x14ac:dyDescent="0.25">
      <c r="A186" t="s">
        <v>470</v>
      </c>
      <c r="B186" s="2">
        <v>6</v>
      </c>
      <c r="C186" s="19">
        <f>O6</f>
        <v>5.25</v>
      </c>
      <c r="D186" s="21">
        <f t="shared" si="6"/>
        <v>5.25</v>
      </c>
    </row>
    <row r="187" spans="1:4" x14ac:dyDescent="0.25">
      <c r="A187" t="s">
        <v>472</v>
      </c>
      <c r="B187" s="2">
        <v>6</v>
      </c>
      <c r="C187" s="19">
        <f>O6</f>
        <v>5.25</v>
      </c>
      <c r="D187" s="21">
        <f t="shared" si="6"/>
        <v>5.25</v>
      </c>
    </row>
    <row r="188" spans="1:4" x14ac:dyDescent="0.25">
      <c r="A188" t="s">
        <v>474</v>
      </c>
      <c r="B188" s="2">
        <v>6</v>
      </c>
      <c r="C188" s="19">
        <f>O6</f>
        <v>5.25</v>
      </c>
      <c r="D188" s="21">
        <f t="shared" si="6"/>
        <v>5.25</v>
      </c>
    </row>
    <row r="189" spans="1:4" x14ac:dyDescent="0.25">
      <c r="A189" t="s">
        <v>476</v>
      </c>
      <c r="B189" s="2">
        <v>6</v>
      </c>
      <c r="C189" s="19">
        <f>O6</f>
        <v>5.25</v>
      </c>
      <c r="D189" s="21">
        <f t="shared" si="6"/>
        <v>5.25</v>
      </c>
    </row>
    <row r="190" spans="1:4" x14ac:dyDescent="0.25">
      <c r="A190" t="s">
        <v>407</v>
      </c>
      <c r="B190" s="2">
        <v>8</v>
      </c>
      <c r="C190" s="19">
        <f>O8</f>
        <v>5.4600000000000009</v>
      </c>
      <c r="D190" s="21">
        <f t="shared" si="6"/>
        <v>5.4600000000000009</v>
      </c>
    </row>
    <row r="191" spans="1:4" x14ac:dyDescent="0.25">
      <c r="A191" t="s">
        <v>409</v>
      </c>
      <c r="B191" s="2">
        <v>8</v>
      </c>
      <c r="C191" s="19">
        <f>O8</f>
        <v>5.4600000000000009</v>
      </c>
      <c r="D191" s="21">
        <f t="shared" si="6"/>
        <v>5.4600000000000009</v>
      </c>
    </row>
    <row r="192" spans="1:4" x14ac:dyDescent="0.25">
      <c r="A192" t="s">
        <v>411</v>
      </c>
      <c r="B192" s="2">
        <v>8</v>
      </c>
      <c r="C192" s="19">
        <f>O8</f>
        <v>5.4600000000000009</v>
      </c>
      <c r="D192" s="21">
        <f t="shared" si="6"/>
        <v>5.4600000000000009</v>
      </c>
    </row>
    <row r="193" spans="1:4" x14ac:dyDescent="0.25">
      <c r="A193" t="s">
        <v>413</v>
      </c>
      <c r="B193" s="2">
        <v>8</v>
      </c>
      <c r="C193" s="19">
        <f>O8</f>
        <v>5.4600000000000009</v>
      </c>
      <c r="D193" s="21">
        <f t="shared" si="6"/>
        <v>5.4600000000000009</v>
      </c>
    </row>
    <row r="194" spans="1:4" x14ac:dyDescent="0.25">
      <c r="A194" t="s">
        <v>415</v>
      </c>
      <c r="B194" s="2">
        <v>8</v>
      </c>
      <c r="C194" s="19">
        <f>O8</f>
        <v>5.4600000000000009</v>
      </c>
      <c r="D194" s="21">
        <f t="shared" si="6"/>
        <v>5.4600000000000009</v>
      </c>
    </row>
    <row r="195" spans="1:4" x14ac:dyDescent="0.25">
      <c r="A195" t="s">
        <v>417</v>
      </c>
      <c r="B195" s="2">
        <v>8</v>
      </c>
      <c r="C195" s="19">
        <f>O8</f>
        <v>5.4600000000000009</v>
      </c>
      <c r="D195" s="21">
        <f t="shared" si="6"/>
        <v>5.4600000000000009</v>
      </c>
    </row>
    <row r="196" spans="1:4" x14ac:dyDescent="0.25">
      <c r="A196" t="s">
        <v>419</v>
      </c>
      <c r="B196" s="2">
        <v>8</v>
      </c>
      <c r="C196" s="19">
        <f>O8</f>
        <v>5.4600000000000009</v>
      </c>
      <c r="D196" s="21">
        <f t="shared" si="6"/>
        <v>5.4600000000000009</v>
      </c>
    </row>
    <row r="197" spans="1:4" x14ac:dyDescent="0.25">
      <c r="A197" t="s">
        <v>421</v>
      </c>
      <c r="B197" s="2">
        <v>8</v>
      </c>
      <c r="C197" s="19">
        <f>O8</f>
        <v>5.4600000000000009</v>
      </c>
      <c r="D197" s="21">
        <f t="shared" si="6"/>
        <v>5.4600000000000009</v>
      </c>
    </row>
    <row r="198" spans="1:4" x14ac:dyDescent="0.25">
      <c r="A198" t="s">
        <v>423</v>
      </c>
      <c r="B198" s="2">
        <v>8</v>
      </c>
      <c r="C198" s="19">
        <f>O8</f>
        <v>5.4600000000000009</v>
      </c>
      <c r="D198" s="21">
        <f t="shared" ref="D198:D230" si="7">C198</f>
        <v>5.4600000000000009</v>
      </c>
    </row>
    <row r="199" spans="1:4" x14ac:dyDescent="0.25">
      <c r="A199" t="s">
        <v>425</v>
      </c>
      <c r="B199" s="2">
        <v>10</v>
      </c>
      <c r="C199" s="19" t="s">
        <v>576</v>
      </c>
      <c r="D199" s="21" t="str">
        <f t="shared" si="7"/>
        <v>N</v>
      </c>
    </row>
    <row r="200" spans="1:4" x14ac:dyDescent="0.25">
      <c r="A200" t="s">
        <v>427</v>
      </c>
      <c r="B200" s="2">
        <v>10</v>
      </c>
      <c r="C200" s="19" t="s">
        <v>576</v>
      </c>
      <c r="D200" s="21" t="str">
        <f t="shared" si="7"/>
        <v>N</v>
      </c>
    </row>
    <row r="201" spans="1:4" x14ac:dyDescent="0.25">
      <c r="A201" t="s">
        <v>429</v>
      </c>
      <c r="B201" s="2">
        <v>10</v>
      </c>
      <c r="C201" s="19" t="s">
        <v>576</v>
      </c>
      <c r="D201" s="21" t="str">
        <f t="shared" si="7"/>
        <v>N</v>
      </c>
    </row>
    <row r="202" spans="1:4" x14ac:dyDescent="0.25">
      <c r="A202" t="s">
        <v>431</v>
      </c>
      <c r="B202" s="2">
        <v>10</v>
      </c>
      <c r="C202" s="19" t="s">
        <v>576</v>
      </c>
      <c r="D202" s="21" t="str">
        <f t="shared" si="7"/>
        <v>N</v>
      </c>
    </row>
    <row r="203" spans="1:4" x14ac:dyDescent="0.25">
      <c r="A203" t="s">
        <v>433</v>
      </c>
      <c r="B203" s="2">
        <v>10</v>
      </c>
      <c r="C203" s="19" t="s">
        <v>576</v>
      </c>
      <c r="D203" s="21" t="str">
        <f t="shared" si="7"/>
        <v>N</v>
      </c>
    </row>
    <row r="204" spans="1:4" x14ac:dyDescent="0.25">
      <c r="A204" t="s">
        <v>435</v>
      </c>
      <c r="B204" s="2">
        <v>10</v>
      </c>
      <c r="C204" s="19" t="s">
        <v>576</v>
      </c>
      <c r="D204" s="21" t="str">
        <f t="shared" si="7"/>
        <v>N</v>
      </c>
    </row>
    <row r="205" spans="1:4" x14ac:dyDescent="0.25">
      <c r="A205" t="s">
        <v>437</v>
      </c>
      <c r="B205" s="2">
        <v>10</v>
      </c>
      <c r="C205" s="19" t="s">
        <v>576</v>
      </c>
      <c r="D205" s="21" t="str">
        <f t="shared" si="7"/>
        <v>N</v>
      </c>
    </row>
    <row r="206" spans="1:4" x14ac:dyDescent="0.25">
      <c r="A206" t="s">
        <v>439</v>
      </c>
      <c r="B206" s="2">
        <v>10</v>
      </c>
      <c r="C206" s="19" t="s">
        <v>576</v>
      </c>
      <c r="D206" s="21" t="str">
        <f t="shared" si="7"/>
        <v>N</v>
      </c>
    </row>
    <row r="207" spans="1:4" x14ac:dyDescent="0.25">
      <c r="A207" t="s">
        <v>301</v>
      </c>
      <c r="B207" s="2">
        <v>3</v>
      </c>
      <c r="C207" s="19" t="s">
        <v>576</v>
      </c>
      <c r="D207" s="21" t="str">
        <f t="shared" si="7"/>
        <v>N</v>
      </c>
    </row>
    <row r="208" spans="1:4" x14ac:dyDescent="0.25">
      <c r="A208" t="s">
        <v>303</v>
      </c>
      <c r="B208" s="2">
        <v>3</v>
      </c>
      <c r="C208" s="19" t="s">
        <v>576</v>
      </c>
      <c r="D208" s="21" t="str">
        <f t="shared" si="7"/>
        <v>N</v>
      </c>
    </row>
    <row r="209" spans="1:4" x14ac:dyDescent="0.25">
      <c r="A209" t="s">
        <v>305</v>
      </c>
      <c r="B209" s="2">
        <v>3</v>
      </c>
      <c r="C209" s="19" t="s">
        <v>576</v>
      </c>
      <c r="D209" s="21" t="str">
        <f t="shared" si="7"/>
        <v>N</v>
      </c>
    </row>
    <row r="210" spans="1:4" x14ac:dyDescent="0.25">
      <c r="A210" t="s">
        <v>307</v>
      </c>
      <c r="B210" s="2">
        <v>3</v>
      </c>
      <c r="C210" s="19" t="s">
        <v>576</v>
      </c>
      <c r="D210" s="21" t="str">
        <f t="shared" si="7"/>
        <v>N</v>
      </c>
    </row>
    <row r="211" spans="1:4" x14ac:dyDescent="0.25">
      <c r="A211" t="s">
        <v>309</v>
      </c>
      <c r="B211" s="2">
        <v>4</v>
      </c>
      <c r="C211" s="19" t="s">
        <v>576</v>
      </c>
      <c r="D211" s="21" t="str">
        <f t="shared" si="7"/>
        <v>N</v>
      </c>
    </row>
    <row r="212" spans="1:4" x14ac:dyDescent="0.25">
      <c r="A212" t="s">
        <v>311</v>
      </c>
      <c r="B212" s="2">
        <v>4</v>
      </c>
      <c r="C212" s="19" t="s">
        <v>576</v>
      </c>
      <c r="D212" s="21" t="str">
        <f t="shared" si="7"/>
        <v>N</v>
      </c>
    </row>
    <row r="213" spans="1:4" x14ac:dyDescent="0.25">
      <c r="A213" t="s">
        <v>313</v>
      </c>
      <c r="B213" s="2">
        <v>5</v>
      </c>
      <c r="C213" s="19">
        <f>O5</f>
        <v>5.25</v>
      </c>
      <c r="D213" s="21">
        <f t="shared" si="7"/>
        <v>5.25</v>
      </c>
    </row>
    <row r="214" spans="1:4" x14ac:dyDescent="0.25">
      <c r="A214" t="s">
        <v>315</v>
      </c>
      <c r="B214" s="2">
        <v>5</v>
      </c>
      <c r="C214" s="19">
        <f>O5</f>
        <v>5.25</v>
      </c>
      <c r="D214" s="21">
        <f t="shared" si="7"/>
        <v>5.25</v>
      </c>
    </row>
    <row r="215" spans="1:4" x14ac:dyDescent="0.25">
      <c r="A215" t="s">
        <v>317</v>
      </c>
      <c r="B215" s="2">
        <v>6</v>
      </c>
      <c r="C215" s="19">
        <f>O6</f>
        <v>5.25</v>
      </c>
      <c r="D215" s="21">
        <f t="shared" si="7"/>
        <v>5.25</v>
      </c>
    </row>
    <row r="216" spans="1:4" x14ac:dyDescent="0.25">
      <c r="A216" t="s">
        <v>319</v>
      </c>
      <c r="B216" s="2">
        <v>7</v>
      </c>
      <c r="C216" s="19">
        <f>O7</f>
        <v>5.4600000000000009</v>
      </c>
      <c r="D216" s="21">
        <f t="shared" si="7"/>
        <v>5.4600000000000009</v>
      </c>
    </row>
    <row r="217" spans="1:4" x14ac:dyDescent="0.25">
      <c r="A217" t="s">
        <v>321</v>
      </c>
      <c r="B217" s="2">
        <v>8</v>
      </c>
      <c r="C217" s="19">
        <f>O8</f>
        <v>5.4600000000000009</v>
      </c>
      <c r="D217" s="21">
        <f t="shared" si="7"/>
        <v>5.4600000000000009</v>
      </c>
    </row>
    <row r="218" spans="1:4" x14ac:dyDescent="0.25">
      <c r="A218" t="s">
        <v>323</v>
      </c>
      <c r="B218" s="2">
        <v>8</v>
      </c>
      <c r="C218" s="19">
        <f>O8</f>
        <v>5.4600000000000009</v>
      </c>
      <c r="D218" s="21">
        <f t="shared" si="7"/>
        <v>5.4600000000000009</v>
      </c>
    </row>
    <row r="219" spans="1:4" x14ac:dyDescent="0.25">
      <c r="A219" t="s">
        <v>325</v>
      </c>
      <c r="B219" s="2">
        <v>3</v>
      </c>
      <c r="C219" s="19" t="s">
        <v>576</v>
      </c>
      <c r="D219" s="21" t="str">
        <f t="shared" si="7"/>
        <v>N</v>
      </c>
    </row>
    <row r="220" spans="1:4" x14ac:dyDescent="0.25">
      <c r="A220" t="s">
        <v>327</v>
      </c>
      <c r="B220" s="2">
        <v>3</v>
      </c>
      <c r="C220" s="19" t="s">
        <v>576</v>
      </c>
      <c r="D220" s="21" t="str">
        <f t="shared" si="7"/>
        <v>N</v>
      </c>
    </row>
    <row r="221" spans="1:4" x14ac:dyDescent="0.25">
      <c r="A221" t="s">
        <v>329</v>
      </c>
      <c r="B221" s="2">
        <v>3</v>
      </c>
      <c r="C221" s="19" t="s">
        <v>576</v>
      </c>
      <c r="D221" s="21" t="str">
        <f t="shared" si="7"/>
        <v>N</v>
      </c>
    </row>
    <row r="222" spans="1:4" x14ac:dyDescent="0.25">
      <c r="A222" t="s">
        <v>331</v>
      </c>
      <c r="B222" s="2">
        <v>3</v>
      </c>
      <c r="C222" s="19" t="s">
        <v>576</v>
      </c>
      <c r="D222" s="21" t="str">
        <f t="shared" si="7"/>
        <v>N</v>
      </c>
    </row>
    <row r="223" spans="1:4" x14ac:dyDescent="0.25">
      <c r="A223" t="s">
        <v>333</v>
      </c>
      <c r="B223" s="2">
        <v>4</v>
      </c>
      <c r="C223" s="19" t="s">
        <v>576</v>
      </c>
      <c r="D223" s="21" t="str">
        <f t="shared" si="7"/>
        <v>N</v>
      </c>
    </row>
    <row r="224" spans="1:4" x14ac:dyDescent="0.25">
      <c r="A224" t="s">
        <v>335</v>
      </c>
      <c r="B224" s="2">
        <v>4</v>
      </c>
      <c r="C224" s="19" t="s">
        <v>576</v>
      </c>
      <c r="D224" s="21" t="str">
        <f t="shared" si="7"/>
        <v>N</v>
      </c>
    </row>
    <row r="225" spans="1:4" x14ac:dyDescent="0.25">
      <c r="A225" t="s">
        <v>337</v>
      </c>
      <c r="B225" s="2">
        <v>5</v>
      </c>
      <c r="C225" s="19">
        <f>O5</f>
        <v>5.25</v>
      </c>
      <c r="D225" s="21">
        <f t="shared" si="7"/>
        <v>5.25</v>
      </c>
    </row>
    <row r="226" spans="1:4" x14ac:dyDescent="0.25">
      <c r="A226" t="s">
        <v>339</v>
      </c>
      <c r="B226" s="2">
        <v>5</v>
      </c>
      <c r="C226" s="19">
        <f>O5</f>
        <v>5.25</v>
      </c>
      <c r="D226" s="21">
        <f t="shared" si="7"/>
        <v>5.25</v>
      </c>
    </row>
    <row r="227" spans="1:4" x14ac:dyDescent="0.25">
      <c r="A227" t="s">
        <v>341</v>
      </c>
      <c r="B227" s="2">
        <v>6</v>
      </c>
      <c r="C227" s="19">
        <f>O6</f>
        <v>5.25</v>
      </c>
      <c r="D227" s="21">
        <f t="shared" si="7"/>
        <v>5.25</v>
      </c>
    </row>
    <row r="228" spans="1:4" x14ac:dyDescent="0.25">
      <c r="A228" t="s">
        <v>343</v>
      </c>
      <c r="B228" s="2">
        <v>7</v>
      </c>
      <c r="C228" s="19">
        <f>O7</f>
        <v>5.4600000000000009</v>
      </c>
      <c r="D228" s="21">
        <f t="shared" si="7"/>
        <v>5.4600000000000009</v>
      </c>
    </row>
    <row r="229" spans="1:4" x14ac:dyDescent="0.25">
      <c r="A229" t="s">
        <v>345</v>
      </c>
      <c r="B229" s="2">
        <v>8</v>
      </c>
      <c r="C229" s="19">
        <f>O8</f>
        <v>5.4600000000000009</v>
      </c>
      <c r="D229" s="21">
        <f t="shared" si="7"/>
        <v>5.4600000000000009</v>
      </c>
    </row>
    <row r="230" spans="1:4" x14ac:dyDescent="0.25">
      <c r="A230" t="s">
        <v>347</v>
      </c>
      <c r="B230" s="2">
        <v>8</v>
      </c>
      <c r="C230" s="19">
        <f>O8</f>
        <v>5.4600000000000009</v>
      </c>
      <c r="D230" s="21">
        <f t="shared" si="7"/>
        <v>5.4600000000000009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82"/>
  <sheetViews>
    <sheetView workbookViewId="0">
      <selection activeCell="D14" sqref="D14"/>
    </sheetView>
  </sheetViews>
  <sheetFormatPr defaultRowHeight="16.5" x14ac:dyDescent="0.25"/>
  <cols>
    <col min="1" max="1" width="15.625" customWidth="1"/>
    <col min="2" max="2" width="10.625" customWidth="1"/>
    <col min="3" max="13" width="10.625" style="2" customWidth="1"/>
    <col min="14" max="16" width="9" style="2"/>
  </cols>
  <sheetData>
    <row r="1" spans="1:18" ht="21" x14ac:dyDescent="0.25">
      <c r="A1" s="25" t="s">
        <v>564</v>
      </c>
    </row>
    <row r="2" spans="1:18" ht="17.25" thickBot="1" x14ac:dyDescent="0.3">
      <c r="C2" s="118" t="s">
        <v>1023</v>
      </c>
      <c r="D2" s="118"/>
      <c r="E2" s="118"/>
      <c r="H2" s="2" t="s">
        <v>1023</v>
      </c>
    </row>
    <row r="3" spans="1:18" x14ac:dyDescent="0.25">
      <c r="A3" t="s">
        <v>0</v>
      </c>
      <c r="B3" s="2" t="s">
        <v>443</v>
      </c>
      <c r="C3" s="28" t="s">
        <v>447</v>
      </c>
      <c r="D3" s="28" t="s">
        <v>675</v>
      </c>
      <c r="E3" s="28" t="s">
        <v>449</v>
      </c>
      <c r="H3" s="61" t="s">
        <v>1</v>
      </c>
      <c r="I3" s="105" t="s">
        <v>571</v>
      </c>
      <c r="J3" s="105" t="s">
        <v>572</v>
      </c>
      <c r="K3" s="105" t="s">
        <v>1007</v>
      </c>
      <c r="L3" s="105" t="s">
        <v>761</v>
      </c>
      <c r="M3" s="44" t="s">
        <v>447</v>
      </c>
    </row>
    <row r="4" spans="1:18" x14ac:dyDescent="0.25">
      <c r="A4" t="s">
        <v>1049</v>
      </c>
      <c r="B4" s="2">
        <v>5</v>
      </c>
      <c r="C4" s="29">
        <f>M5</f>
        <v>7.7280000000000006</v>
      </c>
      <c r="D4" s="28">
        <v>1</v>
      </c>
      <c r="E4" s="22">
        <f t="shared" ref="E4:E34" si="0">D4*C4</f>
        <v>7.7280000000000006</v>
      </c>
      <c r="H4" s="108" t="s">
        <v>489</v>
      </c>
      <c r="I4" s="106">
        <v>3.72</v>
      </c>
      <c r="J4" s="106">
        <v>3.64</v>
      </c>
      <c r="K4" s="72">
        <f t="shared" ref="K4:K10" si="1">J4+I4</f>
        <v>7.36</v>
      </c>
      <c r="L4" s="106">
        <v>1.05</v>
      </c>
      <c r="M4" s="73">
        <f>L4*K4</f>
        <v>7.7280000000000006</v>
      </c>
    </row>
    <row r="5" spans="1:18" x14ac:dyDescent="0.25">
      <c r="A5" t="s">
        <v>29</v>
      </c>
      <c r="B5" s="2">
        <v>5</v>
      </c>
      <c r="C5" s="29">
        <f>M5</f>
        <v>7.7280000000000006</v>
      </c>
      <c r="D5" s="28">
        <v>1</v>
      </c>
      <c r="E5" s="22">
        <f t="shared" si="0"/>
        <v>7.7280000000000006</v>
      </c>
      <c r="H5" s="108" t="s">
        <v>491</v>
      </c>
      <c r="I5" s="106">
        <v>3.72</v>
      </c>
      <c r="J5" s="106">
        <v>3.64</v>
      </c>
      <c r="K5" s="72">
        <f t="shared" si="1"/>
        <v>7.36</v>
      </c>
      <c r="L5" s="106">
        <v>1.05</v>
      </c>
      <c r="M5" s="73">
        <f t="shared" ref="M5:M10" si="2">L5*K5</f>
        <v>7.7280000000000006</v>
      </c>
    </row>
    <row r="6" spans="1:18" x14ac:dyDescent="0.25">
      <c r="A6" t="s">
        <v>31</v>
      </c>
      <c r="B6" s="2">
        <v>5</v>
      </c>
      <c r="C6" s="29">
        <f>M5</f>
        <v>7.7280000000000006</v>
      </c>
      <c r="D6" s="28">
        <v>1</v>
      </c>
      <c r="E6" s="22">
        <f t="shared" si="0"/>
        <v>7.7280000000000006</v>
      </c>
      <c r="H6" s="108" t="s">
        <v>492</v>
      </c>
      <c r="I6" s="106">
        <v>5</v>
      </c>
      <c r="J6" s="106">
        <v>4.29</v>
      </c>
      <c r="K6" s="72">
        <f t="shared" si="1"/>
        <v>9.2899999999999991</v>
      </c>
      <c r="L6" s="106">
        <v>1.05</v>
      </c>
      <c r="M6" s="73">
        <f t="shared" si="2"/>
        <v>9.7545000000000002</v>
      </c>
    </row>
    <row r="7" spans="1:18" x14ac:dyDescent="0.25">
      <c r="A7" t="s">
        <v>33</v>
      </c>
      <c r="B7" s="2">
        <v>5</v>
      </c>
      <c r="C7" s="29">
        <f>M5</f>
        <v>7.7280000000000006</v>
      </c>
      <c r="D7" s="28">
        <v>1</v>
      </c>
      <c r="E7" s="22">
        <f t="shared" si="0"/>
        <v>7.7280000000000006</v>
      </c>
      <c r="H7" s="108" t="s">
        <v>519</v>
      </c>
      <c r="I7" s="106">
        <v>7.8</v>
      </c>
      <c r="J7" s="106">
        <v>5.33</v>
      </c>
      <c r="K7" s="72">
        <f t="shared" si="1"/>
        <v>13.129999999999999</v>
      </c>
      <c r="L7" s="106">
        <v>1.05</v>
      </c>
      <c r="M7" s="73">
        <f t="shared" si="2"/>
        <v>13.7865</v>
      </c>
    </row>
    <row r="8" spans="1:18" x14ac:dyDescent="0.25">
      <c r="A8" t="s">
        <v>37</v>
      </c>
      <c r="B8" s="2">
        <v>5</v>
      </c>
      <c r="C8" s="29">
        <f>M5</f>
        <v>7.7280000000000006</v>
      </c>
      <c r="D8" s="28">
        <v>1</v>
      </c>
      <c r="E8" s="22">
        <f t="shared" si="0"/>
        <v>7.7280000000000006</v>
      </c>
      <c r="H8" s="108" t="s">
        <v>524</v>
      </c>
      <c r="I8" s="106">
        <v>7.8</v>
      </c>
      <c r="J8" s="106">
        <v>5.33</v>
      </c>
      <c r="K8" s="72">
        <f t="shared" si="1"/>
        <v>13.129999999999999</v>
      </c>
      <c r="L8" s="106">
        <v>1.05</v>
      </c>
      <c r="M8" s="73">
        <f t="shared" si="2"/>
        <v>13.7865</v>
      </c>
    </row>
    <row r="9" spans="1:18" x14ac:dyDescent="0.25">
      <c r="A9" t="s">
        <v>39</v>
      </c>
      <c r="B9" s="2">
        <v>5</v>
      </c>
      <c r="C9" s="29">
        <f>M5</f>
        <v>7.7280000000000006</v>
      </c>
      <c r="D9" s="28">
        <v>1</v>
      </c>
      <c r="E9" s="22">
        <f t="shared" si="0"/>
        <v>7.7280000000000006</v>
      </c>
      <c r="H9" s="74" t="s">
        <v>573</v>
      </c>
      <c r="I9" s="106">
        <v>7.8</v>
      </c>
      <c r="J9" s="106">
        <v>5.33</v>
      </c>
      <c r="K9" s="72">
        <f t="shared" si="1"/>
        <v>13.129999999999999</v>
      </c>
      <c r="L9" s="106">
        <v>1.05</v>
      </c>
      <c r="M9" s="73">
        <f t="shared" si="2"/>
        <v>13.7865</v>
      </c>
    </row>
    <row r="10" spans="1:18" ht="17.25" thickBot="1" x14ac:dyDescent="0.3">
      <c r="A10" t="s">
        <v>41</v>
      </c>
      <c r="B10" s="2">
        <v>5</v>
      </c>
      <c r="C10" s="29">
        <f>M5</f>
        <v>7.7280000000000006</v>
      </c>
      <c r="D10" s="28">
        <v>1</v>
      </c>
      <c r="E10" s="22">
        <f t="shared" si="0"/>
        <v>7.7280000000000006</v>
      </c>
      <c r="H10" s="75" t="s">
        <v>574</v>
      </c>
      <c r="I10" s="107">
        <v>7.8</v>
      </c>
      <c r="J10" s="107">
        <v>5.33</v>
      </c>
      <c r="K10" s="76">
        <f t="shared" si="1"/>
        <v>13.129999999999999</v>
      </c>
      <c r="L10" s="107">
        <v>1.05</v>
      </c>
      <c r="M10" s="77">
        <f t="shared" si="2"/>
        <v>13.7865</v>
      </c>
    </row>
    <row r="11" spans="1:18" x14ac:dyDescent="0.25">
      <c r="A11" t="s">
        <v>51</v>
      </c>
      <c r="B11" s="2">
        <v>6</v>
      </c>
      <c r="C11" s="29">
        <f>M6</f>
        <v>9.7545000000000002</v>
      </c>
      <c r="D11" s="28">
        <v>1</v>
      </c>
      <c r="E11" s="22">
        <f t="shared" si="0"/>
        <v>9.7545000000000002</v>
      </c>
    </row>
    <row r="12" spans="1:18" x14ac:dyDescent="0.25">
      <c r="A12" t="s">
        <v>53</v>
      </c>
      <c r="B12" s="2">
        <v>6</v>
      </c>
      <c r="C12" s="29">
        <f>M6</f>
        <v>9.7545000000000002</v>
      </c>
      <c r="D12" s="28">
        <v>1</v>
      </c>
      <c r="E12" s="22">
        <f t="shared" si="0"/>
        <v>9.7545000000000002</v>
      </c>
    </row>
    <row r="13" spans="1:18" x14ac:dyDescent="0.25">
      <c r="A13" t="s">
        <v>55</v>
      </c>
      <c r="B13" s="2">
        <v>6</v>
      </c>
      <c r="C13" s="29">
        <f>M6</f>
        <v>9.7545000000000002</v>
      </c>
      <c r="D13" s="28">
        <v>1</v>
      </c>
      <c r="E13" s="22">
        <f t="shared" si="0"/>
        <v>9.7545000000000002</v>
      </c>
      <c r="H13" s="2" t="s">
        <v>1028</v>
      </c>
      <c r="I13" s="2" t="s">
        <v>1030</v>
      </c>
    </row>
    <row r="14" spans="1:18" x14ac:dyDescent="0.25">
      <c r="A14" t="s">
        <v>57</v>
      </c>
      <c r="B14" s="2">
        <v>6</v>
      </c>
      <c r="C14" s="29">
        <f>M6</f>
        <v>9.7545000000000002</v>
      </c>
      <c r="D14" s="28">
        <v>1</v>
      </c>
      <c r="E14" s="22">
        <f t="shared" si="0"/>
        <v>9.7545000000000002</v>
      </c>
      <c r="H14" s="28" t="s">
        <v>1</v>
      </c>
      <c r="I14" s="28" t="s">
        <v>571</v>
      </c>
      <c r="J14" s="28" t="s">
        <v>1024</v>
      </c>
      <c r="K14" s="28" t="s">
        <v>1026</v>
      </c>
      <c r="L14" s="28" t="s">
        <v>1027</v>
      </c>
      <c r="M14" s="28" t="s">
        <v>1007</v>
      </c>
      <c r="N14" s="28" t="s">
        <v>529</v>
      </c>
      <c r="O14" s="19" t="s">
        <v>447</v>
      </c>
      <c r="Q14" s="2"/>
      <c r="R14" s="2"/>
    </row>
    <row r="15" spans="1:18" x14ac:dyDescent="0.25">
      <c r="A15" t="s">
        <v>59</v>
      </c>
      <c r="B15" s="2">
        <v>6</v>
      </c>
      <c r="C15" s="29">
        <f>M6</f>
        <v>9.7545000000000002</v>
      </c>
      <c r="D15" s="28">
        <v>1</v>
      </c>
      <c r="E15" s="22">
        <f t="shared" si="0"/>
        <v>9.7545000000000002</v>
      </c>
      <c r="H15" s="28" t="s">
        <v>489</v>
      </c>
      <c r="I15" s="28">
        <v>6.2</v>
      </c>
      <c r="J15" s="28">
        <v>0.52</v>
      </c>
      <c r="K15" s="28">
        <v>0.3</v>
      </c>
      <c r="L15" s="28">
        <v>1.1000000000000001</v>
      </c>
      <c r="M15" s="29">
        <f>L15+K15+J15+I15</f>
        <v>8.120000000000001</v>
      </c>
      <c r="N15" s="106">
        <v>1.05</v>
      </c>
      <c r="O15" s="29">
        <f>N15*M15</f>
        <v>8.5260000000000016</v>
      </c>
      <c r="Q15" s="2"/>
      <c r="R15" s="2"/>
    </row>
    <row r="16" spans="1:18" x14ac:dyDescent="0.25">
      <c r="A16" t="s">
        <v>61</v>
      </c>
      <c r="B16" s="2">
        <v>6</v>
      </c>
      <c r="C16" s="29">
        <f>M6</f>
        <v>9.7545000000000002</v>
      </c>
      <c r="D16" s="28">
        <v>1</v>
      </c>
      <c r="E16" s="22">
        <f t="shared" si="0"/>
        <v>9.7545000000000002</v>
      </c>
      <c r="H16" s="28" t="s">
        <v>491</v>
      </c>
      <c r="I16" s="28">
        <v>6.2</v>
      </c>
      <c r="J16" s="28">
        <v>0.51</v>
      </c>
      <c r="K16" s="28">
        <v>0.3</v>
      </c>
      <c r="L16" s="28">
        <v>1.1000000000000001</v>
      </c>
      <c r="M16" s="29">
        <f t="shared" ref="M16:M19" si="3">L16+K16+J16+I16</f>
        <v>8.11</v>
      </c>
      <c r="N16" s="106">
        <v>1.05</v>
      </c>
      <c r="O16" s="29">
        <f t="shared" ref="O16:O19" si="4">N16*M16</f>
        <v>8.5154999999999994</v>
      </c>
      <c r="Q16" s="2"/>
      <c r="R16" s="2"/>
    </row>
    <row r="17" spans="1:18" x14ac:dyDescent="0.25">
      <c r="A17" t="s">
        <v>63</v>
      </c>
      <c r="B17" s="2">
        <v>6</v>
      </c>
      <c r="C17" s="29">
        <f>M6</f>
        <v>9.7545000000000002</v>
      </c>
      <c r="D17" s="28">
        <v>1</v>
      </c>
      <c r="E17" s="22">
        <f t="shared" si="0"/>
        <v>9.7545000000000002</v>
      </c>
      <c r="H17" s="28" t="s">
        <v>492</v>
      </c>
      <c r="I17" s="28">
        <v>8.5</v>
      </c>
      <c r="J17" s="28">
        <v>1.04</v>
      </c>
      <c r="K17" s="28">
        <v>0.6</v>
      </c>
      <c r="L17" s="28">
        <v>1.76</v>
      </c>
      <c r="M17" s="29">
        <f t="shared" si="3"/>
        <v>11.9</v>
      </c>
      <c r="N17" s="106">
        <v>1.05</v>
      </c>
      <c r="O17" s="29">
        <f t="shared" si="4"/>
        <v>12.495000000000001</v>
      </c>
      <c r="Q17" s="2"/>
      <c r="R17" s="2"/>
    </row>
    <row r="18" spans="1:18" x14ac:dyDescent="0.25">
      <c r="A18" t="s">
        <v>65</v>
      </c>
      <c r="B18" s="2">
        <v>6</v>
      </c>
      <c r="C18" s="29">
        <f>M6</f>
        <v>9.7545000000000002</v>
      </c>
      <c r="D18" s="28">
        <v>1</v>
      </c>
      <c r="E18" s="22">
        <f t="shared" si="0"/>
        <v>9.7545000000000002</v>
      </c>
      <c r="H18" s="28" t="s">
        <v>519</v>
      </c>
      <c r="I18" s="28">
        <v>8.5</v>
      </c>
      <c r="J18" s="28">
        <v>1.36</v>
      </c>
      <c r="K18" s="28">
        <v>0.78</v>
      </c>
      <c r="L18" s="28">
        <v>1.76</v>
      </c>
      <c r="M18" s="29">
        <f t="shared" si="3"/>
        <v>12.4</v>
      </c>
      <c r="N18" s="106">
        <v>1.05</v>
      </c>
      <c r="O18" s="29">
        <f t="shared" si="4"/>
        <v>13.020000000000001</v>
      </c>
      <c r="Q18" s="2"/>
      <c r="R18" s="2"/>
    </row>
    <row r="19" spans="1:18" x14ac:dyDescent="0.25">
      <c r="A19" t="s">
        <v>71</v>
      </c>
      <c r="B19" s="2">
        <v>8</v>
      </c>
      <c r="C19" s="29">
        <f>M8</f>
        <v>13.7865</v>
      </c>
      <c r="D19" s="28">
        <v>1</v>
      </c>
      <c r="E19" s="22">
        <f t="shared" si="0"/>
        <v>13.7865</v>
      </c>
      <c r="H19" s="28" t="s">
        <v>1025</v>
      </c>
      <c r="I19" s="28">
        <v>8.5</v>
      </c>
      <c r="J19" s="28">
        <v>1.3</v>
      </c>
      <c r="K19" s="28">
        <v>0.78</v>
      </c>
      <c r="L19" s="28">
        <v>2.2000000000000002</v>
      </c>
      <c r="M19" s="29">
        <f t="shared" si="3"/>
        <v>12.780000000000001</v>
      </c>
      <c r="N19" s="106">
        <v>1.05</v>
      </c>
      <c r="O19" s="29">
        <f t="shared" si="4"/>
        <v>13.419000000000002</v>
      </c>
      <c r="Q19" s="2"/>
      <c r="R19" s="2"/>
    </row>
    <row r="20" spans="1:18" x14ac:dyDescent="0.25">
      <c r="A20" t="s">
        <v>75</v>
      </c>
      <c r="B20" s="2">
        <v>8</v>
      </c>
      <c r="C20" s="29">
        <f>M8</f>
        <v>13.7865</v>
      </c>
      <c r="D20" s="28">
        <v>1</v>
      </c>
      <c r="E20" s="22">
        <f t="shared" si="0"/>
        <v>13.7865</v>
      </c>
    </row>
    <row r="21" spans="1:18" x14ac:dyDescent="0.25">
      <c r="A21" t="s">
        <v>77</v>
      </c>
      <c r="B21" s="2">
        <v>8</v>
      </c>
      <c r="C21" s="29">
        <f>M8</f>
        <v>13.7865</v>
      </c>
      <c r="D21" s="28">
        <v>1</v>
      </c>
      <c r="E21" s="22">
        <f t="shared" si="0"/>
        <v>13.7865</v>
      </c>
    </row>
    <row r="22" spans="1:18" x14ac:dyDescent="0.25">
      <c r="A22" t="s">
        <v>79</v>
      </c>
      <c r="B22" s="2">
        <v>8</v>
      </c>
      <c r="C22" s="29">
        <f>M8</f>
        <v>13.7865</v>
      </c>
      <c r="D22" s="28">
        <v>1</v>
      </c>
      <c r="E22" s="22">
        <f t="shared" si="0"/>
        <v>13.7865</v>
      </c>
      <c r="H22" s="2" t="s">
        <v>1029</v>
      </c>
      <c r="I22" s="2" t="s">
        <v>1031</v>
      </c>
    </row>
    <row r="23" spans="1:18" x14ac:dyDescent="0.25">
      <c r="A23" t="s">
        <v>81</v>
      </c>
      <c r="B23" s="2">
        <v>8</v>
      </c>
      <c r="C23" s="29">
        <f>M8</f>
        <v>13.7865</v>
      </c>
      <c r="D23" s="28">
        <v>1</v>
      </c>
      <c r="E23" s="22">
        <f t="shared" si="0"/>
        <v>13.7865</v>
      </c>
      <c r="H23" s="28" t="s">
        <v>1</v>
      </c>
      <c r="I23" s="28" t="s">
        <v>571</v>
      </c>
      <c r="J23" s="28" t="s">
        <v>1024</v>
      </c>
      <c r="K23" s="28" t="s">
        <v>1026</v>
      </c>
      <c r="L23" s="28" t="s">
        <v>1027</v>
      </c>
      <c r="M23" s="28" t="s">
        <v>1007</v>
      </c>
      <c r="N23" s="28" t="s">
        <v>529</v>
      </c>
      <c r="O23" s="19" t="s">
        <v>447</v>
      </c>
    </row>
    <row r="24" spans="1:18" x14ac:dyDescent="0.25">
      <c r="A24" t="s">
        <v>83</v>
      </c>
      <c r="B24" s="2">
        <v>8</v>
      </c>
      <c r="C24" s="29">
        <f>M8</f>
        <v>13.7865</v>
      </c>
      <c r="D24" s="28">
        <v>1</v>
      </c>
      <c r="E24" s="22">
        <f t="shared" si="0"/>
        <v>13.7865</v>
      </c>
      <c r="H24" s="28" t="s">
        <v>489</v>
      </c>
      <c r="I24" s="28">
        <v>6</v>
      </c>
      <c r="J24" s="28">
        <v>0.63</v>
      </c>
      <c r="K24" s="28">
        <v>0.36</v>
      </c>
      <c r="L24" s="28">
        <v>1.1000000000000001</v>
      </c>
      <c r="M24" s="29">
        <f>L24+K24+J24+I24</f>
        <v>8.09</v>
      </c>
      <c r="N24" s="106">
        <v>1.05</v>
      </c>
      <c r="O24" s="29">
        <f>N24*M24</f>
        <v>8.4945000000000004</v>
      </c>
    </row>
    <row r="25" spans="1:18" x14ac:dyDescent="0.25">
      <c r="A25" t="s">
        <v>85</v>
      </c>
      <c r="B25" s="2">
        <v>8</v>
      </c>
      <c r="C25" s="29">
        <f>M8</f>
        <v>13.7865</v>
      </c>
      <c r="D25" s="28">
        <v>1</v>
      </c>
      <c r="E25" s="22">
        <f t="shared" si="0"/>
        <v>13.7865</v>
      </c>
      <c r="H25" s="28" t="s">
        <v>491</v>
      </c>
      <c r="I25" s="28">
        <v>6</v>
      </c>
      <c r="J25" s="28">
        <v>0.53</v>
      </c>
      <c r="K25" s="28">
        <v>0.3</v>
      </c>
      <c r="L25" s="28">
        <v>1.1000000000000001</v>
      </c>
      <c r="M25" s="29">
        <f t="shared" ref="M25:M28" si="5">L25+K25+J25+I25</f>
        <v>7.93</v>
      </c>
      <c r="N25" s="106">
        <v>1.05</v>
      </c>
      <c r="O25" s="29">
        <f t="shared" ref="O25:O28" si="6">N25*M25</f>
        <v>8.3264999999999993</v>
      </c>
    </row>
    <row r="26" spans="1:18" x14ac:dyDescent="0.25">
      <c r="A26" t="s">
        <v>87</v>
      </c>
      <c r="B26" s="2">
        <v>8</v>
      </c>
      <c r="C26" s="29">
        <f>M8</f>
        <v>13.7865</v>
      </c>
      <c r="D26" s="28">
        <v>1</v>
      </c>
      <c r="E26" s="22">
        <f t="shared" si="0"/>
        <v>13.7865</v>
      </c>
      <c r="H26" s="28" t="s">
        <v>492</v>
      </c>
      <c r="I26" s="28">
        <v>8.1999999999999993</v>
      </c>
      <c r="J26" s="28">
        <v>1.1000000000000001</v>
      </c>
      <c r="K26" s="28">
        <v>0.64</v>
      </c>
      <c r="L26" s="28">
        <v>1.43</v>
      </c>
      <c r="M26" s="29">
        <f t="shared" si="5"/>
        <v>11.37</v>
      </c>
      <c r="N26" s="106">
        <v>1.05</v>
      </c>
      <c r="O26" s="29">
        <f t="shared" si="6"/>
        <v>11.938499999999999</v>
      </c>
    </row>
    <row r="27" spans="1:18" x14ac:dyDescent="0.25">
      <c r="A27" t="s">
        <v>1051</v>
      </c>
      <c r="B27" s="2">
        <v>5</v>
      </c>
      <c r="C27" s="29">
        <f>M5</f>
        <v>7.7280000000000006</v>
      </c>
      <c r="D27" s="28">
        <v>1</v>
      </c>
      <c r="E27" s="22">
        <f t="shared" si="0"/>
        <v>7.7280000000000006</v>
      </c>
      <c r="H27" s="28" t="s">
        <v>519</v>
      </c>
      <c r="I27" s="28">
        <v>9.1999999999999993</v>
      </c>
      <c r="J27" s="28">
        <v>1.41</v>
      </c>
      <c r="K27" s="28">
        <v>0.82</v>
      </c>
      <c r="L27" s="28">
        <v>1.76</v>
      </c>
      <c r="M27" s="29">
        <f t="shared" si="5"/>
        <v>13.19</v>
      </c>
      <c r="N27" s="106">
        <v>1.05</v>
      </c>
      <c r="O27" s="29">
        <f t="shared" si="6"/>
        <v>13.849500000000001</v>
      </c>
    </row>
    <row r="28" spans="1:18" x14ac:dyDescent="0.25">
      <c r="A28" t="s">
        <v>109</v>
      </c>
      <c r="B28" s="2">
        <v>5</v>
      </c>
      <c r="C28" s="29">
        <f>M5</f>
        <v>7.7280000000000006</v>
      </c>
      <c r="D28" s="28">
        <v>1</v>
      </c>
      <c r="E28" s="22">
        <f t="shared" si="0"/>
        <v>7.7280000000000006</v>
      </c>
      <c r="H28" s="28" t="s">
        <v>1025</v>
      </c>
      <c r="I28" s="28">
        <v>10</v>
      </c>
      <c r="J28" s="28">
        <v>1.6</v>
      </c>
      <c r="K28" s="28">
        <v>0.9</v>
      </c>
      <c r="L28" s="28">
        <v>1.9</v>
      </c>
      <c r="M28" s="29">
        <f t="shared" si="5"/>
        <v>14.4</v>
      </c>
      <c r="N28" s="106">
        <v>1.05</v>
      </c>
      <c r="O28" s="29">
        <f t="shared" si="6"/>
        <v>15.120000000000001</v>
      </c>
    </row>
    <row r="29" spans="1:18" x14ac:dyDescent="0.25">
      <c r="A29" t="s">
        <v>111</v>
      </c>
      <c r="B29" s="2">
        <v>5</v>
      </c>
      <c r="C29" s="29">
        <f>M5</f>
        <v>7.7280000000000006</v>
      </c>
      <c r="D29" s="28">
        <v>1</v>
      </c>
      <c r="E29" s="22">
        <f t="shared" si="0"/>
        <v>7.7280000000000006</v>
      </c>
    </row>
    <row r="30" spans="1:18" x14ac:dyDescent="0.25">
      <c r="A30" t="s">
        <v>113</v>
      </c>
      <c r="B30" s="2">
        <v>5</v>
      </c>
      <c r="C30" s="29">
        <f>M5</f>
        <v>7.7280000000000006</v>
      </c>
      <c r="D30" s="28">
        <v>1</v>
      </c>
      <c r="E30" s="22">
        <f t="shared" si="0"/>
        <v>7.7280000000000006</v>
      </c>
    </row>
    <row r="31" spans="1:18" x14ac:dyDescent="0.25">
      <c r="A31" t="s">
        <v>115</v>
      </c>
      <c r="B31" s="2">
        <v>5</v>
      </c>
      <c r="C31" s="29">
        <f>M5</f>
        <v>7.7280000000000006</v>
      </c>
      <c r="D31" s="28">
        <v>1</v>
      </c>
      <c r="E31" s="22">
        <f t="shared" si="0"/>
        <v>7.7280000000000006</v>
      </c>
    </row>
    <row r="32" spans="1:18" x14ac:dyDescent="0.25">
      <c r="A32" t="s">
        <v>117</v>
      </c>
      <c r="B32" s="2">
        <v>5</v>
      </c>
      <c r="C32" s="29">
        <f>M5</f>
        <v>7.7280000000000006</v>
      </c>
      <c r="D32" s="28">
        <v>1</v>
      </c>
      <c r="E32" s="22">
        <f t="shared" si="0"/>
        <v>7.7280000000000006</v>
      </c>
    </row>
    <row r="33" spans="1:5" x14ac:dyDescent="0.25">
      <c r="A33" t="s">
        <v>119</v>
      </c>
      <c r="B33" s="2">
        <v>5</v>
      </c>
      <c r="C33" s="29">
        <f>M5</f>
        <v>7.7280000000000006</v>
      </c>
      <c r="D33" s="28">
        <v>1</v>
      </c>
      <c r="E33" s="22">
        <f t="shared" si="0"/>
        <v>7.7280000000000006</v>
      </c>
    </row>
    <row r="34" spans="1:5" x14ac:dyDescent="0.25">
      <c r="A34" t="s">
        <v>129</v>
      </c>
      <c r="B34" s="2">
        <v>6</v>
      </c>
      <c r="C34" s="29">
        <f>M6</f>
        <v>9.7545000000000002</v>
      </c>
      <c r="D34" s="28">
        <v>1</v>
      </c>
      <c r="E34" s="22">
        <f t="shared" si="0"/>
        <v>9.7545000000000002</v>
      </c>
    </row>
    <row r="35" spans="1:5" x14ac:dyDescent="0.25">
      <c r="A35" t="s">
        <v>131</v>
      </c>
      <c r="B35" s="2">
        <v>6</v>
      </c>
      <c r="C35" s="29">
        <f>M6</f>
        <v>9.7545000000000002</v>
      </c>
      <c r="D35" s="28">
        <v>1</v>
      </c>
      <c r="E35" s="22">
        <f t="shared" ref="E35:E66" si="7">D35*C35</f>
        <v>9.7545000000000002</v>
      </c>
    </row>
    <row r="36" spans="1:5" x14ac:dyDescent="0.25">
      <c r="A36" t="s">
        <v>133</v>
      </c>
      <c r="B36" s="2">
        <v>6</v>
      </c>
      <c r="C36" s="29">
        <f>M6</f>
        <v>9.7545000000000002</v>
      </c>
      <c r="D36" s="28">
        <v>1</v>
      </c>
      <c r="E36" s="22">
        <f t="shared" si="7"/>
        <v>9.7545000000000002</v>
      </c>
    </row>
    <row r="37" spans="1:5" x14ac:dyDescent="0.25">
      <c r="A37" t="s">
        <v>135</v>
      </c>
      <c r="B37" s="2">
        <v>6</v>
      </c>
      <c r="C37" s="29">
        <f>M6</f>
        <v>9.7545000000000002</v>
      </c>
      <c r="D37" s="28">
        <v>1</v>
      </c>
      <c r="E37" s="22">
        <f t="shared" si="7"/>
        <v>9.7545000000000002</v>
      </c>
    </row>
    <row r="38" spans="1:5" x14ac:dyDescent="0.25">
      <c r="A38" t="s">
        <v>137</v>
      </c>
      <c r="B38" s="2">
        <v>6</v>
      </c>
      <c r="C38" s="29">
        <f>M6</f>
        <v>9.7545000000000002</v>
      </c>
      <c r="D38" s="28">
        <v>1</v>
      </c>
      <c r="E38" s="22">
        <f t="shared" si="7"/>
        <v>9.7545000000000002</v>
      </c>
    </row>
    <row r="39" spans="1:5" x14ac:dyDescent="0.25">
      <c r="A39" t="s">
        <v>139</v>
      </c>
      <c r="B39" s="2">
        <v>6</v>
      </c>
      <c r="C39" s="29">
        <f>M6</f>
        <v>9.7545000000000002</v>
      </c>
      <c r="D39" s="28">
        <v>1</v>
      </c>
      <c r="E39" s="22">
        <f t="shared" si="7"/>
        <v>9.7545000000000002</v>
      </c>
    </row>
    <row r="40" spans="1:5" x14ac:dyDescent="0.25">
      <c r="A40" t="s">
        <v>141</v>
      </c>
      <c r="B40" s="2">
        <v>6</v>
      </c>
      <c r="C40" s="29">
        <f>M6</f>
        <v>9.7545000000000002</v>
      </c>
      <c r="D40" s="28">
        <v>1</v>
      </c>
      <c r="E40" s="22">
        <f t="shared" si="7"/>
        <v>9.7545000000000002</v>
      </c>
    </row>
    <row r="41" spans="1:5" x14ac:dyDescent="0.25">
      <c r="A41" t="s">
        <v>143</v>
      </c>
      <c r="B41" s="2">
        <v>6</v>
      </c>
      <c r="C41" s="29">
        <f>M6</f>
        <v>9.7545000000000002</v>
      </c>
      <c r="D41" s="28">
        <v>1</v>
      </c>
      <c r="E41" s="22">
        <f t="shared" si="7"/>
        <v>9.7545000000000002</v>
      </c>
    </row>
    <row r="42" spans="1:5" x14ac:dyDescent="0.25">
      <c r="A42" t="s">
        <v>149</v>
      </c>
      <c r="B42" s="2">
        <v>8</v>
      </c>
      <c r="C42" s="29">
        <f>M8</f>
        <v>13.7865</v>
      </c>
      <c r="D42" s="28">
        <v>1</v>
      </c>
      <c r="E42" s="22">
        <f t="shared" si="7"/>
        <v>13.7865</v>
      </c>
    </row>
    <row r="43" spans="1:5" x14ac:dyDescent="0.25">
      <c r="A43" t="s">
        <v>151</v>
      </c>
      <c r="B43" s="2">
        <v>8</v>
      </c>
      <c r="C43" s="29">
        <f>M8</f>
        <v>13.7865</v>
      </c>
      <c r="D43" s="28">
        <v>1</v>
      </c>
      <c r="E43" s="22">
        <f t="shared" si="7"/>
        <v>13.7865</v>
      </c>
    </row>
    <row r="44" spans="1:5" x14ac:dyDescent="0.25">
      <c r="A44" t="s">
        <v>155</v>
      </c>
      <c r="B44" s="2">
        <v>8</v>
      </c>
      <c r="C44" s="29">
        <f>M8</f>
        <v>13.7865</v>
      </c>
      <c r="D44" s="28">
        <v>1</v>
      </c>
      <c r="E44" s="22">
        <f t="shared" si="7"/>
        <v>13.7865</v>
      </c>
    </row>
    <row r="45" spans="1:5" x14ac:dyDescent="0.25">
      <c r="A45" t="s">
        <v>157</v>
      </c>
      <c r="B45" s="2">
        <v>8</v>
      </c>
      <c r="C45" s="29">
        <f>M8</f>
        <v>13.7865</v>
      </c>
      <c r="D45" s="28">
        <v>1</v>
      </c>
      <c r="E45" s="22">
        <f t="shared" si="7"/>
        <v>13.7865</v>
      </c>
    </row>
    <row r="46" spans="1:5" x14ac:dyDescent="0.25">
      <c r="A46" t="s">
        <v>159</v>
      </c>
      <c r="B46" s="2">
        <v>8</v>
      </c>
      <c r="C46" s="29">
        <f>M8</f>
        <v>13.7865</v>
      </c>
      <c r="D46" s="28">
        <v>1</v>
      </c>
      <c r="E46" s="22">
        <f t="shared" si="7"/>
        <v>13.7865</v>
      </c>
    </row>
    <row r="47" spans="1:5" x14ac:dyDescent="0.25">
      <c r="A47" t="s">
        <v>161</v>
      </c>
      <c r="B47" s="2">
        <v>8</v>
      </c>
      <c r="C47" s="29">
        <f>M8</f>
        <v>13.7865</v>
      </c>
      <c r="D47" s="28">
        <v>1</v>
      </c>
      <c r="E47" s="22">
        <f t="shared" si="7"/>
        <v>13.7865</v>
      </c>
    </row>
    <row r="48" spans="1:5" x14ac:dyDescent="0.25">
      <c r="A48" t="s">
        <v>163</v>
      </c>
      <c r="B48" s="2">
        <v>8</v>
      </c>
      <c r="C48" s="29">
        <f>M8</f>
        <v>13.7865</v>
      </c>
      <c r="D48" s="28">
        <v>1</v>
      </c>
      <c r="E48" s="22">
        <f t="shared" si="7"/>
        <v>13.7865</v>
      </c>
    </row>
    <row r="49" spans="1:5" x14ac:dyDescent="0.25">
      <c r="A49" t="s">
        <v>165</v>
      </c>
      <c r="B49" s="2">
        <v>8</v>
      </c>
      <c r="C49" s="29">
        <f>M8</f>
        <v>13.7865</v>
      </c>
      <c r="D49" s="28">
        <v>1</v>
      </c>
      <c r="E49" s="22">
        <f t="shared" si="7"/>
        <v>13.7865</v>
      </c>
    </row>
    <row r="50" spans="1:5" x14ac:dyDescent="0.25">
      <c r="A50" t="s">
        <v>1052</v>
      </c>
      <c r="B50" s="2">
        <v>4</v>
      </c>
      <c r="C50" s="29">
        <f>M4</f>
        <v>7.7280000000000006</v>
      </c>
      <c r="D50" s="28">
        <v>1</v>
      </c>
      <c r="E50" s="22">
        <f t="shared" si="7"/>
        <v>7.7280000000000006</v>
      </c>
    </row>
    <row r="51" spans="1:5" x14ac:dyDescent="0.25">
      <c r="A51" t="s">
        <v>203</v>
      </c>
      <c r="B51" s="2">
        <v>4</v>
      </c>
      <c r="C51" s="29">
        <f>M4</f>
        <v>7.7280000000000006</v>
      </c>
      <c r="D51" s="28">
        <v>1</v>
      </c>
      <c r="E51" s="22">
        <f t="shared" si="7"/>
        <v>7.7280000000000006</v>
      </c>
    </row>
    <row r="52" spans="1:5" x14ac:dyDescent="0.25">
      <c r="A52" t="s">
        <v>223</v>
      </c>
      <c r="B52" s="2">
        <v>5</v>
      </c>
      <c r="C52" s="29">
        <f>M5</f>
        <v>7.7280000000000006</v>
      </c>
      <c r="D52" s="28">
        <v>1</v>
      </c>
      <c r="E52" s="22">
        <f t="shared" si="7"/>
        <v>7.7280000000000006</v>
      </c>
    </row>
    <row r="53" spans="1:5" x14ac:dyDescent="0.25">
      <c r="A53" t="s">
        <v>225</v>
      </c>
      <c r="B53" s="2">
        <v>5</v>
      </c>
      <c r="C53" s="29">
        <f>M5</f>
        <v>7.7280000000000006</v>
      </c>
      <c r="D53" s="28">
        <v>1</v>
      </c>
      <c r="E53" s="22">
        <f t="shared" si="7"/>
        <v>7.7280000000000006</v>
      </c>
    </row>
    <row r="54" spans="1:5" x14ac:dyDescent="0.25">
      <c r="A54" t="s">
        <v>227</v>
      </c>
      <c r="B54" s="2">
        <v>5</v>
      </c>
      <c r="C54" s="29">
        <f>M5</f>
        <v>7.7280000000000006</v>
      </c>
      <c r="D54" s="28">
        <v>1</v>
      </c>
      <c r="E54" s="22">
        <f t="shared" si="7"/>
        <v>7.7280000000000006</v>
      </c>
    </row>
    <row r="55" spans="1:5" x14ac:dyDescent="0.25">
      <c r="A55" t="s">
        <v>229</v>
      </c>
      <c r="B55" s="2">
        <v>5</v>
      </c>
      <c r="C55" s="29">
        <f>M5</f>
        <v>7.7280000000000006</v>
      </c>
      <c r="D55" s="28">
        <v>1</v>
      </c>
      <c r="E55" s="22">
        <f t="shared" si="7"/>
        <v>7.7280000000000006</v>
      </c>
    </row>
    <row r="56" spans="1:5" x14ac:dyDescent="0.25">
      <c r="A56" t="s">
        <v>231</v>
      </c>
      <c r="B56" s="2">
        <v>5</v>
      </c>
      <c r="C56" s="29">
        <f>M5</f>
        <v>7.7280000000000006</v>
      </c>
      <c r="D56" s="28">
        <v>1</v>
      </c>
      <c r="E56" s="22">
        <f t="shared" si="7"/>
        <v>7.7280000000000006</v>
      </c>
    </row>
    <row r="57" spans="1:5" x14ac:dyDescent="0.25">
      <c r="A57" t="s">
        <v>233</v>
      </c>
      <c r="B57" s="2">
        <v>5</v>
      </c>
      <c r="C57" s="29">
        <f>M5</f>
        <v>7.7280000000000006</v>
      </c>
      <c r="D57" s="28">
        <v>1</v>
      </c>
      <c r="E57" s="22">
        <f t="shared" si="7"/>
        <v>7.7280000000000006</v>
      </c>
    </row>
    <row r="58" spans="1:5" x14ac:dyDescent="0.25">
      <c r="A58" t="s">
        <v>241</v>
      </c>
      <c r="B58" s="2">
        <v>6</v>
      </c>
      <c r="C58" s="29">
        <f>M6</f>
        <v>9.7545000000000002</v>
      </c>
      <c r="D58" s="28">
        <v>1</v>
      </c>
      <c r="E58" s="22">
        <f t="shared" si="7"/>
        <v>9.7545000000000002</v>
      </c>
    </row>
    <row r="59" spans="1:5" x14ac:dyDescent="0.25">
      <c r="A59" t="s">
        <v>243</v>
      </c>
      <c r="B59" s="2">
        <v>6</v>
      </c>
      <c r="C59" s="29">
        <f>M6</f>
        <v>9.7545000000000002</v>
      </c>
      <c r="D59" s="28">
        <v>1</v>
      </c>
      <c r="E59" s="22">
        <f t="shared" si="7"/>
        <v>9.7545000000000002</v>
      </c>
    </row>
    <row r="60" spans="1:5" x14ac:dyDescent="0.25">
      <c r="A60" t="s">
        <v>245</v>
      </c>
      <c r="B60" s="2">
        <v>6</v>
      </c>
      <c r="C60" s="29">
        <f>M6</f>
        <v>9.7545000000000002</v>
      </c>
      <c r="D60" s="28">
        <v>1</v>
      </c>
      <c r="E60" s="22">
        <f t="shared" si="7"/>
        <v>9.7545000000000002</v>
      </c>
    </row>
    <row r="61" spans="1:5" x14ac:dyDescent="0.25">
      <c r="A61" t="s">
        <v>247</v>
      </c>
      <c r="B61" s="2">
        <v>6</v>
      </c>
      <c r="C61" s="29">
        <f>M6</f>
        <v>9.7545000000000002</v>
      </c>
      <c r="D61" s="28">
        <v>1</v>
      </c>
      <c r="E61" s="22">
        <f t="shared" si="7"/>
        <v>9.7545000000000002</v>
      </c>
    </row>
    <row r="62" spans="1:5" x14ac:dyDescent="0.25">
      <c r="A62" t="s">
        <v>249</v>
      </c>
      <c r="B62" s="2">
        <v>6</v>
      </c>
      <c r="C62" s="29">
        <f>M6</f>
        <v>9.7545000000000002</v>
      </c>
      <c r="D62" s="28">
        <v>1</v>
      </c>
      <c r="E62" s="22">
        <f t="shared" si="7"/>
        <v>9.7545000000000002</v>
      </c>
    </row>
    <row r="63" spans="1:5" x14ac:dyDescent="0.25">
      <c r="A63" t="s">
        <v>251</v>
      </c>
      <c r="B63" s="2">
        <v>6</v>
      </c>
      <c r="C63" s="29">
        <f>M6</f>
        <v>9.7545000000000002</v>
      </c>
      <c r="D63" s="28">
        <v>1</v>
      </c>
      <c r="E63" s="22">
        <f t="shared" si="7"/>
        <v>9.7545000000000002</v>
      </c>
    </row>
    <row r="64" spans="1:5" x14ac:dyDescent="0.25">
      <c r="A64" t="s">
        <v>253</v>
      </c>
      <c r="B64" s="2">
        <v>6</v>
      </c>
      <c r="C64" s="29">
        <f>M6</f>
        <v>9.7545000000000002</v>
      </c>
      <c r="D64" s="28">
        <v>1</v>
      </c>
      <c r="E64" s="22">
        <f t="shared" si="7"/>
        <v>9.7545000000000002</v>
      </c>
    </row>
    <row r="65" spans="1:5" x14ac:dyDescent="0.25">
      <c r="A65" t="s">
        <v>255</v>
      </c>
      <c r="B65" s="2">
        <v>6</v>
      </c>
      <c r="C65" s="29">
        <f>M6</f>
        <v>9.7545000000000002</v>
      </c>
      <c r="D65" s="28">
        <v>1</v>
      </c>
      <c r="E65" s="22">
        <f t="shared" si="7"/>
        <v>9.7545000000000002</v>
      </c>
    </row>
    <row r="66" spans="1:5" x14ac:dyDescent="0.25">
      <c r="A66" t="s">
        <v>261</v>
      </c>
      <c r="B66" s="2">
        <v>7</v>
      </c>
      <c r="C66" s="29">
        <f>M7</f>
        <v>13.7865</v>
      </c>
      <c r="D66" s="28">
        <v>1</v>
      </c>
      <c r="E66" s="22">
        <f t="shared" si="7"/>
        <v>13.7865</v>
      </c>
    </row>
    <row r="67" spans="1:5" x14ac:dyDescent="0.25">
      <c r="A67" t="s">
        <v>263</v>
      </c>
      <c r="B67" s="2">
        <v>7</v>
      </c>
      <c r="C67" s="29">
        <f>M7</f>
        <v>13.7865</v>
      </c>
      <c r="D67" s="28">
        <v>1</v>
      </c>
      <c r="E67" s="22">
        <f t="shared" ref="E67:E82" si="8">D67*C67</f>
        <v>13.7865</v>
      </c>
    </row>
    <row r="68" spans="1:5" x14ac:dyDescent="0.25">
      <c r="A68" t="s">
        <v>265</v>
      </c>
      <c r="B68" s="2">
        <v>7</v>
      </c>
      <c r="C68" s="29">
        <f>M7</f>
        <v>13.7865</v>
      </c>
      <c r="D68" s="28">
        <v>1</v>
      </c>
      <c r="E68" s="22">
        <f t="shared" si="8"/>
        <v>13.7865</v>
      </c>
    </row>
    <row r="69" spans="1:5" x14ac:dyDescent="0.25">
      <c r="A69" t="s">
        <v>267</v>
      </c>
      <c r="B69" s="2">
        <v>7</v>
      </c>
      <c r="C69" s="29">
        <f>M7</f>
        <v>13.7865</v>
      </c>
      <c r="D69" s="28">
        <v>1</v>
      </c>
      <c r="E69" s="22">
        <f t="shared" si="8"/>
        <v>13.7865</v>
      </c>
    </row>
    <row r="70" spans="1:5" x14ac:dyDescent="0.25">
      <c r="A70" t="s">
        <v>269</v>
      </c>
      <c r="B70" s="2">
        <v>7</v>
      </c>
      <c r="C70" s="29">
        <f>M7</f>
        <v>13.7865</v>
      </c>
      <c r="D70" s="28">
        <v>1</v>
      </c>
      <c r="E70" s="22">
        <f t="shared" si="8"/>
        <v>13.7865</v>
      </c>
    </row>
    <row r="71" spans="1:5" x14ac:dyDescent="0.25">
      <c r="A71" t="s">
        <v>271</v>
      </c>
      <c r="B71" s="2">
        <v>7</v>
      </c>
      <c r="C71" s="29">
        <f>M7</f>
        <v>13.7865</v>
      </c>
      <c r="D71" s="28">
        <v>1</v>
      </c>
      <c r="E71" s="22">
        <f t="shared" si="8"/>
        <v>13.7865</v>
      </c>
    </row>
    <row r="72" spans="1:5" x14ac:dyDescent="0.25">
      <c r="A72" t="s">
        <v>273</v>
      </c>
      <c r="B72" s="2">
        <v>7</v>
      </c>
      <c r="C72" s="29">
        <f>M7</f>
        <v>13.7865</v>
      </c>
      <c r="D72" s="28">
        <v>1</v>
      </c>
      <c r="E72" s="22">
        <f t="shared" si="8"/>
        <v>13.7865</v>
      </c>
    </row>
    <row r="73" spans="1:5" x14ac:dyDescent="0.25">
      <c r="A73" t="s">
        <v>275</v>
      </c>
      <c r="B73" s="2">
        <v>7</v>
      </c>
      <c r="C73" s="29">
        <f>M7</f>
        <v>13.7865</v>
      </c>
      <c r="D73" s="28">
        <v>1</v>
      </c>
      <c r="E73" s="22">
        <f t="shared" si="8"/>
        <v>13.7865</v>
      </c>
    </row>
    <row r="74" spans="1:5" x14ac:dyDescent="0.25">
      <c r="A74" t="s">
        <v>277</v>
      </c>
      <c r="B74" s="2">
        <v>7</v>
      </c>
      <c r="C74" s="29">
        <f>M7</f>
        <v>13.7865</v>
      </c>
      <c r="D74" s="28">
        <v>1</v>
      </c>
      <c r="E74" s="22">
        <f t="shared" si="8"/>
        <v>13.7865</v>
      </c>
    </row>
    <row r="75" spans="1:5" x14ac:dyDescent="0.25">
      <c r="A75" t="s">
        <v>1053</v>
      </c>
      <c r="B75" s="2">
        <v>8</v>
      </c>
      <c r="C75" s="29">
        <f>M8</f>
        <v>13.7865</v>
      </c>
      <c r="D75" s="28">
        <v>1</v>
      </c>
      <c r="E75" s="22">
        <f t="shared" si="8"/>
        <v>13.7865</v>
      </c>
    </row>
    <row r="76" spans="1:5" x14ac:dyDescent="0.25">
      <c r="A76" t="s">
        <v>1054</v>
      </c>
      <c r="B76" s="2">
        <v>8</v>
      </c>
      <c r="C76" s="29">
        <f>M8</f>
        <v>13.7865</v>
      </c>
      <c r="D76" s="28">
        <v>1</v>
      </c>
      <c r="E76" s="22">
        <f t="shared" si="8"/>
        <v>13.7865</v>
      </c>
    </row>
    <row r="77" spans="1:5" x14ac:dyDescent="0.25">
      <c r="A77" t="s">
        <v>1055</v>
      </c>
      <c r="B77" s="2">
        <v>8</v>
      </c>
      <c r="C77" s="29">
        <f>M8</f>
        <v>13.7865</v>
      </c>
      <c r="D77" s="28">
        <v>1</v>
      </c>
      <c r="E77" s="22">
        <f t="shared" si="8"/>
        <v>13.7865</v>
      </c>
    </row>
    <row r="78" spans="1:5" x14ac:dyDescent="0.25">
      <c r="A78" t="s">
        <v>1056</v>
      </c>
      <c r="B78" s="2">
        <v>8</v>
      </c>
      <c r="C78" s="29">
        <f>M8</f>
        <v>13.7865</v>
      </c>
      <c r="D78" s="28">
        <v>1</v>
      </c>
      <c r="E78" s="22">
        <f t="shared" si="8"/>
        <v>13.7865</v>
      </c>
    </row>
    <row r="79" spans="1:5" x14ac:dyDescent="0.25">
      <c r="A79" t="s">
        <v>1057</v>
      </c>
      <c r="B79" s="2">
        <v>8</v>
      </c>
      <c r="C79" s="29">
        <f>M8</f>
        <v>13.7865</v>
      </c>
      <c r="D79" s="28">
        <v>1</v>
      </c>
      <c r="E79" s="22">
        <f t="shared" si="8"/>
        <v>13.7865</v>
      </c>
    </row>
    <row r="80" spans="1:5" x14ac:dyDescent="0.25">
      <c r="A80" t="s">
        <v>1058</v>
      </c>
      <c r="B80" s="2">
        <v>8</v>
      </c>
      <c r="C80" s="29">
        <f>M8</f>
        <v>13.7865</v>
      </c>
      <c r="D80" s="28">
        <v>1</v>
      </c>
      <c r="E80" s="22">
        <f t="shared" si="8"/>
        <v>13.7865</v>
      </c>
    </row>
    <row r="81" spans="1:5" x14ac:dyDescent="0.25">
      <c r="A81" t="s">
        <v>1059</v>
      </c>
      <c r="B81" s="2">
        <v>8</v>
      </c>
      <c r="C81" s="29">
        <f>M8</f>
        <v>13.7865</v>
      </c>
      <c r="D81" s="28">
        <v>1</v>
      </c>
      <c r="E81" s="22">
        <f t="shared" si="8"/>
        <v>13.7865</v>
      </c>
    </row>
    <row r="82" spans="1:5" x14ac:dyDescent="0.25">
      <c r="A82" t="s">
        <v>1060</v>
      </c>
      <c r="B82" s="2">
        <v>8</v>
      </c>
      <c r="C82" s="29">
        <f>M8</f>
        <v>13.7865</v>
      </c>
      <c r="D82" s="28">
        <v>1</v>
      </c>
      <c r="E82" s="22">
        <f t="shared" si="8"/>
        <v>13.7865</v>
      </c>
    </row>
  </sheetData>
  <mergeCells count="1">
    <mergeCell ref="C2:E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82"/>
  <sheetViews>
    <sheetView workbookViewId="0">
      <selection activeCell="C15" sqref="C15"/>
    </sheetView>
  </sheetViews>
  <sheetFormatPr defaultRowHeight="16.5" x14ac:dyDescent="0.25"/>
  <cols>
    <col min="1" max="2" width="15.625" customWidth="1"/>
    <col min="3" max="13" width="10.625" customWidth="1"/>
  </cols>
  <sheetData>
    <row r="1" spans="1:11" ht="21" x14ac:dyDescent="0.25">
      <c r="A1" s="24" t="s">
        <v>541</v>
      </c>
      <c r="B1" s="24"/>
    </row>
    <row r="3" spans="1:11" x14ac:dyDescent="0.25">
      <c r="A3" s="28" t="s">
        <v>542</v>
      </c>
      <c r="B3" s="28" t="s">
        <v>548</v>
      </c>
      <c r="C3" s="28" t="s">
        <v>543</v>
      </c>
      <c r="D3" s="28" t="s">
        <v>544</v>
      </c>
      <c r="E3" s="28" t="s">
        <v>545</v>
      </c>
      <c r="F3" s="28" t="s">
        <v>546</v>
      </c>
      <c r="G3" s="28" t="s">
        <v>547</v>
      </c>
      <c r="H3" s="33" t="s">
        <v>1038</v>
      </c>
      <c r="I3" s="2"/>
      <c r="J3" s="2"/>
      <c r="K3" s="2"/>
    </row>
    <row r="4" spans="1:11" x14ac:dyDescent="0.25">
      <c r="A4" s="28">
        <v>100</v>
      </c>
      <c r="B4" s="28"/>
      <c r="C4" s="28"/>
      <c r="D4" s="28"/>
      <c r="E4" s="28"/>
      <c r="F4" s="28"/>
      <c r="G4" s="28"/>
      <c r="H4" s="100">
        <v>6.3</v>
      </c>
      <c r="I4" s="2"/>
      <c r="J4" s="2"/>
      <c r="K4" s="2"/>
    </row>
    <row r="5" spans="1:11" x14ac:dyDescent="0.25">
      <c r="A5" s="28">
        <v>978</v>
      </c>
      <c r="B5" s="28"/>
      <c r="C5" s="28">
        <v>9.1</v>
      </c>
      <c r="D5" s="28">
        <v>7.1</v>
      </c>
      <c r="E5" s="28">
        <v>5.3</v>
      </c>
      <c r="F5" s="28"/>
      <c r="G5" s="28">
        <v>5</v>
      </c>
      <c r="H5" s="4"/>
      <c r="I5" s="2"/>
      <c r="J5" s="2"/>
      <c r="K5" s="2"/>
    </row>
    <row r="6" spans="1:11" x14ac:dyDescent="0.25">
      <c r="A6" s="28">
        <v>984</v>
      </c>
      <c r="B6" s="28"/>
      <c r="C6" s="28">
        <v>9.1999999999999993</v>
      </c>
      <c r="D6" s="28">
        <v>7</v>
      </c>
      <c r="E6" s="28">
        <v>3.7</v>
      </c>
      <c r="F6" s="28"/>
      <c r="G6" s="28">
        <v>4</v>
      </c>
      <c r="H6" s="4"/>
      <c r="I6" s="2"/>
      <c r="J6" s="2"/>
      <c r="K6" s="2"/>
    </row>
    <row r="7" spans="1:11" x14ac:dyDescent="0.25">
      <c r="A7" s="28">
        <v>986</v>
      </c>
      <c r="B7" s="28"/>
      <c r="C7" s="90">
        <v>9</v>
      </c>
      <c r="D7" s="90">
        <v>7</v>
      </c>
      <c r="E7" s="99">
        <v>4.2</v>
      </c>
      <c r="F7" s="28"/>
      <c r="G7" s="90">
        <v>5.5</v>
      </c>
      <c r="H7" s="4"/>
      <c r="I7" s="2"/>
      <c r="J7" s="2"/>
      <c r="K7" s="2"/>
    </row>
    <row r="8" spans="1:11" x14ac:dyDescent="0.25">
      <c r="A8" s="28">
        <v>987</v>
      </c>
      <c r="B8" s="28"/>
      <c r="C8" s="28">
        <v>8.3000000000000007</v>
      </c>
      <c r="D8" s="28">
        <v>5.9</v>
      </c>
      <c r="E8" s="28">
        <v>3.4</v>
      </c>
      <c r="F8" s="28"/>
      <c r="G8" s="28">
        <v>4.7</v>
      </c>
      <c r="H8" s="4"/>
      <c r="I8" s="2"/>
      <c r="J8" s="2"/>
      <c r="K8" s="2"/>
    </row>
    <row r="9" spans="1:11" x14ac:dyDescent="0.25">
      <c r="A9" s="28">
        <v>988</v>
      </c>
      <c r="B9" s="28"/>
      <c r="C9" s="28">
        <v>8.8000000000000007</v>
      </c>
      <c r="D9" s="28">
        <v>6.2</v>
      </c>
      <c r="E9" s="28">
        <v>3.8</v>
      </c>
      <c r="F9" s="28"/>
      <c r="G9" s="28">
        <v>4.2</v>
      </c>
      <c r="H9" s="4"/>
      <c r="I9" s="2"/>
      <c r="J9" s="2"/>
      <c r="K9" s="2"/>
    </row>
    <row r="10" spans="1:11" x14ac:dyDescent="0.25">
      <c r="A10" s="28">
        <v>992</v>
      </c>
      <c r="B10" s="95"/>
      <c r="C10" s="92">
        <v>12.3</v>
      </c>
      <c r="D10" s="92">
        <v>10.3</v>
      </c>
      <c r="E10" s="92">
        <v>8</v>
      </c>
      <c r="F10" s="28"/>
      <c r="G10" s="92">
        <v>6.5</v>
      </c>
      <c r="H10" s="4"/>
      <c r="I10" s="2"/>
      <c r="J10" s="2"/>
      <c r="K10" s="2"/>
    </row>
    <row r="11" spans="1:11" x14ac:dyDescent="0.25">
      <c r="A11" s="28">
        <v>993</v>
      </c>
      <c r="B11" s="28"/>
      <c r="C11" s="28">
        <v>7.6</v>
      </c>
      <c r="D11" s="28">
        <v>5.7</v>
      </c>
      <c r="E11" s="99">
        <v>2.84</v>
      </c>
      <c r="F11" s="28">
        <v>2.5</v>
      </c>
      <c r="G11" s="28">
        <v>4.0999999999999996</v>
      </c>
      <c r="H11" s="94">
        <v>6.5</v>
      </c>
      <c r="I11" s="2"/>
      <c r="J11" s="2"/>
      <c r="K11" s="2"/>
    </row>
    <row r="12" spans="1:11" x14ac:dyDescent="0.25">
      <c r="A12" s="28">
        <v>995</v>
      </c>
      <c r="B12" s="28"/>
      <c r="C12" s="28">
        <v>7.9</v>
      </c>
      <c r="D12" s="28">
        <v>6.7</v>
      </c>
      <c r="E12" s="28">
        <v>4.8</v>
      </c>
      <c r="F12" s="28">
        <v>3.5</v>
      </c>
      <c r="G12" s="28">
        <v>4.2</v>
      </c>
      <c r="H12" s="4"/>
      <c r="I12" s="2"/>
      <c r="J12" s="2"/>
      <c r="K12" s="2"/>
    </row>
    <row r="13" spans="1:11" x14ac:dyDescent="0.25">
      <c r="A13" s="28">
        <v>996</v>
      </c>
      <c r="B13" s="28"/>
      <c r="C13" s="97">
        <v>9.5</v>
      </c>
      <c r="D13" s="97">
        <v>8.5</v>
      </c>
      <c r="E13" s="97">
        <v>7</v>
      </c>
      <c r="F13" s="90">
        <v>4.03</v>
      </c>
      <c r="G13" s="28">
        <v>4.5</v>
      </c>
      <c r="H13" s="4"/>
      <c r="I13" s="2"/>
      <c r="J13" s="2"/>
      <c r="K13" s="2"/>
    </row>
    <row r="14" spans="1:11" x14ac:dyDescent="0.25">
      <c r="A14" s="28">
        <v>801</v>
      </c>
      <c r="B14" s="28"/>
      <c r="C14" s="28">
        <v>7.3</v>
      </c>
      <c r="D14" s="99">
        <v>6.1</v>
      </c>
      <c r="E14" s="90">
        <v>4.46</v>
      </c>
      <c r="F14" s="28">
        <v>3.5</v>
      </c>
      <c r="G14" s="100">
        <v>4.4000000000000004</v>
      </c>
      <c r="H14" s="100">
        <v>4.5999999999999996</v>
      </c>
      <c r="I14" s="2"/>
      <c r="J14" s="2"/>
      <c r="K14" s="2"/>
    </row>
    <row r="15" spans="1:11" x14ac:dyDescent="0.25">
      <c r="A15" s="28" t="s">
        <v>549</v>
      </c>
      <c r="B15" s="28">
        <v>9.25</v>
      </c>
      <c r="C15" s="102">
        <v>11</v>
      </c>
      <c r="D15" s="99">
        <v>9.6</v>
      </c>
      <c r="E15" s="99">
        <v>4.5</v>
      </c>
      <c r="F15" s="28"/>
      <c r="G15" s="99">
        <v>5.8</v>
      </c>
      <c r="H15" s="4"/>
      <c r="I15" s="2"/>
      <c r="J15" s="2"/>
      <c r="K15" s="2"/>
    </row>
    <row r="16" spans="1:11" x14ac:dyDescent="0.25">
      <c r="A16" s="28">
        <v>999</v>
      </c>
      <c r="B16" s="28"/>
      <c r="C16" s="28"/>
      <c r="D16" s="28"/>
      <c r="E16" s="28">
        <v>6.4</v>
      </c>
      <c r="F16" s="28">
        <v>5</v>
      </c>
      <c r="G16" s="28">
        <v>5.6</v>
      </c>
      <c r="H16" s="4"/>
      <c r="I16" s="2"/>
      <c r="J16" s="2"/>
      <c r="K16" s="2"/>
    </row>
    <row r="17" spans="1:11" x14ac:dyDescent="0.25">
      <c r="A17" s="28" t="s">
        <v>550</v>
      </c>
      <c r="B17" s="28"/>
      <c r="C17" s="28"/>
      <c r="D17" s="28"/>
      <c r="E17" s="28"/>
      <c r="F17" s="28"/>
      <c r="G17" s="28"/>
      <c r="H17" s="4"/>
      <c r="I17" s="2"/>
      <c r="J17" s="2"/>
      <c r="K17" s="2"/>
    </row>
    <row r="18" spans="1:11" x14ac:dyDescent="0.25">
      <c r="A18" s="28" t="s">
        <v>1021</v>
      </c>
      <c r="B18" s="28"/>
      <c r="C18" s="28"/>
      <c r="D18" s="28"/>
      <c r="E18" s="28"/>
      <c r="F18" s="28"/>
      <c r="G18" s="28"/>
      <c r="H18" s="4"/>
      <c r="I18" s="101"/>
      <c r="J18" s="2" t="s">
        <v>1048</v>
      </c>
      <c r="K18" s="2"/>
    </row>
    <row r="19" spans="1:11" x14ac:dyDescent="0.25">
      <c r="A19" s="28" t="s">
        <v>1022</v>
      </c>
      <c r="B19" s="28"/>
      <c r="C19" s="28"/>
      <c r="D19" s="28"/>
      <c r="E19" s="28"/>
      <c r="F19" s="28"/>
      <c r="G19" s="28"/>
      <c r="H19" s="4"/>
      <c r="I19" s="91"/>
      <c r="J19" s="2" t="s">
        <v>1035</v>
      </c>
      <c r="K19" s="2" t="s">
        <v>1045</v>
      </c>
    </row>
    <row r="20" spans="1:11" x14ac:dyDescent="0.25">
      <c r="A20" s="28" t="s">
        <v>551</v>
      </c>
      <c r="B20" s="28"/>
      <c r="C20" s="28"/>
      <c r="D20" s="28"/>
      <c r="E20" s="28"/>
      <c r="F20" s="28"/>
      <c r="G20" s="28"/>
      <c r="H20" s="4"/>
      <c r="I20" s="93"/>
      <c r="J20" s="2" t="s">
        <v>1039</v>
      </c>
      <c r="K20" s="2" t="s">
        <v>1046</v>
      </c>
    </row>
    <row r="21" spans="1:11" x14ac:dyDescent="0.25">
      <c r="A21" s="28" t="s">
        <v>552</v>
      </c>
      <c r="B21" s="28">
        <v>10.1</v>
      </c>
      <c r="C21" s="28">
        <v>8</v>
      </c>
      <c r="D21" s="28">
        <v>5.6</v>
      </c>
      <c r="E21" s="28">
        <v>3.7</v>
      </c>
      <c r="F21" s="28"/>
      <c r="G21" s="28"/>
      <c r="H21" s="4"/>
      <c r="I21" s="96"/>
      <c r="J21" s="2" t="s">
        <v>1040</v>
      </c>
      <c r="K21" s="2" t="s">
        <v>1047</v>
      </c>
    </row>
    <row r="22" spans="1:11" x14ac:dyDescent="0.25">
      <c r="A22" s="28" t="s">
        <v>553</v>
      </c>
      <c r="B22" s="28"/>
      <c r="C22" s="28">
        <v>1.2</v>
      </c>
      <c r="D22" s="28">
        <v>1</v>
      </c>
      <c r="E22" s="28"/>
      <c r="F22" s="28"/>
      <c r="G22" s="28"/>
      <c r="H22" s="4"/>
      <c r="I22" s="98"/>
      <c r="J22" s="2" t="s">
        <v>1041</v>
      </c>
      <c r="K22" s="2" t="s">
        <v>1044</v>
      </c>
    </row>
    <row r="23" spans="1:11" x14ac:dyDescent="0.25">
      <c r="A23" s="2"/>
      <c r="B23" s="2"/>
      <c r="C23" s="2"/>
      <c r="D23" s="2"/>
      <c r="E23" s="2"/>
      <c r="F23" s="2"/>
      <c r="G23" s="2"/>
      <c r="I23" s="2"/>
      <c r="J23" s="2"/>
      <c r="K23" s="2"/>
    </row>
    <row r="24" spans="1:11" x14ac:dyDescent="0.25">
      <c r="A24" s="28" t="s">
        <v>542</v>
      </c>
      <c r="B24" s="28" t="s">
        <v>548</v>
      </c>
      <c r="C24" s="28" t="s">
        <v>543</v>
      </c>
      <c r="D24" s="28" t="s">
        <v>544</v>
      </c>
      <c r="E24" s="28" t="s">
        <v>545</v>
      </c>
      <c r="F24" s="28" t="s">
        <v>546</v>
      </c>
      <c r="G24" s="28" t="s">
        <v>547</v>
      </c>
      <c r="I24" s="2"/>
      <c r="J24" s="2"/>
      <c r="K24" s="2"/>
    </row>
    <row r="25" spans="1:11" x14ac:dyDescent="0.25">
      <c r="A25" s="28" t="s">
        <v>1042</v>
      </c>
      <c r="B25" s="28"/>
      <c r="C25" s="28"/>
      <c r="D25" s="28"/>
      <c r="E25" s="28"/>
      <c r="F25" s="99">
        <v>1</v>
      </c>
      <c r="G25" s="28"/>
      <c r="I25" s="2"/>
      <c r="J25" s="2"/>
      <c r="K25" s="2"/>
    </row>
    <row r="26" spans="1:11" x14ac:dyDescent="0.25">
      <c r="A26" s="28">
        <v>189</v>
      </c>
      <c r="B26" s="28"/>
      <c r="C26" s="28"/>
      <c r="D26" s="28"/>
      <c r="E26" s="28"/>
      <c r="F26" s="99">
        <v>1.2</v>
      </c>
      <c r="G26" s="28"/>
      <c r="I26" s="2"/>
      <c r="J26" s="2"/>
      <c r="K26" s="2"/>
    </row>
    <row r="27" spans="1:11" x14ac:dyDescent="0.25">
      <c r="A27" s="28">
        <v>289</v>
      </c>
      <c r="B27" s="28"/>
      <c r="C27" s="28"/>
      <c r="D27" s="28"/>
      <c r="E27" s="28"/>
      <c r="F27" s="99">
        <v>2.5</v>
      </c>
      <c r="G27" s="28"/>
      <c r="I27" s="2"/>
      <c r="J27" s="2"/>
      <c r="K27" s="2"/>
    </row>
    <row r="28" spans="1:11" x14ac:dyDescent="0.25">
      <c r="A28" s="28">
        <v>589</v>
      </c>
      <c r="B28" s="28"/>
      <c r="C28" s="28"/>
      <c r="D28" s="28"/>
      <c r="E28" s="28"/>
      <c r="F28" s="99">
        <v>2.5</v>
      </c>
      <c r="G28" s="28"/>
      <c r="I28" s="2"/>
      <c r="J28" s="2"/>
      <c r="K28" s="2"/>
    </row>
    <row r="29" spans="1:11" x14ac:dyDescent="0.25">
      <c r="A29" s="28" t="s">
        <v>1043</v>
      </c>
      <c r="B29" s="28"/>
      <c r="C29" s="28"/>
      <c r="D29" s="28"/>
      <c r="E29" s="28"/>
      <c r="F29" s="99">
        <v>0.5</v>
      </c>
      <c r="G29" s="28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I30" s="2"/>
      <c r="J30" s="2"/>
      <c r="K30" s="2"/>
    </row>
    <row r="31" spans="1:11" x14ac:dyDescent="0.25">
      <c r="A31" s="28" t="s">
        <v>542</v>
      </c>
      <c r="B31" s="28" t="s">
        <v>548</v>
      </c>
      <c r="C31" s="28" t="s">
        <v>543</v>
      </c>
      <c r="D31" s="28" t="s">
        <v>544</v>
      </c>
      <c r="E31" s="28" t="s">
        <v>545</v>
      </c>
      <c r="F31" s="28" t="s">
        <v>546</v>
      </c>
      <c r="G31" s="28" t="s">
        <v>547</v>
      </c>
      <c r="I31" s="2"/>
      <c r="J31" s="2"/>
      <c r="K31" s="2"/>
    </row>
    <row r="32" spans="1:11" x14ac:dyDescent="0.25">
      <c r="A32" s="28" t="s">
        <v>554</v>
      </c>
      <c r="B32" s="28"/>
      <c r="C32" s="28">
        <v>7.2</v>
      </c>
      <c r="D32" s="28">
        <v>5.5</v>
      </c>
      <c r="E32" s="28">
        <v>4.7</v>
      </c>
      <c r="F32" s="28"/>
      <c r="G32" s="28"/>
      <c r="I32" s="2"/>
      <c r="J32" s="2"/>
      <c r="K32" s="2"/>
    </row>
    <row r="33" spans="1:11" x14ac:dyDescent="0.25">
      <c r="A33" s="28" t="s">
        <v>1036</v>
      </c>
      <c r="B33" s="28"/>
      <c r="C33" s="94">
        <v>7.55</v>
      </c>
      <c r="D33" s="94">
        <v>6.15</v>
      </c>
      <c r="E33" s="94">
        <v>5.45</v>
      </c>
      <c r="F33" s="28"/>
      <c r="G33" s="28"/>
      <c r="I33" s="2"/>
      <c r="J33" s="2"/>
      <c r="K33" s="2"/>
    </row>
    <row r="34" spans="1:11" x14ac:dyDescent="0.25">
      <c r="A34" s="28" t="s">
        <v>1037</v>
      </c>
      <c r="B34" s="28"/>
      <c r="C34" s="28"/>
      <c r="D34" s="28"/>
      <c r="E34" s="28"/>
      <c r="F34" s="28"/>
      <c r="G34" s="28"/>
      <c r="I34" s="2"/>
      <c r="J34" s="2"/>
      <c r="K34" s="2"/>
    </row>
    <row r="35" spans="1:11" x14ac:dyDescent="0.25">
      <c r="A35" s="28" t="s">
        <v>555</v>
      </c>
      <c r="B35" s="28"/>
      <c r="C35" s="28">
        <v>5.5</v>
      </c>
      <c r="D35" s="28">
        <v>4.2</v>
      </c>
      <c r="E35" s="28"/>
      <c r="F35" s="28"/>
      <c r="G35" s="28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I36" s="2"/>
      <c r="J36" s="2"/>
      <c r="K36" s="2"/>
    </row>
    <row r="37" spans="1:11" x14ac:dyDescent="0.25">
      <c r="A37" s="28" t="s">
        <v>542</v>
      </c>
      <c r="B37" s="28" t="s">
        <v>548</v>
      </c>
      <c r="C37" s="28" t="s">
        <v>543</v>
      </c>
      <c r="D37" s="28" t="s">
        <v>544</v>
      </c>
      <c r="E37" s="28" t="s">
        <v>545</v>
      </c>
      <c r="F37" s="28" t="s">
        <v>546</v>
      </c>
      <c r="G37" s="28" t="s">
        <v>547</v>
      </c>
      <c r="I37" s="2"/>
      <c r="J37" s="2"/>
      <c r="K37" s="2"/>
    </row>
    <row r="38" spans="1:11" x14ac:dyDescent="0.25">
      <c r="A38" s="28">
        <v>989</v>
      </c>
      <c r="B38" s="28"/>
      <c r="C38" s="100">
        <v>7.9</v>
      </c>
      <c r="D38" s="100">
        <v>5.9</v>
      </c>
      <c r="E38" s="100">
        <v>4.3</v>
      </c>
      <c r="F38" s="28">
        <v>3</v>
      </c>
      <c r="G38" s="28">
        <v>4.0999999999999996</v>
      </c>
      <c r="I38" s="2"/>
      <c r="J38" s="2"/>
      <c r="K38" s="2"/>
    </row>
    <row r="39" spans="1:11" x14ac:dyDescent="0.25">
      <c r="A39" s="28">
        <v>990</v>
      </c>
      <c r="B39" s="28"/>
      <c r="C39" s="28">
        <v>6.5</v>
      </c>
      <c r="D39" s="28">
        <v>4.5999999999999996</v>
      </c>
      <c r="E39" s="28">
        <v>3.5</v>
      </c>
      <c r="F39" s="28">
        <v>2.6</v>
      </c>
      <c r="G39" s="28">
        <v>3.5</v>
      </c>
      <c r="I39" s="2"/>
      <c r="J39" s="2"/>
      <c r="K39" s="2"/>
    </row>
    <row r="40" spans="1:11" x14ac:dyDescent="0.25">
      <c r="A40" s="28">
        <v>991</v>
      </c>
      <c r="B40" s="28"/>
      <c r="C40" s="28">
        <v>9.1999999999999993</v>
      </c>
      <c r="D40" s="28">
        <v>7.1</v>
      </c>
      <c r="E40" s="28">
        <v>5.0999999999999996</v>
      </c>
      <c r="F40" s="28"/>
      <c r="G40" s="28"/>
      <c r="I40" s="2"/>
      <c r="J40" s="2"/>
      <c r="K40" s="2"/>
    </row>
    <row r="41" spans="1:11" x14ac:dyDescent="0.25">
      <c r="A41" s="28" t="s">
        <v>556</v>
      </c>
      <c r="B41" s="28"/>
      <c r="C41" s="28">
        <v>8.4</v>
      </c>
      <c r="D41" s="99">
        <v>7</v>
      </c>
      <c r="E41" s="100">
        <v>4.5999999999999996</v>
      </c>
      <c r="F41" s="28"/>
      <c r="G41" s="28"/>
      <c r="I41" s="2"/>
      <c r="J41" s="2"/>
      <c r="K41" s="2"/>
    </row>
    <row r="42" spans="1:11" x14ac:dyDescent="0.25">
      <c r="A42" s="28" t="s">
        <v>562</v>
      </c>
      <c r="B42" s="28"/>
      <c r="C42" s="28">
        <v>9.3000000000000007</v>
      </c>
      <c r="D42" s="28">
        <v>6.7</v>
      </c>
      <c r="E42" s="28">
        <v>4.8</v>
      </c>
      <c r="F42" s="28"/>
      <c r="G42" s="28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I43" s="2"/>
      <c r="J43" s="2"/>
      <c r="K43" s="2"/>
    </row>
    <row r="44" spans="1:11" x14ac:dyDescent="0.25">
      <c r="A44" s="28" t="s">
        <v>542</v>
      </c>
      <c r="B44" s="28" t="s">
        <v>548</v>
      </c>
      <c r="C44" s="28" t="s">
        <v>543</v>
      </c>
      <c r="D44" s="28" t="s">
        <v>544</v>
      </c>
      <c r="E44" s="28" t="s">
        <v>545</v>
      </c>
      <c r="F44" s="28" t="s">
        <v>546</v>
      </c>
      <c r="G44" s="28" t="s">
        <v>547</v>
      </c>
      <c r="I44" s="2"/>
      <c r="J44" s="2"/>
      <c r="K44" s="2"/>
    </row>
    <row r="45" spans="1:11" x14ac:dyDescent="0.25">
      <c r="A45" s="28" t="s">
        <v>557</v>
      </c>
      <c r="B45" s="95"/>
      <c r="C45" s="92">
        <v>12.5</v>
      </c>
      <c r="D45" s="92">
        <v>10.3</v>
      </c>
      <c r="E45" s="92">
        <v>7.8</v>
      </c>
      <c r="F45" s="92">
        <v>5</v>
      </c>
      <c r="G45" s="92">
        <v>6.5</v>
      </c>
      <c r="I45" s="2"/>
      <c r="J45" s="2"/>
      <c r="K45" s="2"/>
    </row>
    <row r="46" spans="1:11" x14ac:dyDescent="0.25">
      <c r="A46" s="28" t="s">
        <v>558</v>
      </c>
      <c r="B46" s="95"/>
      <c r="C46" s="92">
        <v>13</v>
      </c>
      <c r="D46" s="92">
        <v>11</v>
      </c>
      <c r="E46" s="92">
        <v>9</v>
      </c>
      <c r="F46" s="28"/>
      <c r="G46" s="28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I47" s="2"/>
      <c r="J47" s="2"/>
      <c r="K47" s="2"/>
    </row>
    <row r="48" spans="1:11" x14ac:dyDescent="0.25">
      <c r="A48" s="28" t="s">
        <v>542</v>
      </c>
      <c r="B48" s="28" t="s">
        <v>548</v>
      </c>
      <c r="C48" s="28" t="s">
        <v>543</v>
      </c>
      <c r="D48" s="28" t="s">
        <v>544</v>
      </c>
      <c r="E48" s="28" t="s">
        <v>545</v>
      </c>
      <c r="F48" s="28" t="s">
        <v>546</v>
      </c>
      <c r="G48" s="28" t="s">
        <v>547</v>
      </c>
      <c r="I48" s="2"/>
      <c r="J48" s="2"/>
      <c r="K48" s="2"/>
    </row>
    <row r="49" spans="1:11" x14ac:dyDescent="0.25">
      <c r="A49" s="28" t="s">
        <v>974</v>
      </c>
      <c r="B49" s="95"/>
      <c r="C49" s="28"/>
      <c r="D49" s="99">
        <v>7.3</v>
      </c>
      <c r="E49" s="100">
        <v>6.48</v>
      </c>
      <c r="F49" s="28"/>
      <c r="G49" s="28"/>
      <c r="I49" s="2"/>
      <c r="J49" s="2"/>
      <c r="K49" s="2"/>
    </row>
    <row r="50" spans="1:11" x14ac:dyDescent="0.25">
      <c r="A50" s="28" t="s">
        <v>561</v>
      </c>
      <c r="B50" s="95"/>
      <c r="C50" s="92">
        <v>12.5</v>
      </c>
      <c r="D50" s="92">
        <v>10.3</v>
      </c>
      <c r="E50" s="92">
        <v>7.8</v>
      </c>
      <c r="F50" s="92">
        <v>5</v>
      </c>
      <c r="G50" s="92">
        <v>6.5</v>
      </c>
      <c r="I50" s="2"/>
      <c r="J50" s="2"/>
      <c r="K50" s="2"/>
    </row>
    <row r="51" spans="1:11" x14ac:dyDescent="0.25">
      <c r="A51" s="28" t="s">
        <v>563</v>
      </c>
      <c r="B51" s="95"/>
      <c r="C51" s="92">
        <v>15</v>
      </c>
      <c r="D51" s="92">
        <v>12</v>
      </c>
      <c r="E51" s="92">
        <v>9.5</v>
      </c>
      <c r="F51" s="28"/>
      <c r="G51" s="28"/>
      <c r="I51" s="2"/>
      <c r="J51" s="2"/>
      <c r="K51" s="2"/>
    </row>
    <row r="52" spans="1:11" x14ac:dyDescent="0.25">
      <c r="A52" s="28" t="s">
        <v>559</v>
      </c>
      <c r="B52" s="28"/>
      <c r="C52" s="28">
        <v>8.3000000000000007</v>
      </c>
      <c r="D52" s="28"/>
      <c r="E52" s="28"/>
      <c r="F52" s="28"/>
      <c r="G52" s="28"/>
      <c r="I52" s="2"/>
      <c r="J52" s="2"/>
      <c r="K52" s="2"/>
    </row>
    <row r="53" spans="1:11" x14ac:dyDescent="0.25">
      <c r="A53" s="28" t="s">
        <v>560</v>
      </c>
      <c r="B53" s="28"/>
      <c r="C53" s="28">
        <v>9</v>
      </c>
      <c r="D53" s="28">
        <v>7.3</v>
      </c>
      <c r="E53" s="28">
        <v>6.5</v>
      </c>
      <c r="F53" s="28"/>
      <c r="G53" s="28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</row>
    <row r="81" spans="1:8" x14ac:dyDescent="0.25">
      <c r="A81" s="2"/>
      <c r="B81" s="2"/>
      <c r="C81" s="2"/>
      <c r="D81" s="2"/>
      <c r="E81" s="2"/>
      <c r="F81" s="2"/>
      <c r="G81" s="2"/>
      <c r="H81" s="2"/>
    </row>
    <row r="82" spans="1:8" x14ac:dyDescent="0.25">
      <c r="A82" s="2"/>
      <c r="B82" s="2"/>
      <c r="C82" s="2"/>
      <c r="D82" s="2"/>
      <c r="E82" s="2"/>
      <c r="F82" s="2"/>
      <c r="G82" s="2"/>
      <c r="H8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總成本</vt:lpstr>
      <vt:lpstr>俊來鐵材</vt:lpstr>
      <vt:lpstr>十字成型</vt:lpstr>
      <vt:lpstr>一字成型</vt:lpstr>
      <vt:lpstr>六角成型</vt:lpstr>
      <vt:lpstr>熱處裡</vt:lpstr>
      <vt:lpstr>噴砂</vt:lpstr>
      <vt:lpstr>電鍍</vt:lpstr>
      <vt:lpstr>染黑</vt:lpstr>
      <vt:lpstr>膠套</vt:lpstr>
      <vt:lpstr>整直</vt:lpstr>
      <vt:lpstr>六角環</vt:lpstr>
      <vt:lpstr>貫通頭</vt:lpstr>
      <vt:lpstr>手柄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2017-12-18T07:25:21Z</dcterms:created>
  <dcterms:modified xsi:type="dcterms:W3CDTF">2024-11-28T13:00:56Z</dcterms:modified>
</cp:coreProperties>
</file>